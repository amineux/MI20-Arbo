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F19\SRV\TEMPLATE\"/>
    </mc:Choice>
  </mc:AlternateContent>
  <xr:revisionPtr revIDLastSave="0" documentId="13_ncr:1_{89227FD6-86A0-4D49-B00E-FC9364409CB0}" xr6:coauthVersionLast="47" xr6:coauthVersionMax="47" xr10:uidLastSave="{00000000-0000-0000-0000-000000000000}"/>
  <bookViews>
    <workbookView xWindow="-120" yWindow="-120" windowWidth="29040" windowHeight="15840" activeTab="2" xr2:uid="{A4562CE2-6944-4F6F-8D42-15317901034A}"/>
  </bookViews>
  <sheets>
    <sheet name="Tableau récap" sheetId="8" r:id="rId1"/>
    <sheet name="PPD" sheetId="14" r:id="rId2"/>
    <sheet name="MOR" sheetId="15" r:id="rId3"/>
  </sheets>
  <definedNames>
    <definedName name="_xlnm._FilterDatabase" localSheetId="1" hidden="1">PPD!$A$1:$AO$1</definedName>
    <definedName name="AT__">'Tableau récap'!$C$12</definedName>
    <definedName name="AT_Envoyes">'Tableau récap'!$C$8</definedName>
    <definedName name="AT_FD">'Tableau récap'!$C$4</definedName>
    <definedName name="AT_FD__">'Tableau récap'!$C$14</definedName>
    <definedName name="AT_FD_A">'Tableau récap'!$C$26</definedName>
    <definedName name="AT_FD_ANNULE">'Tableau récap'!$C$22</definedName>
    <definedName name="AT_FD_AR">'Tableau récap'!$C$30</definedName>
    <definedName name="AT_FD_DST">'Tableau récap'!$C$18</definedName>
    <definedName name="AT_FD_R">'Tableau récap'!$C$34</definedName>
    <definedName name="AT_FP">'Tableau récap'!$C$3</definedName>
    <definedName name="AT_FP__">'Tableau récap'!$C$13</definedName>
    <definedName name="AT_FP_A">'Tableau récap'!$C$25</definedName>
    <definedName name="AT_FP_ANNULE">'Tableau récap'!$C$21</definedName>
    <definedName name="AT_FP_AR">'Tableau récap'!$C$29</definedName>
    <definedName name="AT_FP_DST">'Tableau récap'!$C$17</definedName>
    <definedName name="AT_FP_R">'Tableau récap'!$C$33</definedName>
    <definedName name="AT_Maj">'Tableau récap'!$C$5</definedName>
    <definedName name="AT_Maj__">'Tableau récap'!$C$15</definedName>
    <definedName name="AT_Maj_A">'Tableau récap'!$C$27</definedName>
    <definedName name="AT_Maj_ANNULE">'Tableau récap'!$C$23</definedName>
    <definedName name="AT_Maj_AR">'Tableau récap'!$C$31</definedName>
    <definedName name="AT_Maj_DST">'Tableau récap'!$C$19</definedName>
    <definedName name="AT_Maj_R">'Tableau récap'!$C$35</definedName>
    <definedName name="AT_Retour_RATP">'Tableau récap'!$C$10</definedName>
    <definedName name="AT_SortieTemporaire">'Tableau récap'!$C$16</definedName>
    <definedName name="BT__">'Tableau récap'!$B$12</definedName>
    <definedName name="BT_AT">'Tableau récap'!$C$3</definedName>
    <definedName name="BT_DST_FP">'Tableau récap'!$B$17</definedName>
    <definedName name="BT_Envoyes">'Tableau récap'!$B$8</definedName>
    <definedName name="BT_FD">'Tableau récap'!$B$4</definedName>
    <definedName name="BT_FD__">'Tableau récap'!$B$14</definedName>
    <definedName name="BT_FD_A">'Tableau récap'!$B$26</definedName>
    <definedName name="BT_FD_ANNULE">'Tableau récap'!$B$22</definedName>
    <definedName name="BT_FD_AR">'Tableau récap'!$B$30</definedName>
    <definedName name="BT_FD_DST">'Tableau récap'!$B$18</definedName>
    <definedName name="BT_FD_R">'Tableau récap'!$B$34</definedName>
    <definedName name="BT_FP">'Tableau récap'!$B$3</definedName>
    <definedName name="BT_FP__">'Tableau récap'!$B$13</definedName>
    <definedName name="BT_FP_A">'Tableau récap'!$B$25</definedName>
    <definedName name="BT_FP_ANNULE">'Tableau récap'!$B$21</definedName>
    <definedName name="BT_FP_AR">'Tableau récap'!$B$29</definedName>
    <definedName name="BT_FP_DST">'Tableau récap'!$B$17</definedName>
    <definedName name="BT_FP_R">'Tableau récap'!$B$33</definedName>
    <definedName name="BT_Maj">'Tableau récap'!$B$5</definedName>
    <definedName name="BT_Maj__">'Tableau récap'!$B$15</definedName>
    <definedName name="BT_Maj_A">'Tableau récap'!$B$27</definedName>
    <definedName name="BT_Maj_ANNULE">'Tableau récap'!$B$23</definedName>
    <definedName name="BT_Maj_AR">'Tableau récap'!$B$31</definedName>
    <definedName name="BT_Maj_DST">'Tableau récap'!$B$19</definedName>
    <definedName name="BT_Maj_R">'Tableau récap'!$B$35</definedName>
    <definedName name="BT_Retour_RATP">'Tableau récap'!$B$10</definedName>
    <definedName name="BT_SortieTemporaire">'Tableau récap'!$B$16</definedName>
    <definedName name="Jalon">'Tableau récap'!$A$2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15" l="1"/>
  <c r="G2" i="15"/>
  <c r="G5" i="15"/>
  <c r="G4" i="15"/>
  <c r="G3" i="15"/>
  <c r="B5" i="15"/>
  <c r="B4" i="15"/>
  <c r="B3" i="15"/>
  <c r="C20" i="8"/>
  <c r="D20" i="8" s="1"/>
  <c r="B20" i="8"/>
  <c r="D23" i="8"/>
  <c r="D22" i="8"/>
  <c r="D21" i="8"/>
  <c r="C5" i="15"/>
  <c r="C6" i="15" s="1"/>
  <c r="C4" i="15"/>
  <c r="C3" i="15"/>
  <c r="C12" i="8"/>
  <c r="B12" i="8"/>
  <c r="D19" i="8"/>
  <c r="D18" i="8"/>
  <c r="D17" i="8"/>
  <c r="D15" i="8"/>
  <c r="D14" i="8"/>
  <c r="D13" i="8"/>
  <c r="C32" i="8"/>
  <c r="B32" i="8"/>
  <c r="C28" i="8"/>
  <c r="B28" i="8"/>
  <c r="C24" i="8"/>
  <c r="B24" i="8"/>
  <c r="C6" i="8"/>
  <c r="B6" i="8"/>
  <c r="D5" i="8"/>
  <c r="C39" i="8"/>
  <c r="B39" i="8"/>
  <c r="D39" i="8" s="1"/>
  <c r="D35" i="8"/>
  <c r="D5" i="15" s="1"/>
  <c r="D31" i="8"/>
  <c r="D27" i="8"/>
  <c r="F5" i="15" s="1"/>
  <c r="A36" i="8"/>
  <c r="A16" i="8"/>
  <c r="D25" i="8"/>
  <c r="F3" i="15" s="1"/>
  <c r="D26" i="8"/>
  <c r="F4" i="15" s="1"/>
  <c r="B38" i="8"/>
  <c r="C38" i="8"/>
  <c r="G6" i="15" l="1"/>
  <c r="F6" i="15"/>
  <c r="E5" i="15"/>
  <c r="D24" i="8"/>
  <c r="C28" i="15" s="1"/>
  <c r="B37" i="8"/>
  <c r="B36" i="8" s="1"/>
  <c r="C37" i="8" l="1"/>
  <c r="C36" i="8" s="1"/>
  <c r="D36" i="8" s="1"/>
  <c r="D30" i="8" l="1"/>
  <c r="E4" i="15" s="1"/>
  <c r="D16" i="8"/>
  <c r="D37" i="8" l="1"/>
  <c r="D38" i="8"/>
  <c r="D32" i="8" l="1"/>
  <c r="C29" i="15" s="1"/>
  <c r="D29" i="8"/>
  <c r="E3" i="15" s="1"/>
  <c r="E6" i="15" s="1"/>
  <c r="D10" i="8" l="1"/>
  <c r="D28" i="8"/>
  <c r="C30" i="15" s="1"/>
  <c r="D34" i="8" l="1"/>
  <c r="D4" i="15" s="1"/>
  <c r="D33" i="8"/>
  <c r="D3" i="15" s="1"/>
  <c r="D6" i="15" s="1"/>
  <c r="D4" i="8" l="1"/>
  <c r="D8" i="8"/>
  <c r="D12" i="8"/>
  <c r="C31" i="15" s="1"/>
  <c r="D3" i="8"/>
  <c r="C9" i="8" l="1"/>
  <c r="C11" i="8"/>
  <c r="B9" i="8"/>
  <c r="B11" i="8"/>
  <c r="D6" i="8"/>
  <c r="C32" i="15" l="1"/>
  <c r="C33" i="15" s="1"/>
  <c r="B30" i="15"/>
  <c r="B29" i="15"/>
  <c r="B28" i="15"/>
  <c r="B32" i="15"/>
  <c r="C7" i="8"/>
  <c r="B7" i="8"/>
  <c r="D11" i="8"/>
  <c r="D9" i="8"/>
  <c r="B33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1AA70C-84C0-444A-B58A-ED15B3A1E8D0}" keepAlive="1" name="Requête - Docs_JS1_statut PDM" description="Connexion à la requête « Docs_JS1_statut PDM » dans le classeur." type="5" refreshedVersion="6" background="1">
    <dbPr connection="Provider=Microsoft.Mashup.OleDb.1;Data Source=$Workbook$;Location=Docs_JS1_statut PDM;Extended Properties=&quot;&quot;" command="SELECT * FROM [Docs_JS1_statut PDM]"/>
  </connection>
</connections>
</file>

<file path=xl/sharedStrings.xml><?xml version="1.0" encoding="utf-8"?>
<sst xmlns="http://schemas.openxmlformats.org/spreadsheetml/2006/main" count="105" uniqueCount="72">
  <si>
    <t>FP</t>
  </si>
  <si>
    <t>FD</t>
  </si>
  <si>
    <t>AT</t>
  </si>
  <si>
    <t>BT</t>
  </si>
  <si>
    <t>A</t>
  </si>
  <si>
    <t>R</t>
  </si>
  <si>
    <t>AR</t>
  </si>
  <si>
    <t>Docs au total</t>
  </si>
  <si>
    <t>Envoyés</t>
  </si>
  <si>
    <t>%</t>
  </si>
  <si>
    <t>Retour RATP</t>
  </si>
  <si>
    <t>Groupement</t>
  </si>
  <si>
    <t>Jalon JS1</t>
  </si>
  <si>
    <t>Non bloquant pour le Jalon</t>
  </si>
  <si>
    <t>Bloquant pour le Jalon</t>
  </si>
  <si>
    <t>% avancement pour facturation</t>
  </si>
  <si>
    <t>En attente retour RATP</t>
  </si>
  <si>
    <t>Refusé</t>
  </si>
  <si>
    <t>Accepté avec Réserves</t>
  </si>
  <si>
    <t>Accepté</t>
  </si>
  <si>
    <t>En relecture RATP</t>
  </si>
  <si>
    <t>A soumettre</t>
  </si>
  <si>
    <t>Reference_JS0</t>
  </si>
  <si>
    <t>Nr Livrable</t>
  </si>
  <si>
    <t>Index</t>
  </si>
  <si>
    <t>Livrable</t>
  </si>
  <si>
    <t>Reference AT-BT</t>
  </si>
  <si>
    <t>rev</t>
  </si>
  <si>
    <t>Titre</t>
  </si>
  <si>
    <t>Reference RATP</t>
  </si>
  <si>
    <t>ABS</t>
  </si>
  <si>
    <t>PBS</t>
  </si>
  <si>
    <t>Doc Type</t>
  </si>
  <si>
    <t>Service</t>
  </si>
  <si>
    <t>Domaine</t>
  </si>
  <si>
    <t>Type Dossier</t>
  </si>
  <si>
    <t>Catégorie</t>
  </si>
  <si>
    <t>Tranches concernées</t>
  </si>
  <si>
    <t>effectivité dernier envoi</t>
  </si>
  <si>
    <t>Site Emetteur</t>
  </si>
  <si>
    <t>Leader
Technique</t>
  </si>
  <si>
    <t>Co editeur</t>
  </si>
  <si>
    <t>Responsable</t>
  </si>
  <si>
    <t>Fournisseur</t>
  </si>
  <si>
    <t>Doc confidentiel</t>
  </si>
  <si>
    <t>Type Document</t>
  </si>
  <si>
    <t>Fourniture Natif</t>
  </si>
  <si>
    <t>RTS Doc</t>
  </si>
  <si>
    <t>Poste
(selon §7.2 du projet Marché)</t>
  </si>
  <si>
    <t>Domaine RATP</t>
  </si>
  <si>
    <t>Métier</t>
  </si>
  <si>
    <t>N° MF19</t>
  </si>
  <si>
    <t>Nom</t>
  </si>
  <si>
    <t>§</t>
  </si>
  <si>
    <t>Catégorie RATP</t>
  </si>
  <si>
    <t>Règle de répartition</t>
  </si>
  <si>
    <t>Quantité estimée de documents</t>
  </si>
  <si>
    <t>Version</t>
  </si>
  <si>
    <t>IdDocument</t>
  </si>
  <si>
    <t>IdJalon</t>
  </si>
  <si>
    <t>Jalon</t>
  </si>
  <si>
    <t>Statut RATP</t>
  </si>
  <si>
    <t>Maj</t>
  </si>
  <si>
    <t>- (analyse en cours)</t>
  </si>
  <si>
    <t>ANNULE</t>
  </si>
  <si>
    <t>Bordereau</t>
  </si>
  <si>
    <t>Nb Docs</t>
  </si>
  <si>
    <t>Total</t>
  </si>
  <si>
    <t>OK Jalon JS2</t>
  </si>
  <si>
    <t>NOK Jalon JS2</t>
  </si>
  <si>
    <t>AR Jalon JS2</t>
  </si>
  <si>
    <t>Annulé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</si>
</sst>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[$€]_-;\-* #,##0.00\ [$€]_-;_-* &quot;-&quot;??\ [$€]_-;_-@_-"/>
    <numFmt numFmtId="165" formatCode="_-* #,##0.00\ [$€-1]_-;\-* #,##0.00\ [$€-1]_-;_-* &quot;-&quot;??\ [$€-1]_-"/>
    <numFmt numFmtId="166" formatCode="0000&quot;-&quot;00&quot;-&quot;000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1"/>
      <color indexed="9"/>
      <name val="Calibri"/>
      <family val="2"/>
      <charset val="162"/>
    </font>
    <font>
      <sz val="11"/>
      <color indexed="20"/>
      <name val="Calibri"/>
      <family val="2"/>
      <charset val="162"/>
    </font>
    <font>
      <b/>
      <sz val="11"/>
      <color indexed="9"/>
      <name val="Calibri"/>
      <family val="2"/>
      <charset val="162"/>
    </font>
    <font>
      <sz val="10"/>
      <name val="MS Sans Serif"/>
      <family val="2"/>
    </font>
    <font>
      <i/>
      <sz val="11"/>
      <color indexed="23"/>
      <name val="Calibri"/>
      <family val="2"/>
      <charset val="162"/>
    </font>
    <font>
      <sz val="11"/>
      <color indexed="17"/>
      <name val="Calibri"/>
      <family val="2"/>
      <charset val="162"/>
    </font>
    <font>
      <b/>
      <sz val="15"/>
      <color indexed="56"/>
      <name val="Calibri"/>
      <family val="2"/>
      <charset val="162"/>
    </font>
    <font>
      <b/>
      <sz val="13"/>
      <color indexed="56"/>
      <name val="Calibri"/>
      <family val="2"/>
      <charset val="162"/>
    </font>
    <font>
      <b/>
      <sz val="11"/>
      <color indexed="56"/>
      <name val="Calibri"/>
      <family val="2"/>
      <charset val="162"/>
    </font>
    <font>
      <sz val="11"/>
      <color indexed="60"/>
      <name val="Calibri"/>
      <family val="2"/>
      <charset val="162"/>
    </font>
    <font>
      <b/>
      <sz val="11"/>
      <color indexed="63"/>
      <name val="Calibri"/>
      <family val="2"/>
      <charset val="162"/>
    </font>
    <font>
      <b/>
      <sz val="18"/>
      <color indexed="56"/>
      <name val="Cambria"/>
      <family val="2"/>
      <charset val="162"/>
    </font>
    <font>
      <b/>
      <sz val="11"/>
      <color indexed="8"/>
      <name val="Calibri"/>
      <family val="2"/>
      <charset val="162"/>
    </font>
    <font>
      <sz val="20"/>
      <name val="Arial"/>
      <family val="2"/>
    </font>
    <font>
      <sz val="10"/>
      <name val="Courier"/>
      <family val="3"/>
    </font>
    <font>
      <u/>
      <sz val="7.5"/>
      <color indexed="12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1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17">
    <xf numFmtId="0" fontId="0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27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27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27" fillId="25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27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27" fillId="21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27" fillId="26" borderId="0" applyNumberFormat="0" applyBorder="0" applyAlignment="0" applyProtection="0"/>
    <xf numFmtId="0" fontId="11" fillId="0" borderId="0" applyNumberFormat="0" applyFill="0" applyBorder="0" applyAlignment="0" applyProtection="0"/>
    <xf numFmtId="0" fontId="28" fillId="10" borderId="0" applyNumberFormat="0" applyBorder="0" applyAlignment="0" applyProtection="0"/>
    <xf numFmtId="0" fontId="12" fillId="27" borderId="14" applyNumberFormat="0" applyAlignment="0" applyProtection="0"/>
    <xf numFmtId="0" fontId="13" fillId="0" borderId="15" applyNumberFormat="0" applyFill="0" applyAlignment="0" applyProtection="0"/>
    <xf numFmtId="0" fontId="29" fillId="28" borderId="16" applyNumberFormat="0" applyAlignment="0" applyProtection="0"/>
    <xf numFmtId="0" fontId="5" fillId="29" borderId="17" applyNumberFormat="0" applyFont="0" applyAlignment="0" applyProtection="0"/>
    <xf numFmtId="0" fontId="5" fillId="29" borderId="17" applyNumberFormat="0" applyFont="0" applyAlignment="0" applyProtection="0"/>
    <xf numFmtId="0" fontId="30" fillId="0" borderId="0" applyNumberFormat="0" applyFont="0" applyBorder="0" applyAlignment="0"/>
    <xf numFmtId="0" fontId="14" fillId="14" borderId="14" applyNumberFormat="0" applyAlignment="0" applyProtection="0"/>
    <xf numFmtId="0" fontId="7" fillId="0" borderId="1">
      <alignment vertical="center" wrapText="1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11" borderId="0" applyNumberFormat="0" applyBorder="0" applyAlignment="0" applyProtection="0"/>
    <xf numFmtId="0" fontId="33" fillId="0" borderId="18" applyNumberFormat="0" applyFill="0" applyAlignment="0" applyProtection="0"/>
    <xf numFmtId="0" fontId="34" fillId="0" borderId="19" applyNumberFormat="0" applyFill="0" applyAlignment="0" applyProtection="0"/>
    <xf numFmtId="0" fontId="35" fillId="0" borderId="20" applyNumberFormat="0" applyFill="0" applyAlignment="0" applyProtection="0"/>
    <xf numFmtId="0" fontId="35" fillId="0" borderId="0" applyNumberFormat="0" applyFill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36" fillId="30" borderId="0" applyNumberFormat="0" applyBorder="0" applyAlignment="0" applyProtection="0"/>
    <xf numFmtId="0" fontId="16" fillId="30" borderId="0" applyNumberFormat="0" applyBorder="0" applyAlignment="0" applyProtection="0"/>
    <xf numFmtId="0" fontId="16" fillId="30" borderId="0" applyNumberFormat="0" applyBorder="0" applyAlignment="0" applyProtection="0"/>
    <xf numFmtId="166" fontId="40" fillId="0" borderId="10" applyFont="0" applyFill="0" applyBorder="0" applyAlignment="0" applyProtection="0">
      <alignment horizontal="center" vertical="center"/>
      <protection locked="0"/>
    </xf>
    <xf numFmtId="0" fontId="41" fillId="0" borderId="0"/>
    <xf numFmtId="0" fontId="5" fillId="0" borderId="0"/>
    <xf numFmtId="0" fontId="9" fillId="0" borderId="0"/>
    <xf numFmtId="0" fontId="9" fillId="0" borderId="0"/>
    <xf numFmtId="0" fontId="5" fillId="0" borderId="0">
      <alignment vertical="center" wrapText="1"/>
    </xf>
    <xf numFmtId="0" fontId="5" fillId="0" borderId="0"/>
    <xf numFmtId="0" fontId="1" fillId="0" borderId="0"/>
    <xf numFmtId="0" fontId="1" fillId="0" borderId="0"/>
    <xf numFmtId="0" fontId="37" fillId="27" borderId="21" applyNumberFormat="0" applyAlignment="0" applyProtection="0"/>
    <xf numFmtId="0" fontId="5" fillId="0" borderId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6" fillId="0" borderId="0">
      <alignment horizontal="center"/>
    </xf>
    <xf numFmtId="0" fontId="6" fillId="31" borderId="0"/>
    <xf numFmtId="0" fontId="2" fillId="31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27" borderId="21" applyNumberFormat="0" applyAlignment="0" applyProtection="0"/>
    <xf numFmtId="0" fontId="18" fillId="27" borderId="21" applyNumberFormat="0" applyAlignment="0" applyProtection="0"/>
    <xf numFmtId="0" fontId="5" fillId="0" borderId="0"/>
    <xf numFmtId="0" fontId="26" fillId="31" borderId="1">
      <alignment horizontal="center" vertical="center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18" applyNumberFormat="0" applyFill="0" applyAlignment="0" applyProtection="0"/>
    <xf numFmtId="0" fontId="21" fillId="0" borderId="18" applyNumberFormat="0" applyFill="0" applyAlignment="0" applyProtection="0"/>
    <xf numFmtId="0" fontId="22" fillId="0" borderId="19" applyNumberFormat="0" applyFill="0" applyAlignment="0" applyProtection="0"/>
    <xf numFmtId="0" fontId="22" fillId="0" borderId="19" applyNumberFormat="0" applyFill="0" applyAlignment="0" applyProtection="0"/>
    <xf numFmtId="0" fontId="23" fillId="0" borderId="20" applyNumberFormat="0" applyFill="0" applyAlignment="0" applyProtection="0"/>
    <xf numFmtId="0" fontId="23" fillId="0" borderId="20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2" applyNumberFormat="0" applyFill="0" applyAlignment="0" applyProtection="0"/>
    <xf numFmtId="0" fontId="24" fillId="0" borderId="22" applyNumberFormat="0" applyFill="0" applyAlignment="0" applyProtection="0"/>
    <xf numFmtId="0" fontId="39" fillId="0" borderId="22" applyNumberFormat="0" applyFill="0" applyAlignment="0" applyProtection="0"/>
    <xf numFmtId="0" fontId="25" fillId="28" borderId="16" applyNumberFormat="0" applyAlignment="0" applyProtection="0"/>
    <xf numFmtId="0" fontId="25" fillId="28" borderId="16" applyNumberFormat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42" fillId="0" borderId="0" applyNumberFormat="0" applyFill="0" applyBorder="0" applyAlignment="0" applyProtection="0">
      <alignment vertical="top"/>
      <protection locked="0"/>
    </xf>
    <xf numFmtId="0" fontId="1" fillId="0" borderId="0"/>
    <xf numFmtId="9" fontId="5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vertical="center" wrapText="1"/>
    </xf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1" fontId="2" fillId="7" borderId="2" xfId="0" applyNumberFormat="1" applyFont="1" applyFill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7" borderId="5" xfId="0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5" fillId="8" borderId="6" xfId="0" applyFont="1" applyFill="1" applyBorder="1" applyAlignment="1">
      <alignment horizontal="right" vertical="center" wrapText="1"/>
    </xf>
    <xf numFmtId="0" fontId="5" fillId="6" borderId="6" xfId="0" applyFont="1" applyFill="1" applyBorder="1" applyAlignment="1">
      <alignment horizontal="right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12" xfId="0" quotePrefix="1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right" vertical="center" wrapText="1"/>
    </xf>
    <xf numFmtId="0" fontId="0" fillId="6" borderId="9" xfId="0" applyFill="1" applyBorder="1" applyAlignment="1">
      <alignment horizontal="center"/>
    </xf>
    <xf numFmtId="0" fontId="2" fillId="8" borderId="12" xfId="0" quotePrefix="1" applyFont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/>
    </xf>
    <xf numFmtId="1" fontId="0" fillId="8" borderId="13" xfId="0" applyNumberFormat="1" applyFill="1" applyBorder="1" applyAlignment="1">
      <alignment horizontal="center"/>
    </xf>
    <xf numFmtId="1" fontId="0" fillId="0" borderId="0" xfId="0" applyNumberFormat="1"/>
    <xf numFmtId="0" fontId="5" fillId="0" borderId="1" xfId="0" applyFont="1" applyBorder="1" applyAlignment="1">
      <alignment horizontal="center"/>
    </xf>
    <xf numFmtId="9" fontId="0" fillId="0" borderId="0" xfId="0" applyNumberFormat="1"/>
    <xf numFmtId="0" fontId="0" fillId="3" borderId="1" xfId="0" applyFill="1" applyBorder="1" applyAlignment="1">
      <alignment horizontal="center"/>
    </xf>
    <xf numFmtId="0" fontId="4" fillId="2" borderId="5" xfId="0" applyFont="1" applyFill="1" applyBorder="1" applyAlignment="1">
      <alignment horizontal="center" vertical="center" wrapText="1"/>
    </xf>
    <xf numFmtId="9" fontId="4" fillId="2" borderId="2" xfId="0" applyNumberFormat="1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1" fontId="0" fillId="5" borderId="3" xfId="0" applyNumberFormat="1" applyFill="1" applyBorder="1" applyAlignment="1">
      <alignment horizontal="center"/>
    </xf>
    <xf numFmtId="0" fontId="5" fillId="0" borderId="6" xfId="0" applyFont="1" applyBorder="1" applyAlignment="1">
      <alignment horizontal="right" vertical="center" wrapText="1"/>
    </xf>
    <xf numFmtId="1" fontId="0" fillId="4" borderId="1" xfId="0" applyNumberForma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32" borderId="3" xfId="0" applyNumberFormat="1" applyFill="1" applyBorder="1" applyAlignment="1">
      <alignment horizontal="center"/>
    </xf>
    <xf numFmtId="0" fontId="0" fillId="32" borderId="3" xfId="0" applyFill="1" applyBorder="1" applyAlignment="1">
      <alignment horizontal="center"/>
    </xf>
    <xf numFmtId="1" fontId="0" fillId="33" borderId="3" xfId="0" applyNumberFormat="1" applyFill="1" applyBorder="1" applyAlignment="1">
      <alignment horizontal="center"/>
    </xf>
    <xf numFmtId="9" fontId="0" fillId="33" borderId="9" xfId="0" applyNumberFormat="1" applyFill="1" applyBorder="1" applyAlignment="1">
      <alignment horizontal="center"/>
    </xf>
    <xf numFmtId="9" fontId="0" fillId="33" borderId="3" xfId="0" applyNumberFormat="1" applyFill="1" applyBorder="1" applyAlignment="1">
      <alignment horizontal="center"/>
    </xf>
    <xf numFmtId="0" fontId="0" fillId="33" borderId="3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" fontId="0" fillId="5" borderId="13" xfId="0" applyNumberFormat="1" applyFill="1" applyBorder="1" applyAlignment="1">
      <alignment horizontal="center"/>
    </xf>
    <xf numFmtId="1" fontId="0" fillId="33" borderId="13" xfId="0" applyNumberFormat="1" applyFill="1" applyBorder="1" applyAlignment="1">
      <alignment horizontal="center"/>
    </xf>
    <xf numFmtId="0" fontId="5" fillId="33" borderId="2" xfId="0" applyFont="1" applyFill="1" applyBorder="1" applyAlignment="1">
      <alignment horizontal="center"/>
    </xf>
    <xf numFmtId="1" fontId="5" fillId="33" borderId="3" xfId="0" applyNumberFormat="1" applyFont="1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2" fillId="34" borderId="2" xfId="1" applyFont="1" applyFill="1" applyBorder="1" applyAlignment="1">
      <alignment horizontal="center" vertical="center" wrapText="1"/>
    </xf>
    <xf numFmtId="0" fontId="3" fillId="34" borderId="23" xfId="1" applyFont="1" applyFill="1" applyBorder="1" applyAlignment="1">
      <alignment horizontal="center" vertical="center" wrapText="1"/>
    </xf>
    <xf numFmtId="0" fontId="3" fillId="2" borderId="23" xfId="1" applyFont="1" applyFill="1" applyBorder="1" applyAlignment="1">
      <alignment horizontal="center" vertical="center" wrapText="1"/>
    </xf>
    <xf numFmtId="0" fontId="3" fillId="35" borderId="24" xfId="1" applyFont="1" applyFill="1" applyBorder="1" applyAlignment="1">
      <alignment horizontal="center" vertical="center" wrapText="1"/>
    </xf>
    <xf numFmtId="0" fontId="3" fillId="35" borderId="25" xfId="1" applyFont="1" applyFill="1" applyBorder="1" applyAlignment="1">
      <alignment horizontal="center" vertical="center" wrapText="1"/>
    </xf>
    <xf numFmtId="0" fontId="3" fillId="34" borderId="27" xfId="1" applyFont="1" applyFill="1" applyBorder="1" applyAlignment="1">
      <alignment horizontal="center" vertical="center" wrapText="1"/>
    </xf>
    <xf numFmtId="0" fontId="2" fillId="34" borderId="28" xfId="1" applyFont="1" applyFill="1" applyBorder="1" applyAlignment="1">
      <alignment horizontal="center" vertical="center" wrapText="1"/>
    </xf>
    <xf numFmtId="0" fontId="3" fillId="34" borderId="28" xfId="1" applyFont="1" applyFill="1" applyBorder="1" applyAlignment="1">
      <alignment horizontal="center" vertical="center" wrapText="1"/>
    </xf>
    <xf numFmtId="0" fontId="3" fillId="34" borderId="26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5" fillId="6" borderId="29" xfId="0" applyFont="1" applyFill="1" applyBorder="1" applyAlignment="1">
      <alignment horizontal="right" vertical="center" wrapText="1"/>
    </xf>
    <xf numFmtId="0" fontId="0" fillId="6" borderId="30" xfId="0" applyFill="1" applyBorder="1" applyAlignment="1">
      <alignment horizontal="center"/>
    </xf>
    <xf numFmtId="0" fontId="0" fillId="0" borderId="0" xfId="0" applyAlignment="1">
      <alignment horizontal="left" vertical="center" wrapText="1"/>
    </xf>
    <xf numFmtId="1" fontId="0" fillId="8" borderId="3" xfId="0" applyNumberFormat="1" applyFill="1" applyBorder="1" applyAlignment="1">
      <alignment horizontal="left"/>
    </xf>
    <xf numFmtId="0" fontId="5" fillId="0" borderId="0" xfId="0" applyFont="1" applyAlignment="1">
      <alignment horizontal="left" vertical="center" wrapText="1"/>
    </xf>
    <xf numFmtId="0" fontId="0" fillId="6" borderId="3" xfId="0" applyFill="1" applyBorder="1" applyAlignment="1">
      <alignment horizontal="left"/>
    </xf>
    <xf numFmtId="0" fontId="5" fillId="0" borderId="31" xfId="0" applyFont="1" applyBorder="1" applyAlignment="1">
      <alignment horizontal="right" vertical="center" wrapText="1"/>
    </xf>
    <xf numFmtId="0" fontId="0" fillId="33" borderId="11" xfId="0" applyFill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9" fontId="0" fillId="0" borderId="0" xfId="116" applyFont="1"/>
    <xf numFmtId="0" fontId="0" fillId="0" borderId="0" xfId="0" applyAlignment="1">
      <alignment horizontal="right"/>
    </xf>
    <xf numFmtId="0" fontId="5" fillId="5" borderId="6" xfId="0" applyFont="1" applyFill="1" applyBorder="1" applyAlignment="1">
      <alignment horizontal="right" vertical="center" wrapText="1"/>
    </xf>
    <xf numFmtId="0" fontId="0" fillId="5" borderId="3" xfId="0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" fontId="5" fillId="0" borderId="0" xfId="0" applyNumberFormat="1" applyFont="1" applyAlignment="1">
      <alignment horizontal="center"/>
    </xf>
  </cellXfs>
  <cellStyles count="117">
    <cellStyle name="_x0004_" xfId="4" xr:uid="{7C576182-46F2-4F1A-B62C-F84CB268E81A}"/>
    <cellStyle name="_x0004_ 2" xfId="5" xr:uid="{8B4C5872-F8F4-4467-B172-AB256693AB35}"/>
    <cellStyle name="20 % - Accent1 2" xfId="6" xr:uid="{2218B51B-B5DB-42A0-86DC-C683562D01DD}"/>
    <cellStyle name="20 % - Accent2 2" xfId="7" xr:uid="{4AFF3946-F2F7-4EC5-AA8B-3A52CF1BF8F7}"/>
    <cellStyle name="20 % - Accent3 2" xfId="8" xr:uid="{0F496CDA-3BB8-46D9-96C7-428F80AEDD7D}"/>
    <cellStyle name="20 % - Accent4 2" xfId="9" xr:uid="{DC6C5E7F-03CC-400B-9BFC-AA8CB7610B73}"/>
    <cellStyle name="20 % - Accent5 2" xfId="10" xr:uid="{8CACB41D-D370-4681-A5A2-CF56770D57F3}"/>
    <cellStyle name="20 % - Accent6 2" xfId="11" xr:uid="{2238CA62-E855-40B0-B91D-8B485DBB5B28}"/>
    <cellStyle name="40 % - Accent1 2" xfId="12" xr:uid="{54887756-895D-4599-8A36-93E04336287A}"/>
    <cellStyle name="40 % - Accent2 2" xfId="13" xr:uid="{C6042956-CC83-4CDA-8535-4368AE50E123}"/>
    <cellStyle name="40 % - Accent3 2" xfId="14" xr:uid="{73316EF6-5D48-4F7D-81BF-FC8D425B3B74}"/>
    <cellStyle name="40 % - Accent4 2" xfId="15" xr:uid="{7F4ECC6F-C694-421E-81E3-D62CCBC31DB9}"/>
    <cellStyle name="40 % - Accent5 2" xfId="16" xr:uid="{E058FBC9-8CB7-43A9-AB05-F6236106C699}"/>
    <cellStyle name="40 % - Accent6 2" xfId="17" xr:uid="{9B13F1F1-74B8-444A-A7B8-A3C75CD2CFA1}"/>
    <cellStyle name="60 % - Accent1 2" xfId="18" xr:uid="{7D923DEF-467D-4E36-95F6-0E16B4DA3998}"/>
    <cellStyle name="60 % - Accent2 2" xfId="19" xr:uid="{A99BAD80-5EA4-4B42-9622-F5FF3F27DAC7}"/>
    <cellStyle name="60 % - Accent3 2" xfId="20" xr:uid="{627C98DF-991F-4E63-9BF6-F34A835D9E63}"/>
    <cellStyle name="60 % - Accent4 2" xfId="21" xr:uid="{10CF3459-A43B-4703-B0B6-7B58178EA2F3}"/>
    <cellStyle name="60 % - Accent5 2" xfId="22" xr:uid="{6CF1132B-F991-4B99-A24D-A11EE8F763D9}"/>
    <cellStyle name="60 % - Accent6 2" xfId="23" xr:uid="{F6BECC6E-EBBA-4156-BC3F-0FFCEE1FBBBE}"/>
    <cellStyle name="Accent1 2" xfId="25" xr:uid="{5C96D5B3-9013-40F4-B998-D752F1684997}"/>
    <cellStyle name="Accent1 3" xfId="26" xr:uid="{F413DB4A-ACEE-4C48-A781-9EDDDDF08845}"/>
    <cellStyle name="Accent1 4" xfId="24" xr:uid="{906D4003-B40C-4458-8944-C2652C5A2D43}"/>
    <cellStyle name="Accent2 2" xfId="28" xr:uid="{C0AC1619-254B-4051-90FF-32F4E2347358}"/>
    <cellStyle name="Accent2 3" xfId="29" xr:uid="{971A44D1-929F-4C4F-955C-CC0DB8817B2E}"/>
    <cellStyle name="Accent2 4" xfId="27" xr:uid="{95686E8F-8F11-4C5F-83F5-165CF91629E0}"/>
    <cellStyle name="Accent3 2" xfId="31" xr:uid="{8741AB76-1418-4BFF-BF45-3B9C2CA8FD0B}"/>
    <cellStyle name="Accent3 3" xfId="32" xr:uid="{232C7B3F-3F05-4256-928F-F6A73251DE12}"/>
    <cellStyle name="Accent3 4" xfId="30" xr:uid="{BEFDE4C8-BD8C-4344-BCEE-C1B2347938B8}"/>
    <cellStyle name="Accent4 2" xfId="34" xr:uid="{E328DE36-FC2A-4DDD-8F1E-93EBFB884C76}"/>
    <cellStyle name="Accent4 3" xfId="35" xr:uid="{2406512E-3AE3-4723-B2EF-8D124376F148}"/>
    <cellStyle name="Accent4 4" xfId="33" xr:uid="{FEA6B325-7FF6-4511-9F6F-973540344013}"/>
    <cellStyle name="Accent5 2" xfId="37" xr:uid="{6792D3E1-813C-4D7C-B5AB-91E05D351E84}"/>
    <cellStyle name="Accent5 3" xfId="38" xr:uid="{13CC3DDE-AC68-49F0-B030-1469E2D035AE}"/>
    <cellStyle name="Accent5 4" xfId="36" xr:uid="{51AC7FE2-CE4D-4BC0-ADF9-33EEDE6CB47A}"/>
    <cellStyle name="Accent6 2" xfId="40" xr:uid="{93D8AD37-5263-4389-89A4-C48DCA110DA3}"/>
    <cellStyle name="Accent6 3" xfId="41" xr:uid="{0F63A5E2-AE74-4602-B6F1-EDE4C58D9526}"/>
    <cellStyle name="Accent6 4" xfId="39" xr:uid="{16D9D642-7F0E-4210-B82D-E106CB71DCAF}"/>
    <cellStyle name="Avertissement 2" xfId="42" xr:uid="{574145E2-16AB-4851-982C-914F99DF7D97}"/>
    <cellStyle name="Bad" xfId="43" xr:uid="{7BF085F6-B4E6-485B-A5F1-93CFDA51FED9}"/>
    <cellStyle name="Calcul 2" xfId="44" xr:uid="{A9DBAEE9-D958-44B0-8538-C51E4164085D}"/>
    <cellStyle name="Cellule liée 2" xfId="45" xr:uid="{639E5886-5AC7-4DA9-B111-0B13A7DED843}"/>
    <cellStyle name="Check Cell" xfId="46" xr:uid="{B2F9E04B-DEC1-4A81-BD48-BCBCBEBE945D}"/>
    <cellStyle name="Commentaire 2" xfId="47" xr:uid="{51E8F2E6-0E54-4016-BCC9-001AF439693C}"/>
    <cellStyle name="Commentaire 3" xfId="48" xr:uid="{08412A97-E82B-4FA0-B3F5-CAE15EE7FAE1}"/>
    <cellStyle name="ekrn" xfId="49" xr:uid="{C43E88F3-7BD0-443B-89E0-941CCF3C63A2}"/>
    <cellStyle name="Entrée 2" xfId="50" xr:uid="{F8B1DEA8-8997-42D1-8CD4-FB64FEB98CB2}"/>
    <cellStyle name="entry" xfId="51" xr:uid="{7A02A763-2A46-4A65-B5F0-09DE74EB0A7A}"/>
    <cellStyle name="Euro" xfId="52" xr:uid="{9F9956A4-D946-404D-AF11-7115E25FF83E}"/>
    <cellStyle name="Euro 2" xfId="53" xr:uid="{93AE61FA-F7A8-4BEF-9BFA-427811D16159}"/>
    <cellStyle name="Euro 3" xfId="54" xr:uid="{0CE64DDA-B7E3-44AC-B8D3-856F8B8E73C5}"/>
    <cellStyle name="Euro 4" xfId="113" xr:uid="{EF56DB7F-51E1-4839-AF42-A7864AABB1E2}"/>
    <cellStyle name="Explanatory Text" xfId="55" xr:uid="{44C40E6B-1640-417A-9641-DF56721F50DF}"/>
    <cellStyle name="Good" xfId="56" xr:uid="{30889112-520B-4348-8365-61534B11D40B}"/>
    <cellStyle name="Heading 1" xfId="57" xr:uid="{45DAFF5B-A3FC-4A15-98BD-45D290E40861}"/>
    <cellStyle name="Heading 2" xfId="58" xr:uid="{B2E872C2-DC0D-467A-9E7D-9C099489BAC6}"/>
    <cellStyle name="Heading 3" xfId="59" xr:uid="{B45EACD6-CCE2-498B-9CE2-E7ABE65EAD4E}"/>
    <cellStyle name="Heading 4" xfId="60" xr:uid="{A66BFFD5-6573-4F11-8B57-980546AC0AC3}"/>
    <cellStyle name="Insatisfaisant 2" xfId="62" xr:uid="{B9CEF989-F975-4AE4-8299-64A9E0E2B378}"/>
    <cellStyle name="Insatisfaisant 3" xfId="61" xr:uid="{32971E3B-2543-4570-A64C-0462FAD6BC2B}"/>
    <cellStyle name="Lien hypertexte 2" xfId="114" xr:uid="{0B22C807-C23E-4677-A724-CD5CF4EE7E27}"/>
    <cellStyle name="Neutral" xfId="63" xr:uid="{8CF03B0D-919A-4B48-867B-10A99BB1DF0F}"/>
    <cellStyle name="Neutre 2" xfId="65" xr:uid="{09517310-DA6E-4D73-9326-E304615B0996}"/>
    <cellStyle name="Neutre 3" xfId="64" xr:uid="{E843F2E5-362B-44E9-B888-0129B857C20F}"/>
    <cellStyle name="No_DD" xfId="66" xr:uid="{2A511C53-16A4-4D25-BE53-520B053B1951}"/>
    <cellStyle name="Non défini" xfId="67" xr:uid="{FB80EAC4-5BD4-4BBF-A660-F86EC99FED8B}"/>
    <cellStyle name="Normal" xfId="0" builtinId="0"/>
    <cellStyle name="Normal 11" xfId="68" xr:uid="{1FA9A40A-B12D-4418-B3A1-07D92E8F1240}"/>
    <cellStyle name="Normal 2" xfId="2" xr:uid="{D67433ED-7F5D-4EC1-B1EF-02CB07768FB4}"/>
    <cellStyle name="Normal 2 2" xfId="1" xr:uid="{71B1E380-9D52-4D29-846B-7160B49F9F81}"/>
    <cellStyle name="Normal 2 2 2" xfId="112" xr:uid="{4F307507-A3AE-4FBF-ACEF-3756167AE276}"/>
    <cellStyle name="Normal 2 2 3" xfId="70" xr:uid="{5CA123F6-DC50-4697-A80E-3DA169553F43}"/>
    <cellStyle name="Normal 2 3" xfId="71" xr:uid="{C8E05E40-500C-4BCD-905C-F4AA3A6D8DAF}"/>
    <cellStyle name="Normal 2 4" xfId="69" xr:uid="{F70F9D39-3D4D-4CAA-A1F9-86E128D4ABB9}"/>
    <cellStyle name="Normal 3" xfId="72" xr:uid="{52F6DFE2-D7DA-4BCA-B448-43CB525647FA}"/>
    <cellStyle name="Normal 3 2" xfId="115" xr:uid="{9BDDDE8E-C04C-4B7E-A0E8-1DF73F6D0BD2}"/>
    <cellStyle name="Normal 4" xfId="73" xr:uid="{8B1D94FD-81E5-4C11-BD13-F685E9871C5A}"/>
    <cellStyle name="Normal 5" xfId="3" xr:uid="{CF149FC1-6F63-46AC-870B-1145450F26A3}"/>
    <cellStyle name="Normal 6" xfId="74" xr:uid="{F043785C-4393-4C52-8D54-10DB82FAC6A6}"/>
    <cellStyle name="Output" xfId="75" xr:uid="{04EB2452-5580-400C-AC8B-388538C9D14D}"/>
    <cellStyle name="para" xfId="76" xr:uid="{B2F17004-20F8-4CC3-8F0E-E90B7F5F40D8}"/>
    <cellStyle name="Pourcentage 2" xfId="116" xr:uid="{FB505A07-FF9F-48E9-82E4-10DC00598616}"/>
    <cellStyle name="Satisfaisant 2" xfId="78" xr:uid="{DF43DC75-82EB-448E-8520-C4D59D3F12B2}"/>
    <cellStyle name="Satisfaisant 3" xfId="77" xr:uid="{7C2014A0-23D8-4D8F-A3A8-6AD7035A436B}"/>
    <cellStyle name="sect" xfId="79" xr:uid="{E432593E-FD9A-49EB-9E20-4BDD3691801C}"/>
    <cellStyle name="sect1" xfId="80" xr:uid="{6343A311-25C2-4E8E-B9FC-68A0C32B04D4}"/>
    <cellStyle name="sect2" xfId="81" xr:uid="{DF73A82A-64F3-4599-A9EE-59902388F345}"/>
    <cellStyle name="sect3" xfId="82" xr:uid="{71F9BE8E-5FAA-4633-84B4-728CA7BCEC15}"/>
    <cellStyle name="sect4" xfId="83" xr:uid="{AE3CBFDE-732A-4C6E-8652-882A3CF025A6}"/>
    <cellStyle name="sect5" xfId="84" xr:uid="{E98810F6-9AE4-47AF-AB07-53AA5A6D307F}"/>
    <cellStyle name="sect6" xfId="85" xr:uid="{7AF51B02-9B5C-46F8-8AD8-F9FB4BF025FE}"/>
    <cellStyle name="sect7" xfId="86" xr:uid="{E4AE4CA5-F040-4DF5-B08B-E32788EFDF86}"/>
    <cellStyle name="sect8" xfId="87" xr:uid="{D77D8B9E-7CDF-4CEF-9455-70AE6F4F2EB9}"/>
    <cellStyle name="sect9" xfId="88" xr:uid="{8959DA8C-DF8B-4602-8710-55E1F5F35564}"/>
    <cellStyle name="Sortie 2" xfId="90" xr:uid="{89E8D579-639E-4CEF-AC2F-6DCE25D55A60}"/>
    <cellStyle name="Sortie 3" xfId="89" xr:uid="{259338F2-C1AA-48FC-BDD0-73F53E792E0B}"/>
    <cellStyle name="Style 1" xfId="91" xr:uid="{A6E88A75-2CE2-4819-B31B-E481CAA6658E}"/>
    <cellStyle name="tableTitle" xfId="92" xr:uid="{1FD1A953-9A65-4208-9E0D-DC85FD6E3940}"/>
    <cellStyle name="Texte explicatif 2" xfId="94" xr:uid="{8093C024-1B1E-4720-AC2D-65B85C61AE1B}"/>
    <cellStyle name="Texte explicatif 3" xfId="93" xr:uid="{503D8113-64DA-4CC8-804F-59B37750027B}"/>
    <cellStyle name="Title" xfId="95" xr:uid="{B2C51609-86E0-4128-A8B6-914EDBC8D337}"/>
    <cellStyle name="Titre 2" xfId="97" xr:uid="{6342A11D-3138-4C0D-BE58-7FDCD3B88825}"/>
    <cellStyle name="Titre 3" xfId="96" xr:uid="{8B57A324-FF7A-4922-B3BB-8845D7D15645}"/>
    <cellStyle name="Titre 1 2" xfId="99" xr:uid="{0CAC0BA6-AB5A-455A-B967-CB4C49FF4878}"/>
    <cellStyle name="Titre 1 3" xfId="98" xr:uid="{86F9DD67-F858-4F3F-A042-ECE0529C9D8E}"/>
    <cellStyle name="Titre 2 2" xfId="101" xr:uid="{BCE1D96D-39C7-4F26-94EA-0688F068F91C}"/>
    <cellStyle name="Titre 2 3" xfId="100" xr:uid="{F51DA9B9-0108-42CC-AE33-01DA49A1F353}"/>
    <cellStyle name="Titre 3 2" xfId="103" xr:uid="{5A6439DD-EE5C-41A7-9FB3-15798327392D}"/>
    <cellStyle name="Titre 3 3" xfId="102" xr:uid="{36F7F22D-7E07-435C-9D64-9C8D982649E2}"/>
    <cellStyle name="Titre 4 2" xfId="105" xr:uid="{8C4AE84F-981F-4572-B1D5-F1278A741CC8}"/>
    <cellStyle name="Titre 4 3" xfId="104" xr:uid="{41D98A2D-CD4E-4A83-8C16-0F9BB681D834}"/>
    <cellStyle name="Total 2" xfId="107" xr:uid="{722A6581-9487-43CC-8BAF-78DB3042429D}"/>
    <cellStyle name="Total 3" xfId="108" xr:uid="{B4C10B9E-B038-44EE-BBFB-E71A4C410D95}"/>
    <cellStyle name="Total 4" xfId="106" xr:uid="{C566E2AA-9068-4668-88B1-C734D17F722C}"/>
    <cellStyle name="Vérification 2" xfId="110" xr:uid="{E8FAE8A0-BF00-4732-B4BE-4690FCB2EC93}"/>
    <cellStyle name="Vérification 3" xfId="109" xr:uid="{00536D1B-5458-4E59-B403-0DCB967FFE04}"/>
    <cellStyle name="標準_SE640766-DocReg-Rashidiya - Rev A" xfId="111" xr:uid="{709DCF6C-F2A0-48F0-92D8-03F32A9469B3}"/>
  </cellStyles>
  <dxfs count="0"/>
  <tableStyles count="0" defaultTableStyle="TableStyleMedium2" defaultPivotStyle="PivotStyleLight16"/>
  <colors>
    <mruColors>
      <color rgb="FFE0E0E0"/>
      <color rgb="FFEFEFEF"/>
      <color rgb="FFFFCC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Thermomètre JS2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MOR!$A$28</c:f>
              <c:strCache>
                <c:ptCount val="1"/>
                <c:pt idx="0">
                  <c:v>OK Jalon JS2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MOR!$B$28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D-4C0E-A9E0-03A2D938C640}"/>
            </c:ext>
          </c:extLst>
        </c:ser>
        <c:ser>
          <c:idx val="1"/>
          <c:order val="1"/>
          <c:tx>
            <c:strRef>
              <c:f>MOR!$A$29</c:f>
              <c:strCache>
                <c:ptCount val="1"/>
                <c:pt idx="0">
                  <c:v>NOK Jalon JS2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MOR!$B$29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9D-4C0E-A9E0-03A2D938C640}"/>
            </c:ext>
          </c:extLst>
        </c:ser>
        <c:ser>
          <c:idx val="2"/>
          <c:order val="2"/>
          <c:tx>
            <c:strRef>
              <c:f>MOR!$A$31</c:f>
              <c:strCache>
                <c:ptCount val="1"/>
                <c:pt idx="0">
                  <c:v>En relecture RATP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MOR!$B$31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9D-4C0E-A9E0-03A2D938C640}"/>
            </c:ext>
          </c:extLst>
        </c:ser>
        <c:ser>
          <c:idx val="3"/>
          <c:order val="3"/>
          <c:tx>
            <c:strRef>
              <c:f>MOR!$A$32</c:f>
              <c:strCache>
                <c:ptCount val="1"/>
                <c:pt idx="0">
                  <c:v>A soumettre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MOR!$B$32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9D-4C0E-A9E0-03A2D938C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7677688"/>
        <c:axId val="1737678016"/>
      </c:barChart>
      <c:catAx>
        <c:axId val="17376776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37678016"/>
        <c:crosses val="autoZero"/>
        <c:auto val="1"/>
        <c:lblAlgn val="ctr"/>
        <c:lblOffset val="100"/>
        <c:noMultiLvlLbl val="0"/>
      </c:catAx>
      <c:valAx>
        <c:axId val="173767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767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MOR!$A$3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MOR!$B$2:$G$2</c:f>
              <c:strCache>
                <c:ptCount val="6"/>
                <c:pt idx="0">
                  <c:v>Annulé</c:v>
                </c:pt>
                <c:pt idx="1">
                  <c:v>En attente retour RATP</c:v>
                </c:pt>
                <c:pt idx="2">
                  <c:v>Refusé</c:v>
                </c:pt>
                <c:pt idx="3">
                  <c:v>Accepté avec Réserves</c:v>
                </c:pt>
                <c:pt idx="4">
                  <c:v>Accepté</c:v>
                </c:pt>
                <c:pt idx="5">
                  <c:v>Sortie temporaire du Jalon JS1</c:v>
                </c:pt>
              </c:strCache>
            </c:strRef>
          </c:cat>
          <c:val>
            <c:numRef>
              <c:f>MOR!$B$3:$G$3</c:f>
              <c:numCache>
                <c:formatCode>General</c:formatCode>
                <c:ptCount val="6"/>
                <c:pt idx="0" formatCode="0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0">
                  <c:v>0</c:v>
                </c:pt>
                <c:pt idx="4" formatCode="0">
                  <c:v>0</c:v>
                </c:pt>
                <c:pt idx="5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B7-46E1-8F0A-B1F2DE584037}"/>
            </c:ext>
          </c:extLst>
        </c:ser>
        <c:ser>
          <c:idx val="1"/>
          <c:order val="1"/>
          <c:tx>
            <c:strRef>
              <c:f>MOR!$A$4</c:f>
              <c:strCache>
                <c:ptCount val="1"/>
                <c:pt idx="0">
                  <c:v>FD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MOR!$B$2:$G$2</c:f>
              <c:strCache>
                <c:ptCount val="6"/>
                <c:pt idx="0">
                  <c:v>Annulé</c:v>
                </c:pt>
                <c:pt idx="1">
                  <c:v>En attente retour RATP</c:v>
                </c:pt>
                <c:pt idx="2">
                  <c:v>Refusé</c:v>
                </c:pt>
                <c:pt idx="3">
                  <c:v>Accepté avec Réserves</c:v>
                </c:pt>
                <c:pt idx="4">
                  <c:v>Accepté</c:v>
                </c:pt>
                <c:pt idx="5">
                  <c:v>Sortie temporaire du Jalon JS1</c:v>
                </c:pt>
              </c:strCache>
            </c:strRef>
          </c:cat>
          <c:val>
            <c:numRef>
              <c:f>MOR!$B$4:$G$4</c:f>
              <c:numCache>
                <c:formatCode>General</c:formatCode>
                <c:ptCount val="6"/>
                <c:pt idx="0" formatCode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0</c:v>
                </c:pt>
                <c:pt idx="5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B7-46E1-8F0A-B1F2DE584037}"/>
            </c:ext>
          </c:extLst>
        </c:ser>
        <c:ser>
          <c:idx val="2"/>
          <c:order val="2"/>
          <c:tx>
            <c:strRef>
              <c:f>MOR!$A$5</c:f>
              <c:strCache>
                <c:ptCount val="1"/>
                <c:pt idx="0">
                  <c:v>Maj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MOR!$B$2:$G$2</c:f>
              <c:strCache>
                <c:ptCount val="6"/>
                <c:pt idx="0">
                  <c:v>Annulé</c:v>
                </c:pt>
                <c:pt idx="1">
                  <c:v>En attente retour RATP</c:v>
                </c:pt>
                <c:pt idx="2">
                  <c:v>Refusé</c:v>
                </c:pt>
                <c:pt idx="3">
                  <c:v>Accepté avec Réserves</c:v>
                </c:pt>
                <c:pt idx="4">
                  <c:v>Accepté</c:v>
                </c:pt>
                <c:pt idx="5">
                  <c:v>Sortie temporaire du Jalon JS1</c:v>
                </c:pt>
              </c:strCache>
            </c:strRef>
          </c:cat>
          <c:val>
            <c:numRef>
              <c:f>MOR!$B$5:$G$5</c:f>
              <c:numCache>
                <c:formatCode>General</c:formatCode>
                <c:ptCount val="6"/>
                <c:pt idx="0" formatCode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0</c:v>
                </c:pt>
                <c:pt idx="5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B7-46E1-8F0A-B1F2DE584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9388176"/>
        <c:axId val="699383584"/>
      </c:barChart>
      <c:catAx>
        <c:axId val="69938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9383584"/>
        <c:crosses val="autoZero"/>
        <c:auto val="1"/>
        <c:lblAlgn val="ctr"/>
        <c:lblOffset val="100"/>
        <c:noMultiLvlLbl val="0"/>
      </c:catAx>
      <c:valAx>
        <c:axId val="69938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938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8505</xdr:colOff>
      <xdr:row>25</xdr:row>
      <xdr:rowOff>63612</xdr:rowOff>
    </xdr:from>
    <xdr:to>
      <xdr:col>6</xdr:col>
      <xdr:colOff>1913505</xdr:colOff>
      <xdr:row>42</xdr:row>
      <xdr:rowOff>54088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D96DCEA8-2170-4964-8BFC-5C66A04D0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278095</xdr:colOff>
      <xdr:row>6</xdr:row>
      <xdr:rowOff>133689</xdr:rowOff>
    </xdr:from>
    <xdr:to>
      <xdr:col>7</xdr:col>
      <xdr:colOff>0</xdr:colOff>
      <xdr:row>22</xdr:row>
      <xdr:rowOff>119062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B7A916D-18E4-43E4-AB20-2DDE43B96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3C153-A5E2-4438-BBE9-B5DF121E7522}">
  <sheetPr codeName="Feuil1">
    <tabColor rgb="FF92D050"/>
  </sheetPr>
  <dimension ref="A1:F39"/>
  <sheetViews>
    <sheetView zoomScale="130" zoomScaleNormal="130" workbookViewId="0">
      <selection activeCell="A24" sqref="A20:XFD24"/>
    </sheetView>
  </sheetViews>
  <sheetFormatPr baseColWidth="10" defaultRowHeight="12.75" x14ac:dyDescent="0.2"/>
  <cols>
    <col min="1" max="1" width="46.42578125" style="1" customWidth="1"/>
    <col min="4" max="4" width="13" style="4" customWidth="1"/>
    <col min="5" max="5" width="30" style="67" customWidth="1"/>
  </cols>
  <sheetData>
    <row r="1" spans="1:6" ht="13.5" thickBot="1" x14ac:dyDescent="0.25"/>
    <row r="2" spans="1:6" x14ac:dyDescent="0.2">
      <c r="A2" s="13" t="s">
        <v>12</v>
      </c>
      <c r="B2" s="6" t="s">
        <v>3</v>
      </c>
      <c r="C2" s="7" t="s">
        <v>2</v>
      </c>
      <c r="D2" s="9" t="s">
        <v>11</v>
      </c>
    </row>
    <row r="3" spans="1:6" x14ac:dyDescent="0.2">
      <c r="A3" s="14" t="s">
        <v>0</v>
      </c>
      <c r="B3" s="37"/>
      <c r="C3" s="37"/>
      <c r="D3" s="43">
        <f>B3+C3</f>
        <v>0</v>
      </c>
    </row>
    <row r="4" spans="1:6" x14ac:dyDescent="0.2">
      <c r="A4" s="15" t="s">
        <v>1</v>
      </c>
      <c r="B4" s="37"/>
      <c r="C4" s="37"/>
      <c r="D4" s="43">
        <f>B4+C4</f>
        <v>0</v>
      </c>
    </row>
    <row r="5" spans="1:6" x14ac:dyDescent="0.2">
      <c r="A5" s="15" t="s">
        <v>62</v>
      </c>
      <c r="B5" s="37"/>
      <c r="C5" s="37"/>
      <c r="D5" s="43">
        <f>B5+C5</f>
        <v>0</v>
      </c>
    </row>
    <row r="6" spans="1:6" x14ac:dyDescent="0.2">
      <c r="A6" s="14" t="s">
        <v>7</v>
      </c>
      <c r="B6" s="43">
        <f>B3+B4+B5</f>
        <v>0</v>
      </c>
      <c r="C6" s="43">
        <f>C3+C4+C5</f>
        <v>0</v>
      </c>
      <c r="D6" s="43">
        <f>B6+C6</f>
        <v>0</v>
      </c>
    </row>
    <row r="7" spans="1:6" ht="13.5" thickBot="1" x14ac:dyDescent="0.25">
      <c r="A7" s="16" t="s">
        <v>9</v>
      </c>
      <c r="B7" s="45" t="str">
        <f>IF(D6=0,"",B6/D6)</f>
        <v/>
      </c>
      <c r="C7" s="45" t="str">
        <f>IF(D6=0,"",C6/D6)</f>
        <v/>
      </c>
      <c r="D7" s="37"/>
    </row>
    <row r="8" spans="1:6" x14ac:dyDescent="0.2">
      <c r="A8" s="17" t="s">
        <v>8</v>
      </c>
      <c r="B8" s="5"/>
      <c r="C8" s="8"/>
      <c r="D8" s="43">
        <f>B8+C8</f>
        <v>0</v>
      </c>
    </row>
    <row r="9" spans="1:6" ht="13.5" thickBot="1" x14ac:dyDescent="0.25">
      <c r="A9" s="18" t="s">
        <v>9</v>
      </c>
      <c r="B9" s="45" t="str">
        <f>IF(B6=0,"",B8/B6)</f>
        <v/>
      </c>
      <c r="C9" s="45" t="str">
        <f>IF(C6=0,"",C8/C6)</f>
        <v/>
      </c>
      <c r="D9" s="44" t="str">
        <f>IF(D6=0,"",D8/D6)</f>
        <v/>
      </c>
    </row>
    <row r="10" spans="1:6" ht="13.5" thickBot="1" x14ac:dyDescent="0.25">
      <c r="A10" s="22" t="s">
        <v>10</v>
      </c>
      <c r="B10" s="5"/>
      <c r="C10" s="5"/>
      <c r="D10" s="43">
        <f>B10+C10</f>
        <v>0</v>
      </c>
    </row>
    <row r="11" spans="1:6" x14ac:dyDescent="0.2">
      <c r="A11" s="33" t="s">
        <v>15</v>
      </c>
      <c r="B11" s="34" t="str">
        <f>IF(B6=0,"",(B16+B24+B29)/B6)</f>
        <v/>
      </c>
      <c r="C11" s="34" t="str">
        <f>IF(C6=0,"",(C16+C24+C29)/C6)</f>
        <v/>
      </c>
      <c r="D11" s="34" t="str">
        <f>IF(D6=0,"",(D16+D24+D29)/D6)</f>
        <v/>
      </c>
    </row>
    <row r="12" spans="1:6" x14ac:dyDescent="0.2">
      <c r="A12" s="23" t="s">
        <v>63</v>
      </c>
      <c r="B12" s="47">
        <f>BT_FP__+BT_FD__+BT_Maj__</f>
        <v>0</v>
      </c>
      <c r="C12" s="48">
        <f>AT_FP__+AT_FD__+AT_Maj__</f>
        <v>0</v>
      </c>
      <c r="D12" s="49">
        <f>B12+C12</f>
        <v>0</v>
      </c>
      <c r="F12" s="29"/>
    </row>
    <row r="13" spans="1:6" x14ac:dyDescent="0.2">
      <c r="A13" s="77" t="s">
        <v>0</v>
      </c>
      <c r="B13" s="78"/>
      <c r="C13" s="37"/>
      <c r="D13" s="11">
        <f t="shared" ref="D13:D15" si="0">B13+C13</f>
        <v>0</v>
      </c>
      <c r="E13" s="69"/>
    </row>
    <row r="14" spans="1:6" x14ac:dyDescent="0.2">
      <c r="A14" s="77" t="s">
        <v>1</v>
      </c>
      <c r="B14" s="78"/>
      <c r="C14" s="37"/>
      <c r="D14" s="11">
        <f t="shared" si="0"/>
        <v>0</v>
      </c>
      <c r="E14" s="69"/>
    </row>
    <row r="15" spans="1:6" x14ac:dyDescent="0.2">
      <c r="A15" s="77" t="s">
        <v>62</v>
      </c>
      <c r="B15" s="78"/>
      <c r="C15" s="37"/>
      <c r="D15" s="11">
        <f t="shared" si="0"/>
        <v>0</v>
      </c>
      <c r="E15" s="69"/>
    </row>
    <row r="16" spans="1:6" x14ac:dyDescent="0.2">
      <c r="A16" s="26" t="str">
        <f>"Demande de sortie temporaire du " &amp; Jalon</f>
        <v>Demande de sortie temporaire du Jalon JS1</v>
      </c>
      <c r="B16" s="27"/>
      <c r="C16" s="28"/>
      <c r="D16" s="28">
        <f t="shared" ref="D16:D32" si="1">B16+C16</f>
        <v>0</v>
      </c>
      <c r="E16" s="68" t="s">
        <v>13</v>
      </c>
    </row>
    <row r="17" spans="1:6" x14ac:dyDescent="0.2">
      <c r="A17" s="77" t="s">
        <v>0</v>
      </c>
      <c r="B17" s="78"/>
      <c r="C17" s="37"/>
      <c r="D17" s="11">
        <f t="shared" si="1"/>
        <v>0</v>
      </c>
      <c r="E17" s="69"/>
    </row>
    <row r="18" spans="1:6" x14ac:dyDescent="0.2">
      <c r="A18" s="77" t="s">
        <v>1</v>
      </c>
      <c r="B18" s="78"/>
      <c r="C18" s="37"/>
      <c r="D18" s="11">
        <f t="shared" si="1"/>
        <v>0</v>
      </c>
      <c r="E18" s="69"/>
    </row>
    <row r="19" spans="1:6" x14ac:dyDescent="0.2">
      <c r="A19" s="77" t="s">
        <v>62</v>
      </c>
      <c r="B19" s="78"/>
      <c r="C19" s="37"/>
      <c r="D19" s="11">
        <f t="shared" si="1"/>
        <v>0</v>
      </c>
      <c r="E19" s="69"/>
    </row>
    <row r="20" spans="1:6" x14ac:dyDescent="0.2">
      <c r="A20" s="26" t="s">
        <v>64</v>
      </c>
      <c r="B20" s="27">
        <f>BT_FP_ANNULE+BT_FD_ANNULE+BT_Maj_ANNULE</f>
        <v>0</v>
      </c>
      <c r="C20" s="27">
        <f>BT_FP_ANNULE+BT_FD_ANNULE+BT_Maj_ANNULE</f>
        <v>0</v>
      </c>
      <c r="D20" s="28">
        <f t="shared" si="1"/>
        <v>0</v>
      </c>
      <c r="E20" s="68" t="s">
        <v>13</v>
      </c>
    </row>
    <row r="21" spans="1:6" x14ac:dyDescent="0.2">
      <c r="A21" s="77" t="s">
        <v>0</v>
      </c>
      <c r="B21" s="77"/>
      <c r="C21" s="77"/>
      <c r="D21" s="11">
        <f t="shared" si="1"/>
        <v>0</v>
      </c>
      <c r="E21" s="69"/>
    </row>
    <row r="22" spans="1:6" x14ac:dyDescent="0.2">
      <c r="A22" s="77" t="s">
        <v>1</v>
      </c>
      <c r="B22" s="77"/>
      <c r="C22" s="77"/>
      <c r="D22" s="11">
        <f t="shared" si="1"/>
        <v>0</v>
      </c>
      <c r="E22" s="69"/>
    </row>
    <row r="23" spans="1:6" x14ac:dyDescent="0.2">
      <c r="A23" s="77" t="s">
        <v>62</v>
      </c>
      <c r="B23" s="77"/>
      <c r="C23" s="77"/>
      <c r="D23" s="11">
        <f t="shared" si="1"/>
        <v>0</v>
      </c>
      <c r="E23" s="69"/>
    </row>
    <row r="24" spans="1:6" x14ac:dyDescent="0.2">
      <c r="A24" s="36" t="s">
        <v>4</v>
      </c>
      <c r="B24" s="46">
        <f>B25+B26+B27</f>
        <v>0</v>
      </c>
      <c r="C24" s="46">
        <f>C25+C26+C27</f>
        <v>0</v>
      </c>
      <c r="D24" s="43">
        <f>B24+C24</f>
        <v>0</v>
      </c>
      <c r="E24" s="68" t="s">
        <v>13</v>
      </c>
    </row>
    <row r="25" spans="1:6" x14ac:dyDescent="0.2">
      <c r="A25" s="20" t="s">
        <v>0</v>
      </c>
      <c r="B25" s="10"/>
      <c r="C25" s="11"/>
      <c r="D25" s="11">
        <f t="shared" ref="D25:D27" si="2">B25+C25</f>
        <v>0</v>
      </c>
      <c r="E25" s="69"/>
    </row>
    <row r="26" spans="1:6" x14ac:dyDescent="0.2">
      <c r="A26" s="20" t="s">
        <v>1</v>
      </c>
      <c r="B26" s="10"/>
      <c r="C26" s="11"/>
      <c r="D26" s="11">
        <f t="shared" si="2"/>
        <v>0</v>
      </c>
      <c r="E26" s="69"/>
    </row>
    <row r="27" spans="1:6" x14ac:dyDescent="0.2">
      <c r="A27" s="20" t="s">
        <v>62</v>
      </c>
      <c r="B27" s="10"/>
      <c r="C27" s="11"/>
      <c r="D27" s="11">
        <f t="shared" si="2"/>
        <v>0</v>
      </c>
      <c r="E27" s="69"/>
    </row>
    <row r="28" spans="1:6" x14ac:dyDescent="0.2">
      <c r="A28" s="19" t="s">
        <v>6</v>
      </c>
      <c r="B28" s="46">
        <f>B29+B30+B31</f>
        <v>0</v>
      </c>
      <c r="C28" s="46">
        <f>C29+C30+C31</f>
        <v>0</v>
      </c>
      <c r="D28" s="43">
        <f t="shared" si="1"/>
        <v>0</v>
      </c>
      <c r="F28" s="29"/>
    </row>
    <row r="29" spans="1:6" x14ac:dyDescent="0.2">
      <c r="A29" s="20" t="s">
        <v>0</v>
      </c>
      <c r="B29" s="10"/>
      <c r="C29" s="11"/>
      <c r="D29" s="11">
        <f t="shared" si="1"/>
        <v>0</v>
      </c>
      <c r="E29" s="68" t="s">
        <v>13</v>
      </c>
    </row>
    <row r="30" spans="1:6" x14ac:dyDescent="0.2">
      <c r="A30" s="21" t="s">
        <v>1</v>
      </c>
      <c r="B30" s="12"/>
      <c r="C30" s="12"/>
      <c r="D30" s="12">
        <f t="shared" si="1"/>
        <v>0</v>
      </c>
      <c r="E30" s="70" t="s">
        <v>14</v>
      </c>
    </row>
    <row r="31" spans="1:6" x14ac:dyDescent="0.2">
      <c r="A31" s="21" t="s">
        <v>62</v>
      </c>
      <c r="B31" s="12"/>
      <c r="C31" s="12"/>
      <c r="D31" s="12">
        <f t="shared" si="1"/>
        <v>0</v>
      </c>
      <c r="E31" s="70" t="s">
        <v>14</v>
      </c>
    </row>
    <row r="32" spans="1:6" x14ac:dyDescent="0.2">
      <c r="A32" s="19" t="s">
        <v>5</v>
      </c>
      <c r="B32" s="42">
        <f>B33+B34+B35</f>
        <v>0</v>
      </c>
      <c r="C32" s="42">
        <f>C33+C34+C35</f>
        <v>0</v>
      </c>
      <c r="D32" s="41">
        <f t="shared" si="1"/>
        <v>0</v>
      </c>
      <c r="F32" s="29"/>
    </row>
    <row r="33" spans="1:5" x14ac:dyDescent="0.2">
      <c r="A33" s="21" t="s">
        <v>0</v>
      </c>
      <c r="B33" s="12"/>
      <c r="C33" s="12"/>
      <c r="D33" s="12">
        <f>C33+B33</f>
        <v>0</v>
      </c>
      <c r="E33" s="70" t="s">
        <v>14</v>
      </c>
    </row>
    <row r="34" spans="1:5" x14ac:dyDescent="0.2">
      <c r="A34" s="24" t="s">
        <v>1</v>
      </c>
      <c r="B34" s="12"/>
      <c r="C34" s="12"/>
      <c r="D34" s="25">
        <f>C34+B34</f>
        <v>0</v>
      </c>
      <c r="E34" s="70" t="s">
        <v>14</v>
      </c>
    </row>
    <row r="35" spans="1:5" ht="13.5" thickBot="1" x14ac:dyDescent="0.25">
      <c r="A35" s="65" t="s">
        <v>62</v>
      </c>
      <c r="B35" s="66"/>
      <c r="C35" s="66"/>
      <c r="D35" s="25">
        <f>C35+B35</f>
        <v>0</v>
      </c>
      <c r="E35" s="70" t="s">
        <v>14</v>
      </c>
    </row>
    <row r="36" spans="1:5" x14ac:dyDescent="0.2">
      <c r="A36" s="35" t="str">
        <f>"Documents à resoumettre pour Franchir le " &amp; Jalon</f>
        <v>Documents à resoumettre pour Franchir le Jalon JS1</v>
      </c>
      <c r="B36" s="50">
        <f>B37+B38+B39</f>
        <v>0</v>
      </c>
      <c r="C36" s="50">
        <f>C37+C38+C39</f>
        <v>0</v>
      </c>
      <c r="D36" s="50">
        <f>B36+C36</f>
        <v>0</v>
      </c>
    </row>
    <row r="37" spans="1:5" x14ac:dyDescent="0.2">
      <c r="A37" s="38" t="s">
        <v>0</v>
      </c>
      <c r="B37" s="46">
        <f>B33</f>
        <v>0</v>
      </c>
      <c r="C37" s="46">
        <f>C33</f>
        <v>0</v>
      </c>
      <c r="D37" s="51">
        <f>B37+C37</f>
        <v>0</v>
      </c>
    </row>
    <row r="38" spans="1:5" x14ac:dyDescent="0.2">
      <c r="A38" s="38" t="s">
        <v>1</v>
      </c>
      <c r="B38" s="46">
        <f>B30+B34</f>
        <v>0</v>
      </c>
      <c r="C38" s="46">
        <f>C30+C34</f>
        <v>0</v>
      </c>
      <c r="D38" s="46">
        <f>B38+C38</f>
        <v>0</v>
      </c>
    </row>
    <row r="39" spans="1:5" ht="13.5" thickBot="1" x14ac:dyDescent="0.25">
      <c r="A39" s="71" t="s">
        <v>62</v>
      </c>
      <c r="B39" s="72">
        <f>B31+B35</f>
        <v>0</v>
      </c>
      <c r="C39" s="72">
        <f>C31+C35</f>
        <v>0</v>
      </c>
      <c r="D39" s="52">
        <f>B39+C39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AED8D-50C4-498D-9C95-F7409E455226}">
  <sheetPr codeName="Feuil3">
    <tabColor rgb="FF92D050"/>
  </sheetPr>
  <dimension ref="A1:AO1"/>
  <sheetViews>
    <sheetView topLeftCell="X1" workbookViewId="0">
      <selection activeCell="AL1" sqref="AL1"/>
    </sheetView>
  </sheetViews>
  <sheetFormatPr baseColWidth="10" defaultRowHeight="19.5" customHeight="1" x14ac:dyDescent="0.2"/>
  <cols>
    <col min="37" max="38" width="13.42578125" customWidth="1"/>
    <col min="39" max="39" width="12.5703125" customWidth="1"/>
  </cols>
  <sheetData>
    <row r="1" spans="1:41" s="64" customFormat="1" ht="36" customHeight="1" thickBot="1" x14ac:dyDescent="0.25">
      <c r="A1" s="53" t="s">
        <v>22</v>
      </c>
      <c r="B1" s="53" t="s">
        <v>23</v>
      </c>
      <c r="C1" s="53" t="s">
        <v>24</v>
      </c>
      <c r="D1" s="53" t="s">
        <v>25</v>
      </c>
      <c r="E1" s="53" t="s">
        <v>26</v>
      </c>
      <c r="F1" s="53" t="s">
        <v>27</v>
      </c>
      <c r="G1" s="53" t="s">
        <v>28</v>
      </c>
      <c r="H1" s="53" t="s">
        <v>29</v>
      </c>
      <c r="I1" s="55" t="s">
        <v>30</v>
      </c>
      <c r="J1" s="55" t="s">
        <v>31</v>
      </c>
      <c r="K1" s="55" t="s">
        <v>32</v>
      </c>
      <c r="L1" s="55" t="s">
        <v>33</v>
      </c>
      <c r="M1" s="54" t="s">
        <v>34</v>
      </c>
      <c r="N1" s="54" t="s">
        <v>35</v>
      </c>
      <c r="O1" s="54" t="s">
        <v>36</v>
      </c>
      <c r="P1" s="54" t="s">
        <v>37</v>
      </c>
      <c r="Q1" s="54" t="s">
        <v>38</v>
      </c>
      <c r="R1" s="54" t="s">
        <v>39</v>
      </c>
      <c r="S1" s="56" t="s">
        <v>40</v>
      </c>
      <c r="T1" s="57" t="s">
        <v>41</v>
      </c>
      <c r="U1" s="54" t="s">
        <v>42</v>
      </c>
      <c r="V1" s="54" t="s">
        <v>43</v>
      </c>
      <c r="W1" s="54" t="s">
        <v>44</v>
      </c>
      <c r="X1" s="54" t="s">
        <v>45</v>
      </c>
      <c r="Y1" s="54" t="s">
        <v>46</v>
      </c>
      <c r="Z1" s="54" t="s">
        <v>47</v>
      </c>
      <c r="AA1" s="54" t="s">
        <v>48</v>
      </c>
      <c r="AB1" s="61" t="s">
        <v>49</v>
      </c>
      <c r="AC1" s="61" t="s">
        <v>50</v>
      </c>
      <c r="AD1" s="61" t="s">
        <v>51</v>
      </c>
      <c r="AE1" s="61" t="s">
        <v>52</v>
      </c>
      <c r="AF1" s="58" t="s">
        <v>53</v>
      </c>
      <c r="AG1" s="58" t="s">
        <v>54</v>
      </c>
      <c r="AH1" s="59" t="s">
        <v>55</v>
      </c>
      <c r="AI1" s="60" t="s">
        <v>56</v>
      </c>
      <c r="AJ1" s="60" t="s">
        <v>57</v>
      </c>
      <c r="AK1" s="62" t="s">
        <v>61</v>
      </c>
      <c r="AL1" s="62" t="s">
        <v>65</v>
      </c>
      <c r="AM1" s="63" t="s">
        <v>58</v>
      </c>
      <c r="AN1" s="63" t="s">
        <v>59</v>
      </c>
      <c r="AO1" s="63" t="s">
        <v>60</v>
      </c>
    </row>
  </sheetData>
  <autoFilter ref="A1:AO1" xr:uid="{0F7AED8D-50C4-498D-9C95-F7409E455226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B90EB-E4D9-439C-8585-CCB6697AE9A1}">
  <sheetPr>
    <tabColor rgb="FF92D050"/>
  </sheetPr>
  <dimension ref="A2:G33"/>
  <sheetViews>
    <sheetView tabSelected="1" topLeftCell="A7" zoomScale="112" zoomScaleNormal="112" workbookViewId="0">
      <selection activeCell="B32" sqref="B32"/>
    </sheetView>
  </sheetViews>
  <sheetFormatPr baseColWidth="10" defaultRowHeight="12.75" x14ac:dyDescent="0.2"/>
  <cols>
    <col min="1" max="1" width="19.85546875" customWidth="1"/>
    <col min="2" max="2" width="10.7109375" customWidth="1"/>
    <col min="3" max="3" width="20.42578125" bestFit="1" customWidth="1"/>
    <col min="4" max="4" width="9.85546875" customWidth="1"/>
    <col min="5" max="5" width="20.85546875" bestFit="1" customWidth="1"/>
    <col min="6" max="6" width="8.7109375" customWidth="1"/>
    <col min="7" max="7" width="29" customWidth="1"/>
  </cols>
  <sheetData>
    <row r="2" spans="1:7" x14ac:dyDescent="0.2">
      <c r="A2" s="3"/>
      <c r="B2" s="30" t="s">
        <v>71</v>
      </c>
      <c r="C2" s="30" t="s">
        <v>16</v>
      </c>
      <c r="D2" s="30" t="s">
        <v>17</v>
      </c>
      <c r="E2" s="30" t="s">
        <v>18</v>
      </c>
      <c r="F2" s="30" t="s">
        <v>19</v>
      </c>
      <c r="G2" s="30" t="str">
        <f xml:space="preserve"> "Sortie temporaire du " &amp; Jalon</f>
        <v>Sortie temporaire du Jalon JS1</v>
      </c>
    </row>
    <row r="3" spans="1:7" x14ac:dyDescent="0.2">
      <c r="A3" s="30" t="s">
        <v>0</v>
      </c>
      <c r="B3" s="73">
        <f>'Tableau récap'!D21</f>
        <v>0</v>
      </c>
      <c r="C3" s="30">
        <f>BT_FP__+AT_FP__</f>
        <v>0</v>
      </c>
      <c r="D3" s="73">
        <f>'Tableau récap'!D33</f>
        <v>0</v>
      </c>
      <c r="E3" s="39">
        <f>'Tableau récap'!D29</f>
        <v>0</v>
      </c>
      <c r="F3" s="40">
        <f>'Tableau récap'!D25</f>
        <v>0</v>
      </c>
      <c r="G3" s="40">
        <f>'Tableau récap'!D17</f>
        <v>0</v>
      </c>
    </row>
    <row r="4" spans="1:7" x14ac:dyDescent="0.2">
      <c r="A4" s="30" t="s">
        <v>1</v>
      </c>
      <c r="B4" s="73">
        <f>'Tableau récap'!D22</f>
        <v>0</v>
      </c>
      <c r="C4" s="3">
        <f>BT_FD__+AT_FD__</f>
        <v>0</v>
      </c>
      <c r="D4" s="30">
        <f>'Tableau récap'!D34</f>
        <v>0</v>
      </c>
      <c r="E4" s="32">
        <f>'Tableau récap'!D30</f>
        <v>0</v>
      </c>
      <c r="F4" s="40">
        <f>'Tableau récap'!D26</f>
        <v>0</v>
      </c>
      <c r="G4" s="40">
        <f>'Tableau récap'!D18</f>
        <v>0</v>
      </c>
    </row>
    <row r="5" spans="1:7" x14ac:dyDescent="0.2">
      <c r="A5" s="74" t="s">
        <v>62</v>
      </c>
      <c r="B5" s="81">
        <f>'Tableau récap'!D23</f>
        <v>0</v>
      </c>
      <c r="C5" s="80">
        <f>BT_Maj__+AT_Maj__</f>
        <v>0</v>
      </c>
      <c r="D5" s="30">
        <f>'Tableau récap'!D35</f>
        <v>0</v>
      </c>
      <c r="E5" s="32">
        <f>'Tableau récap'!D35</f>
        <v>0</v>
      </c>
      <c r="F5" s="40">
        <f>'Tableau récap'!D27</f>
        <v>0</v>
      </c>
      <c r="G5" s="40">
        <f>'Tableau récap'!D19</f>
        <v>0</v>
      </c>
    </row>
    <row r="6" spans="1:7" x14ac:dyDescent="0.2">
      <c r="C6" s="80">
        <f>SUM(C3:C5)</f>
        <v>0</v>
      </c>
      <c r="D6" s="79">
        <f>SUM(D3:D5)</f>
        <v>0</v>
      </c>
      <c r="E6" s="40">
        <f>SUM(E3:E5)</f>
        <v>0</v>
      </c>
      <c r="F6" s="39">
        <f>SUM(F3:F5)</f>
        <v>0</v>
      </c>
      <c r="G6" s="40">
        <f>G3+G4+G5</f>
        <v>0</v>
      </c>
    </row>
    <row r="7" spans="1:7" ht="31.5" customHeight="1" x14ac:dyDescent="0.2"/>
    <row r="26" spans="1:3" ht="42" customHeight="1" x14ac:dyDescent="0.2"/>
    <row r="27" spans="1:3" x14ac:dyDescent="0.2">
      <c r="B27" s="4" t="s">
        <v>9</v>
      </c>
      <c r="C27" s="4" t="s">
        <v>66</v>
      </c>
    </row>
    <row r="28" spans="1:3" x14ac:dyDescent="0.2">
      <c r="A28" s="2" t="s">
        <v>68</v>
      </c>
      <c r="B28" s="75" t="str">
        <f>IF('Tableau récap'!D6&lt;&gt;0,'Tableau récap'!D24/'Tableau récap'!D6,"")</f>
        <v/>
      </c>
      <c r="C28" s="29">
        <f>'Tableau récap'!D24</f>
        <v>0</v>
      </c>
    </row>
    <row r="29" spans="1:3" x14ac:dyDescent="0.2">
      <c r="A29" s="2" t="s">
        <v>69</v>
      </c>
      <c r="B29" s="75" t="str">
        <f>IF('Tableau récap'!D6&lt;&gt;0,'Tableau récap'!D32/'Tableau récap'!D6,"")</f>
        <v/>
      </c>
      <c r="C29" s="29">
        <f>'Tableau récap'!D32</f>
        <v>0</v>
      </c>
    </row>
    <row r="30" spans="1:3" x14ac:dyDescent="0.2">
      <c r="A30" s="2" t="s">
        <v>70</v>
      </c>
      <c r="B30" s="75" t="str">
        <f>IF('Tableau récap'!D6&lt;&gt;0,'Tableau récap'!D28/'Tableau récap'!D6,"")</f>
        <v/>
      </c>
      <c r="C30" s="29">
        <f>'Tableau récap'!D28</f>
        <v>0</v>
      </c>
    </row>
    <row r="31" spans="1:3" x14ac:dyDescent="0.2">
      <c r="A31" s="2" t="s">
        <v>20</v>
      </c>
      <c r="B31" s="75" t="str">
        <f>IF('Tableau récap'!D6&lt;&gt;0,'Tableau récap'!D12/'Tableau récap'!D6,"")</f>
        <v/>
      </c>
      <c r="C31" s="29">
        <f>'Tableau récap'!D12</f>
        <v>0</v>
      </c>
    </row>
    <row r="32" spans="1:3" x14ac:dyDescent="0.2">
      <c r="A32" s="2" t="s">
        <v>21</v>
      </c>
      <c r="B32" s="75" t="str">
        <f>IF('Tableau récap'!D6&lt;&gt;0,('Tableau récap'!D6-'Tableau récap'!D8)/'Tableau récap'!D6,"")</f>
        <v/>
      </c>
      <c r="C32" s="29">
        <f>('Tableau récap'!D6-'Tableau récap'!D8)</f>
        <v>0</v>
      </c>
    </row>
    <row r="33" spans="1:3" x14ac:dyDescent="0.2">
      <c r="A33" s="76" t="s">
        <v>67</v>
      </c>
      <c r="B33" s="31">
        <f>SUM(B28:B32)</f>
        <v>0</v>
      </c>
      <c r="C33" s="29">
        <f>SUM(C28:C32)</f>
        <v>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98234FEEE3E944A3CC588678EB66EA" ma:contentTypeVersion="15" ma:contentTypeDescription="Create a new document." ma:contentTypeScope="" ma:versionID="3b0e7b3b7171953496af1e6e2cc489bd">
  <xsd:schema xmlns:xsd="http://www.w3.org/2001/XMLSchema" xmlns:xs="http://www.w3.org/2001/XMLSchema" xmlns:p="http://schemas.microsoft.com/office/2006/metadata/properties" xmlns:ns2="f37377b1-6877-4caf-871f-8fb60377b48b" xmlns:ns3="59d47df4-eb90-4818-9867-f58d6a446473" targetNamespace="http://schemas.microsoft.com/office/2006/metadata/properties" ma:root="true" ma:fieldsID="7cd22fdf653b48f63ee463347c9e513a" ns2:_="" ns3:_="">
    <xsd:import namespace="f37377b1-6877-4caf-871f-8fb60377b48b"/>
    <xsd:import namespace="59d47df4-eb90-4818-9867-f58d6a44647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Raccourci" minOccurs="0"/>
                <xsd:element ref="ns2:RaccourciTeam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7377b1-6877-4caf-871f-8fb60377b4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Raccourci" ma:index="20" nillable="true" ma:displayName="Raccourci" ma:format="Hyperlink" ma:internalName="Raccourci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RaccourciTeams" ma:index="21" nillable="true" ma:displayName="Raccourci Teams" ma:format="Hyperlink" ma:internalName="RaccourciTeams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d47df4-eb90-4818-9867-f58d6a446473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accourci xmlns="f37377b1-6877-4caf-871f-8fb60377b48b">
      <Url xsi:nil="true"/>
      <Description xsi:nil="true"/>
    </Raccourci>
    <RaccourciTeams xmlns="f37377b1-6877-4caf-871f-8fb60377b48b">
      <Url xsi:nil="true"/>
      <Description xsi:nil="true"/>
    </RaccourciTeams>
  </documentManagement>
</p:properties>
</file>

<file path=customXml/item4.xml>�� 
</file>

<file path=customXml/itemProps1.xml><?xml version="1.0" encoding="utf-8"?>
<ds:datastoreItem xmlns:ds="http://schemas.openxmlformats.org/officeDocument/2006/customXml" ds:itemID="{FCD05CE2-7DFA-4086-B8C7-4804CDAC26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7377b1-6877-4caf-871f-8fb60377b48b"/>
    <ds:schemaRef ds:uri="59d47df4-eb90-4818-9867-f58d6a4464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9180C71-DBEA-4DC9-B325-3ED24A3310C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7C4D014-25A4-45B4-AF4A-2AF4F27A71E8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59d47df4-eb90-4818-9867-f58d6a446473"/>
    <ds:schemaRef ds:uri="http://schemas.microsoft.com/office/2006/metadata/properties"/>
    <ds:schemaRef ds:uri="http://schemas.microsoft.com/office/infopath/2007/PartnerControls"/>
    <ds:schemaRef ds:uri="f37377b1-6877-4caf-871f-8fb60377b48b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0C274EF9-34E3-4272-B3C5-83857301C4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53</vt:i4>
      </vt:variant>
    </vt:vector>
  </HeadingPairs>
  <TitlesOfParts>
    <vt:vector size="56" baseType="lpstr">
      <vt:lpstr>Tableau récap</vt:lpstr>
      <vt:lpstr>PPD</vt:lpstr>
      <vt:lpstr>MOR</vt:lpstr>
      <vt:lpstr>AT__</vt:lpstr>
      <vt:lpstr>AT_Envoyes</vt:lpstr>
      <vt:lpstr>AT_FD</vt:lpstr>
      <vt:lpstr>AT_FD__</vt:lpstr>
      <vt:lpstr>AT_FD_A</vt:lpstr>
      <vt:lpstr>AT_FD_ANNULE</vt:lpstr>
      <vt:lpstr>AT_FD_AR</vt:lpstr>
      <vt:lpstr>AT_FD_DST</vt:lpstr>
      <vt:lpstr>AT_FD_R</vt:lpstr>
      <vt:lpstr>AT_FP</vt:lpstr>
      <vt:lpstr>AT_FP__</vt:lpstr>
      <vt:lpstr>AT_FP_A</vt:lpstr>
      <vt:lpstr>AT_FP_ANNULE</vt:lpstr>
      <vt:lpstr>AT_FP_AR</vt:lpstr>
      <vt:lpstr>AT_FP_DST</vt:lpstr>
      <vt:lpstr>AT_FP_R</vt:lpstr>
      <vt:lpstr>AT_Maj</vt:lpstr>
      <vt:lpstr>AT_Maj__</vt:lpstr>
      <vt:lpstr>AT_Maj_A</vt:lpstr>
      <vt:lpstr>AT_Maj_ANNULE</vt:lpstr>
      <vt:lpstr>AT_Maj_AR</vt:lpstr>
      <vt:lpstr>AT_Maj_DST</vt:lpstr>
      <vt:lpstr>AT_Maj_R</vt:lpstr>
      <vt:lpstr>AT_Retour_RATP</vt:lpstr>
      <vt:lpstr>AT_SortieTemporaire</vt:lpstr>
      <vt:lpstr>BT__</vt:lpstr>
      <vt:lpstr>BT_AT</vt:lpstr>
      <vt:lpstr>BT_DST_FP</vt:lpstr>
      <vt:lpstr>BT_Envoyes</vt:lpstr>
      <vt:lpstr>BT_FD</vt:lpstr>
      <vt:lpstr>BT_FD__</vt:lpstr>
      <vt:lpstr>BT_FD_A</vt:lpstr>
      <vt:lpstr>BT_FD_ANNULE</vt:lpstr>
      <vt:lpstr>BT_FD_AR</vt:lpstr>
      <vt:lpstr>BT_FD_DST</vt:lpstr>
      <vt:lpstr>BT_FD_R</vt:lpstr>
      <vt:lpstr>BT_FP</vt:lpstr>
      <vt:lpstr>BT_FP__</vt:lpstr>
      <vt:lpstr>BT_FP_A</vt:lpstr>
      <vt:lpstr>BT_FP_ANNULE</vt:lpstr>
      <vt:lpstr>BT_FP_AR</vt:lpstr>
      <vt:lpstr>BT_FP_DST</vt:lpstr>
      <vt:lpstr>BT_FP_R</vt:lpstr>
      <vt:lpstr>BT_Maj</vt:lpstr>
      <vt:lpstr>BT_Maj__</vt:lpstr>
      <vt:lpstr>BT_Maj_A</vt:lpstr>
      <vt:lpstr>BT_Maj_ANNULE</vt:lpstr>
      <vt:lpstr>BT_Maj_AR</vt:lpstr>
      <vt:lpstr>BT_Maj_DST</vt:lpstr>
      <vt:lpstr>BT_Maj_R</vt:lpstr>
      <vt:lpstr>BT_Retour_RATP</vt:lpstr>
      <vt:lpstr>BT_SortieTemporaire</vt:lpstr>
      <vt:lpstr>Jalon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BEULQUE Louis</dc:creator>
  <cp:lastModifiedBy>Benedicte Guillon</cp:lastModifiedBy>
  <cp:lastPrinted>2019-06-11T18:27:28Z</cp:lastPrinted>
  <dcterms:created xsi:type="dcterms:W3CDTF">2019-06-10T13:42:49Z</dcterms:created>
  <dcterms:modified xsi:type="dcterms:W3CDTF">2021-09-21T08:56:53Z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0x0101008198234FEEE3E944A3CC588678EB66EA</vt:lpwstr>
  </property>
</Properties>
</file>