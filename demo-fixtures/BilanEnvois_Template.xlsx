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https://alstomgroup-my.sharepoint.com/personal/sandra_hottiaux_alstomgroup_com/Documents/BASE ARBO MI20/SRV/TEMPLATE/"/>
    </mc:Choice>
  </mc:AlternateContent>
  <xr:revisionPtr revIDLastSave="11" documentId="13_ncr:1_{7E378B86-07C0-44A4-88D9-D34292B426EF}" xr6:coauthVersionLast="47" xr6:coauthVersionMax="47" xr10:uidLastSave="{41C409C0-77A6-4A7C-A724-903279952816}"/>
  <bookViews>
    <workbookView xWindow="28680" yWindow="-120" windowWidth="20640" windowHeight="11160" xr2:uid="{56944214-66AA-4F1E-8ACC-268E01A7A67A}"/>
  </bookViews>
  <sheets>
    <sheet name="Bilan envois" sheetId="2" r:id="rId1"/>
    <sheet name="Feuil1" sheetId="3" r:id="rId2"/>
  </sheets>
  <externalReferences>
    <externalReference r:id="rId3"/>
  </externalReferences>
  <definedNames>
    <definedName name="_xlnm._FilterDatabase" localSheetId="0" hidden="1">'Bilan envois'!$A$1:$AK$1</definedName>
    <definedName name="ATPPD">'[1]Livrables MF19 - PPD'!$1:$1048576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3" i="2" l="1"/>
  <c r="AI3" i="2"/>
  <c r="AJ3" i="2"/>
  <c r="AK3" i="2"/>
  <c r="AH4" i="2"/>
  <c r="AI4" i="2"/>
  <c r="AJ4" i="2"/>
  <c r="AK4" i="2"/>
  <c r="AH5" i="2"/>
  <c r="AI5" i="2"/>
  <c r="AJ5" i="2"/>
  <c r="AK5" i="2"/>
  <c r="AH6" i="2"/>
  <c r="AI6" i="2"/>
  <c r="AJ6" i="2"/>
  <c r="AK6" i="2"/>
  <c r="AH7" i="2"/>
  <c r="AI7" i="2"/>
  <c r="AJ7" i="2"/>
  <c r="AK7" i="2"/>
  <c r="AH8" i="2"/>
  <c r="AI8" i="2"/>
  <c r="AJ8" i="2"/>
  <c r="AK8" i="2"/>
  <c r="AH9" i="2"/>
  <c r="AI9" i="2"/>
  <c r="AJ9" i="2"/>
  <c r="AK9" i="2"/>
  <c r="AH10" i="2"/>
  <c r="AI10" i="2"/>
  <c r="AJ10" i="2"/>
  <c r="AK10" i="2"/>
  <c r="AH11" i="2"/>
  <c r="AI11" i="2"/>
  <c r="AJ11" i="2"/>
  <c r="AK11" i="2"/>
  <c r="AH12" i="2"/>
  <c r="AI12" i="2"/>
  <c r="AJ12" i="2"/>
  <c r="AK12" i="2"/>
  <c r="AH13" i="2"/>
  <c r="AI13" i="2"/>
  <c r="AJ13" i="2"/>
  <c r="AK13" i="2"/>
  <c r="AH14" i="2"/>
  <c r="AI14" i="2"/>
  <c r="AJ14" i="2"/>
  <c r="AK14" i="2"/>
  <c r="AH15" i="2"/>
  <c r="AI15" i="2"/>
  <c r="AJ15" i="2"/>
  <c r="AK15" i="2"/>
  <c r="AH16" i="2"/>
  <c r="AI16" i="2"/>
  <c r="AJ16" i="2"/>
  <c r="AK16" i="2"/>
  <c r="AH17" i="2"/>
  <c r="AI17" i="2"/>
  <c r="AJ17" i="2"/>
  <c r="AK17" i="2"/>
  <c r="AH18" i="2"/>
  <c r="AI18" i="2"/>
  <c r="AJ18" i="2"/>
  <c r="AK18" i="2"/>
  <c r="AH19" i="2"/>
  <c r="AI19" i="2"/>
  <c r="AJ19" i="2"/>
  <c r="AK19" i="2"/>
  <c r="AH20" i="2"/>
  <c r="AI20" i="2"/>
  <c r="AJ20" i="2"/>
  <c r="AK20" i="2"/>
  <c r="AH21" i="2"/>
  <c r="AI21" i="2"/>
  <c r="AJ21" i="2"/>
  <c r="AK21" i="2"/>
  <c r="AH22" i="2"/>
  <c r="AI22" i="2"/>
  <c r="AJ22" i="2"/>
  <c r="AK22" i="2"/>
  <c r="AH23" i="2"/>
  <c r="AI23" i="2"/>
  <c r="AJ23" i="2"/>
  <c r="AK23" i="2"/>
  <c r="AH24" i="2"/>
  <c r="AI24" i="2"/>
  <c r="AJ24" i="2"/>
  <c r="AK24" i="2"/>
  <c r="AH25" i="2"/>
  <c r="AI25" i="2"/>
  <c r="AJ25" i="2"/>
  <c r="AK25" i="2"/>
  <c r="AH26" i="2"/>
  <c r="AI26" i="2"/>
  <c r="AJ26" i="2"/>
  <c r="AK26" i="2"/>
  <c r="AH27" i="2"/>
  <c r="AI27" i="2"/>
  <c r="AJ27" i="2"/>
  <c r="AK27" i="2"/>
  <c r="AH28" i="2"/>
  <c r="AI28" i="2"/>
  <c r="AJ28" i="2"/>
  <c r="AK28" i="2"/>
  <c r="AH29" i="2"/>
  <c r="AI29" i="2"/>
  <c r="AJ29" i="2"/>
  <c r="AK29" i="2"/>
  <c r="AH30" i="2"/>
  <c r="AI30" i="2"/>
  <c r="AJ30" i="2"/>
  <c r="AK30" i="2"/>
  <c r="AH31" i="2"/>
  <c r="AI31" i="2"/>
  <c r="AJ31" i="2"/>
  <c r="AK31" i="2"/>
  <c r="AH32" i="2"/>
  <c r="AI32" i="2"/>
  <c r="AJ32" i="2"/>
  <c r="AK32" i="2"/>
  <c r="AH33" i="2"/>
  <c r="AI33" i="2"/>
  <c r="AJ33" i="2"/>
  <c r="AK33" i="2"/>
  <c r="AH34" i="2"/>
  <c r="AI34" i="2"/>
  <c r="AJ34" i="2"/>
  <c r="AK34" i="2"/>
  <c r="AH35" i="2"/>
  <c r="AI35" i="2"/>
  <c r="AJ35" i="2"/>
  <c r="AK35" i="2"/>
  <c r="AH36" i="2"/>
  <c r="AI36" i="2"/>
  <c r="AJ36" i="2"/>
  <c r="AK36" i="2"/>
  <c r="AH37" i="2"/>
  <c r="AI37" i="2"/>
  <c r="AJ37" i="2"/>
  <c r="AK37" i="2"/>
  <c r="AH38" i="2"/>
  <c r="AI38" i="2"/>
  <c r="AJ38" i="2"/>
  <c r="AK38" i="2"/>
  <c r="AH39" i="2"/>
  <c r="AI39" i="2"/>
  <c r="AJ39" i="2"/>
  <c r="AK39" i="2"/>
  <c r="AH40" i="2"/>
  <c r="AI40" i="2"/>
  <c r="AJ40" i="2"/>
  <c r="AK40" i="2"/>
  <c r="AH41" i="2"/>
  <c r="AI41" i="2"/>
  <c r="AJ41" i="2"/>
  <c r="AK41" i="2"/>
  <c r="AH42" i="2"/>
  <c r="AI42" i="2"/>
  <c r="AJ42" i="2"/>
  <c r="AK42" i="2"/>
  <c r="AH43" i="2"/>
  <c r="AI43" i="2"/>
  <c r="AJ43" i="2"/>
  <c r="AK43" i="2"/>
  <c r="AH44" i="2"/>
  <c r="AI44" i="2"/>
  <c r="AJ44" i="2"/>
  <c r="AK44" i="2"/>
  <c r="AH45" i="2"/>
  <c r="AI45" i="2"/>
  <c r="AJ45" i="2"/>
  <c r="AK45" i="2"/>
  <c r="AH46" i="2"/>
  <c r="AI46" i="2"/>
  <c r="AJ46" i="2"/>
  <c r="AK46" i="2"/>
  <c r="AH47" i="2"/>
  <c r="AI47" i="2"/>
  <c r="AJ47" i="2"/>
  <c r="AK47" i="2"/>
  <c r="AH48" i="2"/>
  <c r="AI48" i="2"/>
  <c r="AJ48" i="2"/>
  <c r="AK48" i="2"/>
  <c r="AH49" i="2"/>
  <c r="AI49" i="2"/>
  <c r="AJ49" i="2"/>
  <c r="AK49" i="2"/>
  <c r="AH50" i="2"/>
  <c r="AI50" i="2"/>
  <c r="AJ50" i="2"/>
  <c r="AK50" i="2"/>
  <c r="AH51" i="2"/>
  <c r="AI51" i="2"/>
  <c r="AJ51" i="2"/>
  <c r="AK51" i="2"/>
  <c r="AH52" i="2"/>
  <c r="AI52" i="2"/>
  <c r="AJ52" i="2"/>
  <c r="AK52" i="2"/>
  <c r="AH53" i="2"/>
  <c r="AI53" i="2"/>
  <c r="AJ53" i="2"/>
  <c r="AK53" i="2"/>
  <c r="AH54" i="2"/>
  <c r="AI54" i="2"/>
  <c r="AJ54" i="2"/>
  <c r="AK54" i="2"/>
  <c r="AH55" i="2"/>
  <c r="AI55" i="2"/>
  <c r="AJ55" i="2"/>
  <c r="AK55" i="2"/>
  <c r="AH56" i="2"/>
  <c r="AI56" i="2"/>
  <c r="AJ56" i="2"/>
  <c r="AK56" i="2"/>
  <c r="AH57" i="2"/>
  <c r="AI57" i="2"/>
  <c r="AJ57" i="2"/>
  <c r="AK57" i="2"/>
  <c r="AH58" i="2"/>
  <c r="AI58" i="2"/>
  <c r="AJ58" i="2"/>
  <c r="AK58" i="2"/>
  <c r="AH59" i="2"/>
  <c r="AI59" i="2"/>
  <c r="AJ59" i="2"/>
  <c r="AK59" i="2"/>
  <c r="AH60" i="2"/>
  <c r="AI60" i="2"/>
  <c r="AJ60" i="2"/>
  <c r="AK60" i="2"/>
  <c r="AH61" i="2"/>
  <c r="AI61" i="2"/>
  <c r="AJ61" i="2"/>
  <c r="AK61" i="2"/>
  <c r="AH62" i="2"/>
  <c r="AI62" i="2"/>
  <c r="AJ62" i="2"/>
  <c r="AK62" i="2"/>
  <c r="AH63" i="2"/>
  <c r="AI63" i="2"/>
  <c r="AJ63" i="2"/>
  <c r="AK63" i="2"/>
  <c r="AH64" i="2"/>
  <c r="AI64" i="2"/>
  <c r="AJ64" i="2"/>
  <c r="AK64" i="2"/>
  <c r="AH65" i="2"/>
  <c r="AI65" i="2"/>
  <c r="AJ65" i="2"/>
  <c r="AK65" i="2"/>
  <c r="AH66" i="2"/>
  <c r="AI66" i="2"/>
  <c r="AJ66" i="2"/>
  <c r="AK66" i="2"/>
  <c r="AH67" i="2"/>
  <c r="AI67" i="2"/>
  <c r="AJ67" i="2"/>
  <c r="AK67" i="2"/>
  <c r="AH68" i="2"/>
  <c r="AI68" i="2"/>
  <c r="AJ68" i="2"/>
  <c r="AK68" i="2"/>
  <c r="AH69" i="2"/>
  <c r="AI69" i="2"/>
  <c r="AJ69" i="2"/>
  <c r="AK69" i="2"/>
  <c r="AH70" i="2"/>
  <c r="AI70" i="2"/>
  <c r="AJ70" i="2"/>
  <c r="AK70" i="2"/>
  <c r="AH71" i="2"/>
  <c r="AI71" i="2"/>
  <c r="AJ71" i="2"/>
  <c r="AK71" i="2"/>
  <c r="AH72" i="2"/>
  <c r="AI72" i="2"/>
  <c r="AJ72" i="2"/>
  <c r="AK72" i="2"/>
  <c r="AH73" i="2"/>
  <c r="AI73" i="2"/>
  <c r="AJ73" i="2"/>
  <c r="AK73" i="2"/>
  <c r="AH74" i="2"/>
  <c r="AI74" i="2"/>
  <c r="AJ74" i="2"/>
  <c r="AK74" i="2"/>
  <c r="AH75" i="2"/>
  <c r="AI75" i="2"/>
  <c r="AJ75" i="2"/>
  <c r="AK75" i="2"/>
  <c r="AH76" i="2"/>
  <c r="AI76" i="2"/>
  <c r="AJ76" i="2"/>
  <c r="AK76" i="2"/>
  <c r="AH77" i="2"/>
  <c r="AI77" i="2"/>
  <c r="AJ77" i="2"/>
  <c r="AK77" i="2"/>
  <c r="AH78" i="2"/>
  <c r="AI78" i="2"/>
  <c r="AJ78" i="2"/>
  <c r="AK78" i="2"/>
  <c r="AH79" i="2"/>
  <c r="AI79" i="2"/>
  <c r="AJ79" i="2"/>
  <c r="AK79" i="2"/>
  <c r="AH80" i="2"/>
  <c r="AI80" i="2"/>
  <c r="AJ80" i="2"/>
  <c r="AK80" i="2"/>
  <c r="AH81" i="2"/>
  <c r="AI81" i="2"/>
  <c r="AJ81" i="2"/>
  <c r="AK81" i="2"/>
  <c r="AH82" i="2"/>
  <c r="AI82" i="2"/>
  <c r="AJ82" i="2"/>
  <c r="AK82" i="2"/>
  <c r="AH83" i="2"/>
  <c r="AI83" i="2"/>
  <c r="AJ83" i="2"/>
  <c r="AK83" i="2"/>
  <c r="AH84" i="2"/>
  <c r="AI84" i="2"/>
  <c r="AJ84" i="2"/>
  <c r="AK84" i="2"/>
  <c r="AH85" i="2"/>
  <c r="AI85" i="2"/>
  <c r="AJ85" i="2"/>
  <c r="AK85" i="2"/>
  <c r="AH86" i="2"/>
  <c r="AI86" i="2"/>
  <c r="AJ86" i="2"/>
  <c r="AK86" i="2"/>
  <c r="AH87" i="2"/>
  <c r="AI87" i="2"/>
  <c r="AJ87" i="2"/>
  <c r="AK87" i="2"/>
  <c r="AH88" i="2"/>
  <c r="AI88" i="2"/>
  <c r="AJ88" i="2"/>
  <c r="AK88" i="2"/>
  <c r="AH89" i="2"/>
  <c r="AI89" i="2"/>
  <c r="AJ89" i="2"/>
  <c r="AK89" i="2"/>
  <c r="AH90" i="2"/>
  <c r="AI90" i="2"/>
  <c r="AJ90" i="2"/>
  <c r="AK90" i="2"/>
  <c r="AH91" i="2"/>
  <c r="AI91" i="2"/>
  <c r="AJ91" i="2"/>
  <c r="AK91" i="2"/>
  <c r="AH92" i="2"/>
  <c r="AI92" i="2"/>
  <c r="AJ92" i="2"/>
  <c r="AK92" i="2"/>
  <c r="AH93" i="2"/>
  <c r="AI93" i="2"/>
  <c r="AJ93" i="2"/>
  <c r="AK93" i="2"/>
  <c r="AH94" i="2"/>
  <c r="AI94" i="2"/>
  <c r="AJ94" i="2"/>
  <c r="AK94" i="2"/>
  <c r="AH95" i="2"/>
  <c r="AI95" i="2"/>
  <c r="AJ95" i="2"/>
  <c r="AK95" i="2"/>
  <c r="AH96" i="2"/>
  <c r="AI96" i="2"/>
  <c r="AJ96" i="2"/>
  <c r="AK96" i="2"/>
  <c r="AH97" i="2"/>
  <c r="AI97" i="2"/>
  <c r="AJ97" i="2"/>
  <c r="AK97" i="2"/>
  <c r="AH98" i="2"/>
  <c r="AI98" i="2"/>
  <c r="AJ98" i="2"/>
  <c r="AK98" i="2"/>
  <c r="AH99" i="2"/>
  <c r="AI99" i="2"/>
  <c r="AJ99" i="2"/>
  <c r="AK99" i="2"/>
  <c r="AH100" i="2"/>
  <c r="AI100" i="2"/>
  <c r="AJ100" i="2"/>
  <c r="AK100" i="2"/>
  <c r="AH101" i="2"/>
  <c r="AI101" i="2"/>
  <c r="AJ101" i="2"/>
  <c r="AK101" i="2"/>
  <c r="AH102" i="2"/>
  <c r="AI102" i="2"/>
  <c r="AJ102" i="2"/>
  <c r="AK102" i="2"/>
  <c r="AH103" i="2"/>
  <c r="AI103" i="2"/>
  <c r="AJ103" i="2"/>
  <c r="AK103" i="2"/>
  <c r="AH104" i="2"/>
  <c r="AI104" i="2"/>
  <c r="AJ104" i="2"/>
  <c r="AK104" i="2"/>
  <c r="AH105" i="2"/>
  <c r="AI105" i="2"/>
  <c r="AJ105" i="2"/>
  <c r="AK105" i="2"/>
  <c r="AH106" i="2"/>
  <c r="AI106" i="2"/>
  <c r="AJ106" i="2"/>
  <c r="AK106" i="2"/>
  <c r="AH107" i="2"/>
  <c r="AI107" i="2"/>
  <c r="AJ107" i="2"/>
  <c r="AK107" i="2"/>
  <c r="AH108" i="2"/>
  <c r="AI108" i="2"/>
  <c r="AJ108" i="2"/>
  <c r="AK108" i="2"/>
  <c r="AH109" i="2"/>
  <c r="AI109" i="2"/>
  <c r="AJ109" i="2"/>
  <c r="AK109" i="2"/>
  <c r="AH110" i="2"/>
  <c r="AI110" i="2"/>
  <c r="AJ110" i="2"/>
  <c r="AK110" i="2"/>
  <c r="AH111" i="2"/>
  <c r="AI111" i="2"/>
  <c r="AJ111" i="2"/>
  <c r="AK111" i="2"/>
  <c r="AH112" i="2"/>
  <c r="AI112" i="2"/>
  <c r="AJ112" i="2"/>
  <c r="AK112" i="2"/>
  <c r="AH113" i="2"/>
  <c r="AI113" i="2"/>
  <c r="AJ113" i="2"/>
  <c r="AK113" i="2"/>
  <c r="AH114" i="2"/>
  <c r="AI114" i="2"/>
  <c r="AJ114" i="2"/>
  <c r="AK114" i="2"/>
  <c r="AH115" i="2"/>
  <c r="AI115" i="2"/>
  <c r="AJ115" i="2"/>
  <c r="AK115" i="2"/>
  <c r="AH116" i="2"/>
  <c r="AI116" i="2"/>
  <c r="AJ116" i="2"/>
  <c r="AK116" i="2"/>
  <c r="AH117" i="2"/>
  <c r="AI117" i="2"/>
  <c r="AJ117" i="2"/>
  <c r="AK117" i="2"/>
  <c r="AH118" i="2"/>
  <c r="AI118" i="2"/>
  <c r="AJ118" i="2"/>
  <c r="AK118" i="2"/>
  <c r="AH119" i="2"/>
  <c r="AI119" i="2"/>
  <c r="AJ119" i="2"/>
  <c r="AK119" i="2"/>
  <c r="AH120" i="2"/>
  <c r="AI120" i="2"/>
  <c r="AJ120" i="2"/>
  <c r="AK120" i="2"/>
  <c r="AH121" i="2"/>
  <c r="AI121" i="2"/>
  <c r="AJ121" i="2"/>
  <c r="AK121" i="2"/>
  <c r="AH122" i="2"/>
  <c r="AI122" i="2"/>
  <c r="AJ122" i="2"/>
  <c r="AK122" i="2"/>
  <c r="AH123" i="2"/>
  <c r="AI123" i="2"/>
  <c r="AJ123" i="2"/>
  <c r="AK123" i="2"/>
  <c r="AH124" i="2"/>
  <c r="AI124" i="2"/>
  <c r="AJ124" i="2"/>
  <c r="AK124" i="2"/>
  <c r="AH125" i="2"/>
  <c r="AI125" i="2"/>
  <c r="AJ125" i="2"/>
  <c r="AK125" i="2"/>
  <c r="AH126" i="2"/>
  <c r="AI126" i="2"/>
  <c r="AJ126" i="2"/>
  <c r="AK126" i="2"/>
  <c r="AH127" i="2"/>
  <c r="AI127" i="2"/>
  <c r="AJ127" i="2"/>
  <c r="AK127" i="2"/>
  <c r="AH128" i="2"/>
  <c r="AI128" i="2"/>
  <c r="AJ128" i="2"/>
  <c r="AK128" i="2"/>
  <c r="AH129" i="2"/>
  <c r="AI129" i="2"/>
  <c r="AJ129" i="2"/>
  <c r="AK129" i="2"/>
  <c r="AH130" i="2"/>
  <c r="AI130" i="2"/>
  <c r="AJ130" i="2"/>
  <c r="AK130" i="2"/>
  <c r="AH131" i="2"/>
  <c r="AI131" i="2"/>
  <c r="AJ131" i="2"/>
  <c r="AK131" i="2"/>
  <c r="AH132" i="2"/>
  <c r="AI132" i="2"/>
  <c r="AJ132" i="2"/>
  <c r="AK132" i="2"/>
  <c r="AH133" i="2"/>
  <c r="AI133" i="2"/>
  <c r="AJ133" i="2"/>
  <c r="AK133" i="2"/>
  <c r="AH134" i="2"/>
  <c r="AI134" i="2"/>
  <c r="AJ134" i="2"/>
  <c r="AK134" i="2"/>
  <c r="AH135" i="2"/>
  <c r="AI135" i="2"/>
  <c r="AJ135" i="2"/>
  <c r="AK135" i="2"/>
  <c r="AH136" i="2"/>
  <c r="AI136" i="2"/>
  <c r="AJ136" i="2"/>
  <c r="AK136" i="2"/>
  <c r="AH137" i="2"/>
  <c r="AI137" i="2"/>
  <c r="AJ137" i="2"/>
  <c r="AK137" i="2"/>
  <c r="AH138" i="2"/>
  <c r="AI138" i="2"/>
  <c r="AJ138" i="2"/>
  <c r="AK138" i="2"/>
  <c r="AH139" i="2"/>
  <c r="AI139" i="2"/>
  <c r="AJ139" i="2"/>
  <c r="AK139" i="2"/>
  <c r="AH140" i="2"/>
  <c r="AI140" i="2"/>
  <c r="AJ140" i="2"/>
  <c r="AK140" i="2"/>
  <c r="AH141" i="2"/>
  <c r="AI141" i="2"/>
  <c r="AJ141" i="2"/>
  <c r="AK141" i="2"/>
  <c r="AH142" i="2"/>
  <c r="AI142" i="2"/>
  <c r="AJ142" i="2"/>
  <c r="AK142" i="2"/>
  <c r="AH143" i="2"/>
  <c r="AI143" i="2"/>
  <c r="AJ143" i="2"/>
  <c r="AK143" i="2"/>
  <c r="AH144" i="2"/>
  <c r="AI144" i="2"/>
  <c r="AJ144" i="2"/>
  <c r="AK144" i="2"/>
  <c r="AH145" i="2"/>
  <c r="AI145" i="2"/>
  <c r="AJ145" i="2"/>
  <c r="AK145" i="2"/>
  <c r="AH146" i="2"/>
  <c r="AI146" i="2"/>
  <c r="AJ146" i="2"/>
  <c r="AK146" i="2"/>
  <c r="AH147" i="2"/>
  <c r="AI147" i="2"/>
  <c r="AJ147" i="2"/>
  <c r="AK147" i="2"/>
  <c r="AH148" i="2"/>
  <c r="AI148" i="2"/>
  <c r="AJ148" i="2"/>
  <c r="AK148" i="2"/>
  <c r="AH149" i="2"/>
  <c r="AI149" i="2"/>
  <c r="AJ149" i="2"/>
  <c r="AK149" i="2"/>
  <c r="AH150" i="2"/>
  <c r="AI150" i="2"/>
  <c r="AJ150" i="2"/>
  <c r="AK150" i="2"/>
  <c r="AH151" i="2"/>
  <c r="AI151" i="2"/>
  <c r="AJ151" i="2"/>
  <c r="AK151" i="2"/>
  <c r="AH152" i="2"/>
  <c r="AI152" i="2"/>
  <c r="AJ152" i="2"/>
  <c r="AK152" i="2"/>
  <c r="AH153" i="2"/>
  <c r="AI153" i="2"/>
  <c r="AJ153" i="2"/>
  <c r="AK153" i="2"/>
  <c r="AH154" i="2"/>
  <c r="AI154" i="2"/>
  <c r="AJ154" i="2"/>
  <c r="AK154" i="2"/>
  <c r="AH155" i="2"/>
  <c r="AI155" i="2"/>
  <c r="AJ155" i="2"/>
  <c r="AK155" i="2"/>
  <c r="AH156" i="2"/>
  <c r="AI156" i="2"/>
  <c r="AJ156" i="2"/>
  <c r="AK156" i="2"/>
  <c r="AH157" i="2"/>
  <c r="AI157" i="2"/>
  <c r="AJ157" i="2"/>
  <c r="AK157" i="2"/>
  <c r="AH158" i="2"/>
  <c r="AI158" i="2"/>
  <c r="AJ158" i="2"/>
  <c r="AK158" i="2"/>
  <c r="AH159" i="2"/>
  <c r="AI159" i="2"/>
  <c r="AJ159" i="2"/>
  <c r="AK159" i="2"/>
  <c r="AH160" i="2"/>
  <c r="AI160" i="2"/>
  <c r="AJ160" i="2"/>
  <c r="AK160" i="2"/>
  <c r="AH161" i="2"/>
  <c r="AI161" i="2"/>
  <c r="AJ161" i="2"/>
  <c r="AK161" i="2"/>
  <c r="AH162" i="2"/>
  <c r="AI162" i="2"/>
  <c r="AJ162" i="2"/>
  <c r="AK162" i="2"/>
  <c r="AH163" i="2"/>
  <c r="AI163" i="2"/>
  <c r="AJ163" i="2"/>
  <c r="AK163" i="2"/>
  <c r="AH164" i="2"/>
  <c r="AI164" i="2"/>
  <c r="AJ164" i="2"/>
  <c r="AK164" i="2"/>
  <c r="AH165" i="2"/>
  <c r="AI165" i="2"/>
  <c r="AJ165" i="2"/>
  <c r="AK165" i="2"/>
  <c r="AH166" i="2"/>
  <c r="AI166" i="2"/>
  <c r="AJ166" i="2"/>
  <c r="AK166" i="2"/>
  <c r="AH167" i="2"/>
  <c r="AI167" i="2"/>
  <c r="AJ167" i="2"/>
  <c r="AK167" i="2"/>
  <c r="AH168" i="2"/>
  <c r="AI168" i="2"/>
  <c r="AJ168" i="2"/>
  <c r="AK168" i="2"/>
  <c r="AH169" i="2"/>
  <c r="AI169" i="2"/>
  <c r="AJ169" i="2"/>
  <c r="AK169" i="2"/>
  <c r="AH170" i="2"/>
  <c r="AI170" i="2"/>
  <c r="AJ170" i="2"/>
  <c r="AK170" i="2"/>
  <c r="AH171" i="2"/>
  <c r="AI171" i="2"/>
  <c r="AJ171" i="2"/>
  <c r="AK171" i="2"/>
  <c r="AH172" i="2"/>
  <c r="AI172" i="2"/>
  <c r="AJ172" i="2"/>
  <c r="AK172" i="2"/>
  <c r="AH173" i="2"/>
  <c r="AI173" i="2"/>
  <c r="AJ173" i="2"/>
  <c r="AK173" i="2"/>
  <c r="AH174" i="2"/>
  <c r="AI174" i="2"/>
  <c r="AJ174" i="2"/>
  <c r="AK174" i="2"/>
  <c r="AH175" i="2"/>
  <c r="AI175" i="2"/>
  <c r="AJ175" i="2"/>
  <c r="AK175" i="2"/>
  <c r="AH176" i="2"/>
  <c r="AI176" i="2"/>
  <c r="AJ176" i="2"/>
  <c r="AK176" i="2"/>
  <c r="AH177" i="2"/>
  <c r="AI177" i="2"/>
  <c r="AJ177" i="2"/>
  <c r="AK177" i="2"/>
  <c r="AH178" i="2"/>
  <c r="AI178" i="2"/>
  <c r="AJ178" i="2"/>
  <c r="AK178" i="2"/>
  <c r="AH179" i="2"/>
  <c r="AI179" i="2"/>
  <c r="AJ179" i="2"/>
  <c r="AK179" i="2"/>
  <c r="AH180" i="2"/>
  <c r="AI180" i="2"/>
  <c r="AJ180" i="2"/>
  <c r="AK180" i="2"/>
  <c r="AH181" i="2"/>
  <c r="AI181" i="2"/>
  <c r="AJ181" i="2"/>
  <c r="AK181" i="2"/>
  <c r="AH182" i="2"/>
  <c r="AI182" i="2"/>
  <c r="AJ182" i="2"/>
  <c r="AK182" i="2"/>
  <c r="AH183" i="2"/>
  <c r="AI183" i="2"/>
  <c r="AJ183" i="2"/>
  <c r="AK183" i="2"/>
  <c r="AH184" i="2"/>
  <c r="AI184" i="2"/>
  <c r="AJ184" i="2"/>
  <c r="AK184" i="2"/>
  <c r="AH185" i="2"/>
  <c r="AI185" i="2"/>
  <c r="AJ185" i="2"/>
  <c r="AK185" i="2"/>
  <c r="AH186" i="2"/>
  <c r="AI186" i="2"/>
  <c r="AJ186" i="2"/>
  <c r="AK186" i="2"/>
  <c r="AH187" i="2"/>
  <c r="AI187" i="2"/>
  <c r="AJ187" i="2"/>
  <c r="AK187" i="2"/>
  <c r="AH188" i="2"/>
  <c r="AI188" i="2"/>
  <c r="AJ188" i="2"/>
  <c r="AK188" i="2"/>
  <c r="AH189" i="2"/>
  <c r="AI189" i="2"/>
  <c r="AJ189" i="2"/>
  <c r="AK189" i="2"/>
  <c r="AH190" i="2"/>
  <c r="AI190" i="2"/>
  <c r="AJ190" i="2"/>
  <c r="AK190" i="2"/>
  <c r="AH191" i="2"/>
  <c r="AI191" i="2"/>
  <c r="AJ191" i="2"/>
  <c r="AK191" i="2"/>
  <c r="AH192" i="2"/>
  <c r="AI192" i="2"/>
  <c r="AJ192" i="2"/>
  <c r="AK192" i="2"/>
  <c r="AH193" i="2"/>
  <c r="AI193" i="2"/>
  <c r="AJ193" i="2"/>
  <c r="AK193" i="2"/>
  <c r="AH194" i="2"/>
  <c r="AI194" i="2"/>
  <c r="AJ194" i="2"/>
  <c r="AK194" i="2"/>
  <c r="AH195" i="2"/>
  <c r="AI195" i="2"/>
  <c r="AJ195" i="2"/>
  <c r="AK195" i="2"/>
  <c r="AH196" i="2"/>
  <c r="AI196" i="2"/>
  <c r="AJ196" i="2"/>
  <c r="AK196" i="2"/>
  <c r="AH197" i="2"/>
  <c r="AI197" i="2"/>
  <c r="AJ197" i="2"/>
  <c r="AK197" i="2"/>
  <c r="AH198" i="2"/>
  <c r="AI198" i="2"/>
  <c r="AJ198" i="2"/>
  <c r="AK198" i="2"/>
  <c r="AH199" i="2"/>
  <c r="AI199" i="2"/>
  <c r="AJ199" i="2"/>
  <c r="AK199" i="2"/>
  <c r="AH200" i="2"/>
  <c r="AI200" i="2"/>
  <c r="AJ200" i="2"/>
  <c r="AK200" i="2"/>
  <c r="AH201" i="2"/>
  <c r="AI201" i="2"/>
  <c r="AJ201" i="2"/>
  <c r="AK201" i="2"/>
  <c r="AH202" i="2"/>
  <c r="AI202" i="2"/>
  <c r="AJ202" i="2"/>
  <c r="AK202" i="2"/>
  <c r="AH203" i="2"/>
  <c r="AI203" i="2"/>
  <c r="AJ203" i="2"/>
  <c r="AK203" i="2"/>
  <c r="AH204" i="2"/>
  <c r="AI204" i="2"/>
  <c r="AJ204" i="2"/>
  <c r="AK204" i="2"/>
  <c r="AH205" i="2"/>
  <c r="AI205" i="2"/>
  <c r="AJ205" i="2"/>
  <c r="AK205" i="2"/>
  <c r="AH206" i="2"/>
  <c r="AI206" i="2"/>
  <c r="AJ206" i="2"/>
  <c r="AK206" i="2"/>
  <c r="AH207" i="2"/>
  <c r="AI207" i="2"/>
  <c r="AJ207" i="2"/>
  <c r="AK207" i="2"/>
  <c r="AH208" i="2"/>
  <c r="AI208" i="2"/>
  <c r="AJ208" i="2"/>
  <c r="AK208" i="2"/>
  <c r="AH209" i="2"/>
  <c r="AI209" i="2"/>
  <c r="AJ209" i="2"/>
  <c r="AK209" i="2"/>
  <c r="AH210" i="2"/>
  <c r="AI210" i="2"/>
  <c r="AJ210" i="2"/>
  <c r="AK210" i="2"/>
  <c r="AH211" i="2"/>
  <c r="AI211" i="2"/>
  <c r="AJ211" i="2"/>
  <c r="AK211" i="2"/>
  <c r="AH212" i="2"/>
  <c r="AI212" i="2"/>
  <c r="AJ212" i="2"/>
  <c r="AK212" i="2"/>
  <c r="AH213" i="2"/>
  <c r="AI213" i="2"/>
  <c r="AJ213" i="2"/>
  <c r="AK213" i="2"/>
  <c r="AH214" i="2"/>
  <c r="AI214" i="2"/>
  <c r="AJ214" i="2"/>
  <c r="AK214" i="2"/>
  <c r="AH215" i="2"/>
  <c r="AI215" i="2"/>
  <c r="AJ215" i="2"/>
  <c r="AK215" i="2"/>
  <c r="AH216" i="2"/>
  <c r="AI216" i="2"/>
  <c r="AJ216" i="2"/>
  <c r="AK216" i="2"/>
  <c r="AH217" i="2"/>
  <c r="AI217" i="2"/>
  <c r="AJ217" i="2"/>
  <c r="AK217" i="2"/>
  <c r="AH218" i="2"/>
  <c r="AI218" i="2"/>
  <c r="AJ218" i="2"/>
  <c r="AK218" i="2"/>
  <c r="AH219" i="2"/>
  <c r="AI219" i="2"/>
  <c r="AJ219" i="2"/>
  <c r="AK219" i="2"/>
  <c r="AH220" i="2"/>
  <c r="AI220" i="2"/>
  <c r="AJ220" i="2"/>
  <c r="AK220" i="2"/>
  <c r="AH221" i="2"/>
  <c r="AI221" i="2"/>
  <c r="AJ221" i="2"/>
  <c r="AK221" i="2"/>
  <c r="AH222" i="2"/>
  <c r="AI222" i="2"/>
  <c r="AJ222" i="2"/>
  <c r="AK222" i="2"/>
  <c r="AH223" i="2"/>
  <c r="AI223" i="2"/>
  <c r="AJ223" i="2"/>
  <c r="AK223" i="2"/>
  <c r="AH224" i="2"/>
  <c r="AI224" i="2"/>
  <c r="AJ224" i="2"/>
  <c r="AK224" i="2"/>
  <c r="AH225" i="2"/>
  <c r="AI225" i="2"/>
  <c r="AJ225" i="2"/>
  <c r="AK225" i="2"/>
  <c r="AH226" i="2"/>
  <c r="AI226" i="2"/>
  <c r="AJ226" i="2"/>
  <c r="AK226" i="2"/>
  <c r="AH227" i="2"/>
  <c r="AI227" i="2"/>
  <c r="AJ227" i="2"/>
  <c r="AK227" i="2"/>
  <c r="AH228" i="2"/>
  <c r="AI228" i="2"/>
  <c r="AJ228" i="2"/>
  <c r="AK228" i="2"/>
  <c r="AH229" i="2"/>
  <c r="AI229" i="2"/>
  <c r="AJ229" i="2"/>
  <c r="AK229" i="2"/>
  <c r="AH230" i="2"/>
  <c r="AI230" i="2"/>
  <c r="AJ230" i="2"/>
  <c r="AK230" i="2"/>
  <c r="AH231" i="2"/>
  <c r="AI231" i="2"/>
  <c r="AJ231" i="2"/>
  <c r="AK231" i="2"/>
  <c r="AH232" i="2"/>
  <c r="AI232" i="2"/>
  <c r="AJ232" i="2"/>
  <c r="AK232" i="2"/>
  <c r="AH233" i="2"/>
  <c r="AI233" i="2"/>
  <c r="AJ233" i="2"/>
  <c r="AK233" i="2"/>
  <c r="AH234" i="2"/>
  <c r="AI234" i="2"/>
  <c r="AJ234" i="2"/>
  <c r="AK234" i="2"/>
  <c r="AH235" i="2"/>
  <c r="AI235" i="2"/>
  <c r="AJ235" i="2"/>
  <c r="AK235" i="2"/>
  <c r="AH236" i="2"/>
  <c r="AI236" i="2"/>
  <c r="AJ236" i="2"/>
  <c r="AK236" i="2"/>
  <c r="AH237" i="2"/>
  <c r="AI237" i="2"/>
  <c r="AJ237" i="2"/>
  <c r="AK237" i="2"/>
  <c r="AH238" i="2"/>
  <c r="AI238" i="2"/>
  <c r="AJ238" i="2"/>
  <c r="AK238" i="2"/>
  <c r="AH239" i="2"/>
  <c r="AI239" i="2"/>
  <c r="AJ239" i="2"/>
  <c r="AK239" i="2"/>
  <c r="AH240" i="2"/>
  <c r="AI240" i="2"/>
  <c r="AJ240" i="2"/>
  <c r="AK240" i="2"/>
  <c r="AH241" i="2"/>
  <c r="AI241" i="2"/>
  <c r="AJ241" i="2"/>
  <c r="AK241" i="2"/>
  <c r="AH242" i="2"/>
  <c r="AI242" i="2"/>
  <c r="AJ242" i="2"/>
  <c r="AK242" i="2"/>
  <c r="AH243" i="2"/>
  <c r="AI243" i="2"/>
  <c r="AJ243" i="2"/>
  <c r="AK243" i="2"/>
  <c r="AH244" i="2"/>
  <c r="AI244" i="2"/>
  <c r="AJ244" i="2"/>
  <c r="AK244" i="2"/>
  <c r="AH245" i="2"/>
  <c r="AI245" i="2"/>
  <c r="AJ245" i="2"/>
  <c r="AK245" i="2"/>
  <c r="AH246" i="2"/>
  <c r="AI246" i="2"/>
  <c r="AJ246" i="2"/>
  <c r="AK246" i="2"/>
  <c r="AH247" i="2"/>
  <c r="AI247" i="2"/>
  <c r="AJ247" i="2"/>
  <c r="AK247" i="2"/>
  <c r="AH248" i="2"/>
  <c r="AI248" i="2"/>
  <c r="AJ248" i="2"/>
  <c r="AK248" i="2"/>
  <c r="AH249" i="2"/>
  <c r="AI249" i="2"/>
  <c r="AJ249" i="2"/>
  <c r="AK249" i="2"/>
  <c r="AH250" i="2"/>
  <c r="AI250" i="2"/>
  <c r="AJ250" i="2"/>
  <c r="AK250" i="2"/>
  <c r="AH251" i="2"/>
  <c r="AI251" i="2"/>
  <c r="AJ251" i="2"/>
  <c r="AK251" i="2"/>
  <c r="AH252" i="2"/>
  <c r="AI252" i="2"/>
  <c r="AJ252" i="2"/>
  <c r="AK252" i="2"/>
  <c r="AH253" i="2"/>
  <c r="AI253" i="2"/>
  <c r="AJ253" i="2"/>
  <c r="AK253" i="2"/>
  <c r="AH254" i="2"/>
  <c r="AI254" i="2"/>
  <c r="AJ254" i="2"/>
  <c r="AK254" i="2"/>
  <c r="AH255" i="2"/>
  <c r="AI255" i="2"/>
  <c r="AJ255" i="2"/>
  <c r="AK255" i="2"/>
  <c r="AH256" i="2"/>
  <c r="AI256" i="2"/>
  <c r="AJ256" i="2"/>
  <c r="AK256" i="2"/>
  <c r="AH257" i="2"/>
  <c r="AI257" i="2"/>
  <c r="AJ257" i="2"/>
  <c r="AK257" i="2"/>
  <c r="AH258" i="2"/>
  <c r="AI258" i="2"/>
  <c r="AJ258" i="2"/>
  <c r="AK258" i="2"/>
  <c r="AH259" i="2"/>
  <c r="AI259" i="2"/>
  <c r="AJ259" i="2"/>
  <c r="AK259" i="2"/>
  <c r="AH260" i="2"/>
  <c r="AI260" i="2"/>
  <c r="AJ260" i="2"/>
  <c r="AK260" i="2"/>
  <c r="AH261" i="2"/>
  <c r="AI261" i="2"/>
  <c r="AJ261" i="2"/>
  <c r="AK261" i="2"/>
  <c r="AH262" i="2"/>
  <c r="AI262" i="2"/>
  <c r="AJ262" i="2"/>
  <c r="AK262" i="2"/>
  <c r="AH263" i="2"/>
  <c r="AI263" i="2"/>
  <c r="AJ263" i="2"/>
  <c r="AK263" i="2"/>
  <c r="AH264" i="2"/>
  <c r="AI264" i="2"/>
  <c r="AJ264" i="2"/>
  <c r="AK264" i="2"/>
  <c r="AH265" i="2"/>
  <c r="AI265" i="2"/>
  <c r="AJ265" i="2"/>
  <c r="AK265" i="2"/>
  <c r="AH266" i="2"/>
  <c r="AI266" i="2"/>
  <c r="AJ266" i="2"/>
  <c r="AK266" i="2"/>
  <c r="AH267" i="2"/>
  <c r="AI267" i="2"/>
  <c r="AJ267" i="2"/>
  <c r="AK267" i="2"/>
  <c r="AH268" i="2"/>
  <c r="AI268" i="2"/>
  <c r="AJ268" i="2"/>
  <c r="AK268" i="2"/>
  <c r="AH269" i="2"/>
  <c r="AI269" i="2"/>
  <c r="AJ269" i="2"/>
  <c r="AK269" i="2"/>
  <c r="AH270" i="2"/>
  <c r="AI270" i="2"/>
  <c r="AJ270" i="2"/>
  <c r="AK270" i="2"/>
  <c r="AH271" i="2"/>
  <c r="AI271" i="2"/>
  <c r="AJ271" i="2"/>
  <c r="AK271" i="2"/>
  <c r="AH272" i="2"/>
  <c r="AI272" i="2"/>
  <c r="AJ272" i="2"/>
  <c r="AK272" i="2"/>
  <c r="AH273" i="2"/>
  <c r="AI273" i="2"/>
  <c r="AJ273" i="2"/>
  <c r="AK273" i="2"/>
  <c r="AH274" i="2"/>
  <c r="AI274" i="2"/>
  <c r="AJ274" i="2"/>
  <c r="AK274" i="2"/>
  <c r="AH275" i="2"/>
  <c r="AI275" i="2"/>
  <c r="AJ275" i="2"/>
  <c r="AK275" i="2"/>
  <c r="AH276" i="2"/>
  <c r="AI276" i="2"/>
  <c r="AJ276" i="2"/>
  <c r="AK276" i="2"/>
  <c r="AH277" i="2"/>
  <c r="AI277" i="2"/>
  <c r="AJ277" i="2"/>
  <c r="AK277" i="2"/>
  <c r="AH278" i="2"/>
  <c r="AI278" i="2"/>
  <c r="AJ278" i="2"/>
  <c r="AK278" i="2"/>
  <c r="AH279" i="2"/>
  <c r="AI279" i="2"/>
  <c r="AJ279" i="2"/>
  <c r="AK279" i="2"/>
  <c r="AH280" i="2"/>
  <c r="AI280" i="2"/>
  <c r="AJ280" i="2"/>
  <c r="AK280" i="2"/>
  <c r="AH281" i="2"/>
  <c r="AI281" i="2"/>
  <c r="AJ281" i="2"/>
  <c r="AK281" i="2"/>
  <c r="AH282" i="2"/>
  <c r="AI282" i="2"/>
  <c r="AJ282" i="2"/>
  <c r="AK282" i="2"/>
  <c r="AH283" i="2"/>
  <c r="AI283" i="2"/>
  <c r="AJ283" i="2"/>
  <c r="AK283" i="2"/>
  <c r="AH284" i="2"/>
  <c r="AI284" i="2"/>
  <c r="AJ284" i="2"/>
  <c r="AK284" i="2"/>
  <c r="AH285" i="2"/>
  <c r="AI285" i="2"/>
  <c r="AJ285" i="2"/>
  <c r="AK285" i="2"/>
  <c r="AH286" i="2"/>
  <c r="AI286" i="2"/>
  <c r="AJ286" i="2"/>
  <c r="AK286" i="2"/>
  <c r="AH287" i="2"/>
  <c r="AI287" i="2"/>
  <c r="AJ287" i="2"/>
  <c r="AK287" i="2"/>
  <c r="AH288" i="2"/>
  <c r="AI288" i="2"/>
  <c r="AJ288" i="2"/>
  <c r="AK288" i="2"/>
  <c r="AH289" i="2"/>
  <c r="AI289" i="2"/>
  <c r="AJ289" i="2"/>
  <c r="AK289" i="2"/>
  <c r="AH290" i="2"/>
  <c r="AI290" i="2"/>
  <c r="AJ290" i="2"/>
  <c r="AK290" i="2"/>
  <c r="AH291" i="2"/>
  <c r="AI291" i="2"/>
  <c r="AJ291" i="2"/>
  <c r="AK291" i="2"/>
  <c r="AH292" i="2"/>
  <c r="AI292" i="2"/>
  <c r="AJ292" i="2"/>
  <c r="AK292" i="2"/>
  <c r="AH293" i="2"/>
  <c r="AI293" i="2"/>
  <c r="AJ293" i="2"/>
  <c r="AK293" i="2"/>
  <c r="AH294" i="2"/>
  <c r="AI294" i="2"/>
  <c r="AJ294" i="2"/>
  <c r="AK294" i="2"/>
  <c r="AH295" i="2"/>
  <c r="AI295" i="2"/>
  <c r="AJ295" i="2"/>
  <c r="AK295" i="2"/>
  <c r="AH296" i="2"/>
  <c r="AI296" i="2"/>
  <c r="AJ296" i="2"/>
  <c r="AK296" i="2"/>
  <c r="AH297" i="2"/>
  <c r="AI297" i="2"/>
  <c r="AJ297" i="2"/>
  <c r="AK297" i="2"/>
  <c r="AH298" i="2"/>
  <c r="AI298" i="2"/>
  <c r="AJ298" i="2"/>
  <c r="AK298" i="2"/>
  <c r="AH299" i="2"/>
  <c r="AI299" i="2"/>
  <c r="AJ299" i="2"/>
  <c r="AK299" i="2"/>
  <c r="AH300" i="2"/>
  <c r="AI300" i="2"/>
  <c r="AJ300" i="2"/>
  <c r="AK300" i="2"/>
  <c r="AH301" i="2"/>
  <c r="AI301" i="2"/>
  <c r="AJ301" i="2"/>
  <c r="AK301" i="2"/>
  <c r="AH302" i="2"/>
  <c r="AI302" i="2"/>
  <c r="AJ302" i="2"/>
  <c r="AK302" i="2"/>
  <c r="AH303" i="2"/>
  <c r="AI303" i="2"/>
  <c r="AJ303" i="2"/>
  <c r="AK303" i="2"/>
  <c r="AH304" i="2"/>
  <c r="AI304" i="2"/>
  <c r="AJ304" i="2"/>
  <c r="AK304" i="2"/>
  <c r="AH305" i="2"/>
  <c r="AI305" i="2"/>
  <c r="AJ305" i="2"/>
  <c r="AK305" i="2"/>
  <c r="AH306" i="2"/>
  <c r="AI306" i="2"/>
  <c r="AJ306" i="2"/>
  <c r="AK306" i="2"/>
  <c r="AH307" i="2"/>
  <c r="AI307" i="2"/>
  <c r="AJ307" i="2"/>
  <c r="AK307" i="2"/>
  <c r="AH308" i="2"/>
  <c r="AI308" i="2"/>
  <c r="AJ308" i="2"/>
  <c r="AK308" i="2"/>
  <c r="AH309" i="2"/>
  <c r="AI309" i="2"/>
  <c r="AJ309" i="2"/>
  <c r="AK309" i="2"/>
  <c r="AH310" i="2"/>
  <c r="AI310" i="2"/>
  <c r="AJ310" i="2"/>
  <c r="AK310" i="2"/>
  <c r="AH311" i="2"/>
  <c r="AI311" i="2"/>
  <c r="AJ311" i="2"/>
  <c r="AK311" i="2"/>
  <c r="AH312" i="2"/>
  <c r="AI312" i="2"/>
  <c r="AJ312" i="2"/>
  <c r="AK312" i="2"/>
  <c r="AH313" i="2"/>
  <c r="AI313" i="2"/>
  <c r="AJ313" i="2"/>
  <c r="AK313" i="2"/>
  <c r="AH314" i="2"/>
  <c r="AI314" i="2"/>
  <c r="AJ314" i="2"/>
  <c r="AK314" i="2"/>
  <c r="AH315" i="2"/>
  <c r="AI315" i="2"/>
  <c r="AJ315" i="2"/>
  <c r="AK315" i="2"/>
  <c r="AH316" i="2"/>
  <c r="AI316" i="2"/>
  <c r="AJ316" i="2"/>
  <c r="AK316" i="2"/>
  <c r="AH317" i="2"/>
  <c r="AI317" i="2"/>
  <c r="AJ317" i="2"/>
  <c r="AK317" i="2"/>
  <c r="AH318" i="2"/>
  <c r="AI318" i="2"/>
  <c r="AJ318" i="2"/>
  <c r="AK318" i="2"/>
  <c r="AH319" i="2"/>
  <c r="AI319" i="2"/>
  <c r="AJ319" i="2"/>
  <c r="AK319" i="2"/>
  <c r="AH320" i="2"/>
  <c r="AI320" i="2"/>
  <c r="AJ320" i="2"/>
  <c r="AK320" i="2"/>
  <c r="AH321" i="2"/>
  <c r="AI321" i="2"/>
  <c r="AJ321" i="2"/>
  <c r="AK321" i="2"/>
  <c r="AH322" i="2"/>
  <c r="AI322" i="2"/>
  <c r="AJ322" i="2"/>
  <c r="AK322" i="2"/>
  <c r="AH323" i="2"/>
  <c r="AI323" i="2"/>
  <c r="AJ323" i="2"/>
  <c r="AK323" i="2"/>
  <c r="AH324" i="2"/>
  <c r="AI324" i="2"/>
  <c r="AJ324" i="2"/>
  <c r="AK324" i="2"/>
  <c r="AH325" i="2"/>
  <c r="AI325" i="2"/>
  <c r="AJ325" i="2"/>
  <c r="AK325" i="2"/>
  <c r="AH326" i="2"/>
  <c r="AI326" i="2"/>
  <c r="AJ326" i="2"/>
  <c r="AK326" i="2"/>
  <c r="AH327" i="2"/>
  <c r="AI327" i="2"/>
  <c r="AJ327" i="2"/>
  <c r="AK327" i="2"/>
  <c r="AH328" i="2"/>
  <c r="AI328" i="2"/>
  <c r="AJ328" i="2"/>
  <c r="AK328" i="2"/>
  <c r="AH329" i="2"/>
  <c r="AI329" i="2"/>
  <c r="AJ329" i="2"/>
  <c r="AK329" i="2"/>
  <c r="AH330" i="2"/>
  <c r="AI330" i="2"/>
  <c r="AJ330" i="2"/>
  <c r="AK330" i="2"/>
  <c r="AH331" i="2"/>
  <c r="AI331" i="2"/>
  <c r="AJ331" i="2"/>
  <c r="AK331" i="2"/>
  <c r="AH332" i="2"/>
  <c r="AI332" i="2"/>
  <c r="AJ332" i="2"/>
  <c r="AK332" i="2"/>
  <c r="AH333" i="2"/>
  <c r="AI333" i="2"/>
  <c r="AJ333" i="2"/>
  <c r="AK333" i="2"/>
  <c r="AH334" i="2"/>
  <c r="AI334" i="2"/>
  <c r="AJ334" i="2"/>
  <c r="AK334" i="2"/>
  <c r="AH335" i="2"/>
  <c r="AI335" i="2"/>
  <c r="AJ335" i="2"/>
  <c r="AK335" i="2"/>
  <c r="AH336" i="2"/>
  <c r="AI336" i="2"/>
  <c r="AJ336" i="2"/>
  <c r="AK336" i="2"/>
  <c r="AH337" i="2"/>
  <c r="AI337" i="2"/>
  <c r="AJ337" i="2"/>
  <c r="AK337" i="2"/>
  <c r="AH338" i="2"/>
  <c r="AI338" i="2"/>
  <c r="AJ338" i="2"/>
  <c r="AK338" i="2"/>
  <c r="AH339" i="2"/>
  <c r="AI339" i="2"/>
  <c r="AJ339" i="2"/>
  <c r="AK339" i="2"/>
  <c r="AH340" i="2"/>
  <c r="AI340" i="2"/>
  <c r="AJ340" i="2"/>
  <c r="AK340" i="2"/>
  <c r="AH341" i="2"/>
  <c r="AI341" i="2"/>
  <c r="AJ341" i="2"/>
  <c r="AK341" i="2"/>
  <c r="AH342" i="2"/>
  <c r="AI342" i="2"/>
  <c r="AJ342" i="2"/>
  <c r="AK342" i="2"/>
  <c r="AH343" i="2"/>
  <c r="AI343" i="2"/>
  <c r="AJ343" i="2"/>
  <c r="AK343" i="2"/>
  <c r="AH344" i="2"/>
  <c r="AI344" i="2"/>
  <c r="AJ344" i="2"/>
  <c r="AK344" i="2"/>
  <c r="AH345" i="2"/>
  <c r="AI345" i="2"/>
  <c r="AJ345" i="2"/>
  <c r="AK345" i="2"/>
  <c r="AH346" i="2"/>
  <c r="AI346" i="2"/>
  <c r="AJ346" i="2"/>
  <c r="AK346" i="2"/>
  <c r="AH347" i="2"/>
  <c r="AI347" i="2"/>
  <c r="AJ347" i="2"/>
  <c r="AK347" i="2"/>
  <c r="AH348" i="2"/>
  <c r="AI348" i="2"/>
  <c r="AJ348" i="2"/>
  <c r="AK348" i="2"/>
  <c r="AH349" i="2"/>
  <c r="AI349" i="2"/>
  <c r="AJ349" i="2"/>
  <c r="AK349" i="2"/>
  <c r="AH350" i="2"/>
  <c r="AI350" i="2"/>
  <c r="AJ350" i="2"/>
  <c r="AK350" i="2"/>
  <c r="AH351" i="2"/>
  <c r="AI351" i="2"/>
  <c r="AJ351" i="2"/>
  <c r="AK351" i="2"/>
  <c r="AH352" i="2"/>
  <c r="AI352" i="2"/>
  <c r="AJ352" i="2"/>
  <c r="AK352" i="2"/>
  <c r="AH353" i="2"/>
  <c r="AI353" i="2"/>
  <c r="AJ353" i="2"/>
  <c r="AK353" i="2"/>
  <c r="AH354" i="2"/>
  <c r="AI354" i="2"/>
  <c r="AJ354" i="2"/>
  <c r="AK354" i="2"/>
  <c r="AH355" i="2"/>
  <c r="AI355" i="2"/>
  <c r="AJ355" i="2"/>
  <c r="AK355" i="2"/>
  <c r="AH356" i="2"/>
  <c r="AI356" i="2"/>
  <c r="AJ356" i="2"/>
  <c r="AK356" i="2"/>
  <c r="AH357" i="2"/>
  <c r="AI357" i="2"/>
  <c r="AJ357" i="2"/>
  <c r="AK357" i="2"/>
  <c r="AH358" i="2"/>
  <c r="AI358" i="2"/>
  <c r="AJ358" i="2"/>
  <c r="AK358" i="2"/>
  <c r="AH359" i="2"/>
  <c r="AI359" i="2"/>
  <c r="AJ359" i="2"/>
  <c r="AK359" i="2"/>
  <c r="AH360" i="2"/>
  <c r="AI360" i="2"/>
  <c r="AJ360" i="2"/>
  <c r="AK360" i="2"/>
  <c r="AH361" i="2"/>
  <c r="AI361" i="2"/>
  <c r="AJ361" i="2"/>
  <c r="AK361" i="2"/>
  <c r="AH362" i="2"/>
  <c r="AI362" i="2"/>
  <c r="AJ362" i="2"/>
  <c r="AK362" i="2"/>
  <c r="AH363" i="2"/>
  <c r="AI363" i="2"/>
  <c r="AJ363" i="2"/>
  <c r="AK363" i="2"/>
  <c r="AH364" i="2"/>
  <c r="AI364" i="2"/>
  <c r="AJ364" i="2"/>
  <c r="AK364" i="2"/>
  <c r="AH365" i="2"/>
  <c r="AI365" i="2"/>
  <c r="AJ365" i="2"/>
  <c r="AK365" i="2"/>
  <c r="AH366" i="2"/>
  <c r="AI366" i="2"/>
  <c r="AJ366" i="2"/>
  <c r="AK366" i="2"/>
  <c r="AH367" i="2"/>
  <c r="AI367" i="2"/>
  <c r="AJ367" i="2"/>
  <c r="AK367" i="2"/>
  <c r="AH368" i="2"/>
  <c r="AI368" i="2"/>
  <c r="AJ368" i="2"/>
  <c r="AK368" i="2"/>
  <c r="AH369" i="2"/>
  <c r="AI369" i="2"/>
  <c r="AJ369" i="2"/>
  <c r="AK369" i="2"/>
  <c r="AH370" i="2"/>
  <c r="AI370" i="2"/>
  <c r="AJ370" i="2"/>
  <c r="AK370" i="2"/>
  <c r="AH371" i="2"/>
  <c r="AI371" i="2"/>
  <c r="AJ371" i="2"/>
  <c r="AK371" i="2"/>
  <c r="AH372" i="2"/>
  <c r="AI372" i="2"/>
  <c r="AJ372" i="2"/>
  <c r="AK372" i="2"/>
  <c r="AH373" i="2"/>
  <c r="AI373" i="2"/>
  <c r="AJ373" i="2"/>
  <c r="AK373" i="2"/>
  <c r="AH374" i="2"/>
  <c r="AI374" i="2"/>
  <c r="AJ374" i="2"/>
  <c r="AK374" i="2"/>
  <c r="AH375" i="2"/>
  <c r="AI375" i="2"/>
  <c r="AJ375" i="2"/>
  <c r="AK375" i="2"/>
  <c r="AH376" i="2"/>
  <c r="AI376" i="2"/>
  <c r="AJ376" i="2"/>
  <c r="AK376" i="2"/>
  <c r="AH377" i="2"/>
  <c r="AI377" i="2"/>
  <c r="AJ377" i="2"/>
  <c r="AK377" i="2"/>
  <c r="AH378" i="2"/>
  <c r="AI378" i="2"/>
  <c r="AJ378" i="2"/>
  <c r="AK378" i="2"/>
  <c r="AH379" i="2"/>
  <c r="AI379" i="2"/>
  <c r="AJ379" i="2"/>
  <c r="AK379" i="2"/>
  <c r="AH380" i="2"/>
  <c r="AI380" i="2"/>
  <c r="AJ380" i="2"/>
  <c r="AK380" i="2"/>
  <c r="AH381" i="2"/>
  <c r="AI381" i="2"/>
  <c r="AJ381" i="2"/>
  <c r="AK381" i="2"/>
  <c r="AH382" i="2"/>
  <c r="AI382" i="2"/>
  <c r="AJ382" i="2"/>
  <c r="AK382" i="2"/>
  <c r="AH383" i="2"/>
  <c r="AI383" i="2"/>
  <c r="AJ383" i="2"/>
  <c r="AK383" i="2"/>
  <c r="AH384" i="2"/>
  <c r="AI384" i="2"/>
  <c r="AJ384" i="2"/>
  <c r="AK384" i="2"/>
  <c r="AH385" i="2"/>
  <c r="AI385" i="2"/>
  <c r="AJ385" i="2"/>
  <c r="AK385" i="2"/>
  <c r="AH386" i="2"/>
  <c r="AI386" i="2"/>
  <c r="AJ386" i="2"/>
  <c r="AK386" i="2"/>
  <c r="AH387" i="2"/>
  <c r="AI387" i="2"/>
  <c r="AJ387" i="2"/>
  <c r="AK387" i="2"/>
  <c r="AH388" i="2"/>
  <c r="AI388" i="2"/>
  <c r="AJ388" i="2"/>
  <c r="AK388" i="2"/>
  <c r="AH389" i="2"/>
  <c r="AI389" i="2"/>
  <c r="AJ389" i="2"/>
  <c r="AK389" i="2"/>
  <c r="AH390" i="2"/>
  <c r="AI390" i="2"/>
  <c r="AJ390" i="2"/>
  <c r="AK390" i="2"/>
  <c r="AH391" i="2"/>
  <c r="AI391" i="2"/>
  <c r="AJ391" i="2"/>
  <c r="AK391" i="2"/>
  <c r="AH392" i="2"/>
  <c r="AI392" i="2"/>
  <c r="AJ392" i="2"/>
  <c r="AK392" i="2"/>
  <c r="AH393" i="2"/>
  <c r="AI393" i="2"/>
  <c r="AJ393" i="2"/>
  <c r="AK393" i="2"/>
  <c r="AH394" i="2"/>
  <c r="AI394" i="2"/>
  <c r="AJ394" i="2"/>
  <c r="AK394" i="2"/>
  <c r="AH395" i="2"/>
  <c r="AI395" i="2"/>
  <c r="AJ395" i="2"/>
  <c r="AK395" i="2"/>
  <c r="AH396" i="2"/>
  <c r="AI396" i="2"/>
  <c r="AJ396" i="2"/>
  <c r="AK396" i="2"/>
  <c r="AH397" i="2"/>
  <c r="AI397" i="2"/>
  <c r="AJ397" i="2"/>
  <c r="AK397" i="2"/>
  <c r="AH398" i="2"/>
  <c r="AI398" i="2"/>
  <c r="AJ398" i="2"/>
  <c r="AK398" i="2"/>
  <c r="AH399" i="2"/>
  <c r="AI399" i="2"/>
  <c r="AJ399" i="2"/>
  <c r="AK399" i="2"/>
  <c r="AH400" i="2"/>
  <c r="AI400" i="2"/>
  <c r="AJ400" i="2"/>
  <c r="AK400" i="2"/>
  <c r="AH401" i="2"/>
  <c r="AI401" i="2"/>
  <c r="AJ401" i="2"/>
  <c r="AK401" i="2"/>
  <c r="AH402" i="2"/>
  <c r="AI402" i="2"/>
  <c r="AJ402" i="2"/>
  <c r="AK402" i="2"/>
  <c r="AH403" i="2"/>
  <c r="AI403" i="2"/>
  <c r="AJ403" i="2"/>
  <c r="AK403" i="2"/>
  <c r="AH404" i="2"/>
  <c r="AI404" i="2"/>
  <c r="AJ404" i="2"/>
  <c r="AK404" i="2"/>
  <c r="AH405" i="2"/>
  <c r="AI405" i="2"/>
  <c r="AJ405" i="2"/>
  <c r="AK405" i="2"/>
  <c r="AH406" i="2"/>
  <c r="AI406" i="2"/>
  <c r="AJ406" i="2"/>
  <c r="AK406" i="2"/>
  <c r="AH407" i="2"/>
  <c r="AI407" i="2"/>
  <c r="AJ407" i="2"/>
  <c r="AK407" i="2"/>
  <c r="AH408" i="2"/>
  <c r="AI408" i="2"/>
  <c r="AJ408" i="2"/>
  <c r="AK408" i="2"/>
  <c r="AH409" i="2"/>
  <c r="AI409" i="2"/>
  <c r="AJ409" i="2"/>
  <c r="AK409" i="2"/>
  <c r="AH410" i="2"/>
  <c r="AI410" i="2"/>
  <c r="AJ410" i="2"/>
  <c r="AK410" i="2"/>
  <c r="AH411" i="2"/>
  <c r="AI411" i="2"/>
  <c r="AJ411" i="2"/>
  <c r="AK411" i="2"/>
  <c r="AH412" i="2"/>
  <c r="AI412" i="2"/>
  <c r="AJ412" i="2"/>
  <c r="AK412" i="2"/>
  <c r="AH413" i="2"/>
  <c r="AI413" i="2"/>
  <c r="AJ413" i="2"/>
  <c r="AK413" i="2"/>
  <c r="AH414" i="2"/>
  <c r="AI414" i="2"/>
  <c r="AJ414" i="2"/>
  <c r="AK414" i="2"/>
  <c r="AH415" i="2"/>
  <c r="AI415" i="2"/>
  <c r="AJ415" i="2"/>
  <c r="AK415" i="2"/>
  <c r="AH416" i="2"/>
  <c r="AI416" i="2"/>
  <c r="AJ416" i="2"/>
  <c r="AK416" i="2"/>
  <c r="AH417" i="2"/>
  <c r="AI417" i="2"/>
  <c r="AJ417" i="2"/>
  <c r="AK417" i="2"/>
  <c r="AH418" i="2"/>
  <c r="AI418" i="2"/>
  <c r="AJ418" i="2"/>
  <c r="AK418" i="2"/>
  <c r="AH419" i="2"/>
  <c r="AI419" i="2"/>
  <c r="AJ419" i="2"/>
  <c r="AK419" i="2"/>
  <c r="AH420" i="2"/>
  <c r="AI420" i="2"/>
  <c r="AJ420" i="2"/>
  <c r="AK420" i="2"/>
  <c r="AH421" i="2"/>
  <c r="AI421" i="2"/>
  <c r="AJ421" i="2"/>
  <c r="AK421" i="2"/>
  <c r="AH422" i="2"/>
  <c r="AI422" i="2"/>
  <c r="AJ422" i="2"/>
  <c r="AK422" i="2"/>
  <c r="AH423" i="2"/>
  <c r="AI423" i="2"/>
  <c r="AJ423" i="2"/>
  <c r="AK423" i="2"/>
  <c r="AH424" i="2"/>
  <c r="AI424" i="2"/>
  <c r="AJ424" i="2"/>
  <c r="AK424" i="2"/>
  <c r="AH425" i="2"/>
  <c r="AI425" i="2"/>
  <c r="AJ425" i="2"/>
  <c r="AK425" i="2"/>
  <c r="AH426" i="2"/>
  <c r="AI426" i="2"/>
  <c r="AJ426" i="2"/>
  <c r="AK426" i="2"/>
  <c r="AH427" i="2"/>
  <c r="AI427" i="2"/>
  <c r="AJ427" i="2"/>
  <c r="AK427" i="2"/>
  <c r="AH428" i="2"/>
  <c r="AI428" i="2"/>
  <c r="AJ428" i="2"/>
  <c r="AK428" i="2"/>
  <c r="AH429" i="2"/>
  <c r="AI429" i="2"/>
  <c r="AJ429" i="2"/>
  <c r="AK429" i="2"/>
  <c r="AH430" i="2"/>
  <c r="AI430" i="2"/>
  <c r="AJ430" i="2"/>
  <c r="AK430" i="2"/>
  <c r="AH431" i="2"/>
  <c r="AI431" i="2"/>
  <c r="AJ431" i="2"/>
  <c r="AK431" i="2"/>
  <c r="AH432" i="2"/>
  <c r="AI432" i="2"/>
  <c r="AJ432" i="2"/>
  <c r="AK432" i="2"/>
  <c r="AH433" i="2"/>
  <c r="AI433" i="2"/>
  <c r="AJ433" i="2"/>
  <c r="AK433" i="2"/>
  <c r="AH434" i="2"/>
  <c r="AI434" i="2"/>
  <c r="AJ434" i="2"/>
  <c r="AK434" i="2"/>
  <c r="AH435" i="2"/>
  <c r="AI435" i="2"/>
  <c r="AJ435" i="2"/>
  <c r="AK435" i="2"/>
  <c r="AH436" i="2"/>
  <c r="AI436" i="2"/>
  <c r="AJ436" i="2"/>
  <c r="AK436" i="2"/>
  <c r="AH437" i="2"/>
  <c r="AI437" i="2"/>
  <c r="AJ437" i="2"/>
  <c r="AK437" i="2"/>
  <c r="AH438" i="2"/>
  <c r="AI438" i="2"/>
  <c r="AJ438" i="2"/>
  <c r="AK438" i="2"/>
  <c r="AH439" i="2"/>
  <c r="AI439" i="2"/>
  <c r="AJ439" i="2"/>
  <c r="AK439" i="2"/>
  <c r="AH440" i="2"/>
  <c r="AI440" i="2"/>
  <c r="AJ440" i="2"/>
  <c r="AK440" i="2"/>
  <c r="AH441" i="2"/>
  <c r="AI441" i="2"/>
  <c r="AJ441" i="2"/>
  <c r="AK441" i="2"/>
  <c r="AH442" i="2"/>
  <c r="AI442" i="2"/>
  <c r="AJ442" i="2"/>
  <c r="AK442" i="2"/>
  <c r="AH443" i="2"/>
  <c r="AI443" i="2"/>
  <c r="AJ443" i="2"/>
  <c r="AK443" i="2"/>
  <c r="AH444" i="2"/>
  <c r="AI444" i="2"/>
  <c r="AJ444" i="2"/>
  <c r="AK444" i="2"/>
  <c r="AH445" i="2"/>
  <c r="AI445" i="2"/>
  <c r="AJ445" i="2"/>
  <c r="AK445" i="2"/>
  <c r="AH446" i="2"/>
  <c r="AI446" i="2"/>
  <c r="AJ446" i="2"/>
  <c r="AK446" i="2"/>
  <c r="AH447" i="2"/>
  <c r="AI447" i="2"/>
  <c r="AJ447" i="2"/>
  <c r="AK447" i="2"/>
  <c r="AH448" i="2"/>
  <c r="AI448" i="2"/>
  <c r="AJ448" i="2"/>
  <c r="AK448" i="2"/>
  <c r="AH449" i="2"/>
  <c r="AI449" i="2"/>
  <c r="AJ449" i="2"/>
  <c r="AK449" i="2"/>
  <c r="AH450" i="2"/>
  <c r="AI450" i="2"/>
  <c r="AJ450" i="2"/>
  <c r="AK450" i="2"/>
  <c r="AH451" i="2"/>
  <c r="AI451" i="2"/>
  <c r="AJ451" i="2"/>
  <c r="AK451" i="2"/>
  <c r="AH452" i="2"/>
  <c r="AI452" i="2"/>
  <c r="AJ452" i="2"/>
  <c r="AK452" i="2"/>
  <c r="AH453" i="2"/>
  <c r="AI453" i="2"/>
  <c r="AJ453" i="2"/>
  <c r="AK453" i="2"/>
  <c r="AH454" i="2"/>
  <c r="AI454" i="2"/>
  <c r="AJ454" i="2"/>
  <c r="AK454" i="2"/>
  <c r="AH455" i="2"/>
  <c r="AI455" i="2"/>
  <c r="AJ455" i="2"/>
  <c r="AK455" i="2"/>
  <c r="AH456" i="2"/>
  <c r="AI456" i="2"/>
  <c r="AJ456" i="2"/>
  <c r="AK456" i="2"/>
  <c r="AH457" i="2"/>
  <c r="AI457" i="2"/>
  <c r="AJ457" i="2"/>
  <c r="AK457" i="2"/>
  <c r="AH458" i="2"/>
  <c r="AI458" i="2"/>
  <c r="AJ458" i="2"/>
  <c r="AK458" i="2"/>
  <c r="AH459" i="2"/>
  <c r="AI459" i="2"/>
  <c r="AJ459" i="2"/>
  <c r="AK459" i="2"/>
  <c r="AH460" i="2"/>
  <c r="AI460" i="2"/>
  <c r="AJ460" i="2"/>
  <c r="AK460" i="2"/>
  <c r="AH461" i="2"/>
  <c r="AI461" i="2"/>
  <c r="AJ461" i="2"/>
  <c r="AK461" i="2"/>
  <c r="AH462" i="2"/>
  <c r="AI462" i="2"/>
  <c r="AJ462" i="2"/>
  <c r="AK462" i="2"/>
  <c r="AH463" i="2"/>
  <c r="AI463" i="2"/>
  <c r="AJ463" i="2"/>
  <c r="AK463" i="2"/>
  <c r="AH464" i="2"/>
  <c r="AI464" i="2"/>
  <c r="AJ464" i="2"/>
  <c r="AK464" i="2"/>
  <c r="AH465" i="2"/>
  <c r="AI465" i="2"/>
  <c r="AJ465" i="2"/>
  <c r="AK465" i="2"/>
  <c r="AH466" i="2"/>
  <c r="AI466" i="2"/>
  <c r="AJ466" i="2"/>
  <c r="AK466" i="2"/>
  <c r="AH467" i="2"/>
  <c r="AI467" i="2"/>
  <c r="AJ467" i="2"/>
  <c r="AK467" i="2"/>
  <c r="AH468" i="2"/>
  <c r="AI468" i="2"/>
  <c r="AJ468" i="2"/>
  <c r="AK468" i="2"/>
  <c r="AH469" i="2"/>
  <c r="AI469" i="2"/>
  <c r="AJ469" i="2"/>
  <c r="AK469" i="2"/>
  <c r="AH470" i="2"/>
  <c r="AI470" i="2"/>
  <c r="AJ470" i="2"/>
  <c r="AK470" i="2"/>
  <c r="AH471" i="2"/>
  <c r="AI471" i="2"/>
  <c r="AJ471" i="2"/>
  <c r="AK471" i="2"/>
  <c r="AH472" i="2"/>
  <c r="AI472" i="2"/>
  <c r="AJ472" i="2"/>
  <c r="AK472" i="2"/>
  <c r="AH473" i="2"/>
  <c r="AI473" i="2"/>
  <c r="AJ473" i="2"/>
  <c r="AK473" i="2"/>
  <c r="AH474" i="2"/>
  <c r="AI474" i="2"/>
  <c r="AJ474" i="2"/>
  <c r="AK474" i="2"/>
  <c r="AH475" i="2"/>
  <c r="AI475" i="2"/>
  <c r="AJ475" i="2"/>
  <c r="AK475" i="2"/>
  <c r="AH476" i="2"/>
  <c r="AI476" i="2"/>
  <c r="AJ476" i="2"/>
  <c r="AK476" i="2"/>
  <c r="AH477" i="2"/>
  <c r="AI477" i="2"/>
  <c r="AJ477" i="2"/>
  <c r="AK477" i="2"/>
  <c r="AH478" i="2"/>
  <c r="AI478" i="2"/>
  <c r="AJ478" i="2"/>
  <c r="AK478" i="2"/>
  <c r="AH479" i="2"/>
  <c r="AI479" i="2"/>
  <c r="AJ479" i="2"/>
  <c r="AK479" i="2"/>
  <c r="AH480" i="2"/>
  <c r="AI480" i="2"/>
  <c r="AJ480" i="2"/>
  <c r="AK480" i="2"/>
  <c r="AH481" i="2"/>
  <c r="AI481" i="2"/>
  <c r="AJ481" i="2"/>
  <c r="AK481" i="2"/>
  <c r="AH482" i="2"/>
  <c r="AI482" i="2"/>
  <c r="AJ482" i="2"/>
  <c r="AK482" i="2"/>
  <c r="AH483" i="2"/>
  <c r="AI483" i="2"/>
  <c r="AJ483" i="2"/>
  <c r="AK483" i="2"/>
  <c r="AH484" i="2"/>
  <c r="AI484" i="2"/>
  <c r="AJ484" i="2"/>
  <c r="AK484" i="2"/>
  <c r="AH485" i="2"/>
  <c r="AI485" i="2"/>
  <c r="AJ485" i="2"/>
  <c r="AK485" i="2"/>
  <c r="AH486" i="2"/>
  <c r="AI486" i="2"/>
  <c r="AJ486" i="2"/>
  <c r="AK486" i="2"/>
  <c r="AH487" i="2"/>
  <c r="AI487" i="2"/>
  <c r="AJ487" i="2"/>
  <c r="AK487" i="2"/>
  <c r="AH488" i="2"/>
  <c r="AI488" i="2"/>
  <c r="AJ488" i="2"/>
  <c r="AK488" i="2"/>
  <c r="AH489" i="2"/>
  <c r="AI489" i="2"/>
  <c r="AJ489" i="2"/>
  <c r="AK489" i="2"/>
  <c r="AH490" i="2"/>
  <c r="AI490" i="2"/>
  <c r="AJ490" i="2"/>
  <c r="AK490" i="2"/>
  <c r="AH491" i="2"/>
  <c r="AI491" i="2"/>
  <c r="AJ491" i="2"/>
  <c r="AK491" i="2"/>
  <c r="AH492" i="2"/>
  <c r="AI492" i="2"/>
  <c r="AJ492" i="2"/>
  <c r="AK492" i="2"/>
  <c r="AH493" i="2"/>
  <c r="AI493" i="2"/>
  <c r="AJ493" i="2"/>
  <c r="AK493" i="2"/>
  <c r="AH494" i="2"/>
  <c r="AI494" i="2"/>
  <c r="AJ494" i="2"/>
  <c r="AK494" i="2"/>
  <c r="AH495" i="2"/>
  <c r="AI495" i="2"/>
  <c r="AJ495" i="2"/>
  <c r="AK495" i="2"/>
  <c r="AH496" i="2"/>
  <c r="AI496" i="2"/>
  <c r="AJ496" i="2"/>
  <c r="AK496" i="2"/>
  <c r="AH497" i="2"/>
  <c r="AI497" i="2"/>
  <c r="AJ497" i="2"/>
  <c r="AK497" i="2"/>
  <c r="AH498" i="2"/>
  <c r="AI498" i="2"/>
  <c r="AJ498" i="2"/>
  <c r="AK498" i="2"/>
  <c r="AH499" i="2"/>
  <c r="AI499" i="2"/>
  <c r="AJ499" i="2"/>
  <c r="AK499" i="2"/>
  <c r="AH500" i="2"/>
  <c r="AI500" i="2"/>
  <c r="AJ500" i="2"/>
  <c r="AK500" i="2"/>
  <c r="AH501" i="2"/>
  <c r="AI501" i="2"/>
  <c r="AJ501" i="2"/>
  <c r="AK501" i="2"/>
  <c r="AH502" i="2"/>
  <c r="AI502" i="2"/>
  <c r="AJ502" i="2"/>
  <c r="AK502" i="2"/>
  <c r="AH503" i="2"/>
  <c r="AI503" i="2"/>
  <c r="AJ503" i="2"/>
  <c r="AK503" i="2"/>
  <c r="AH504" i="2"/>
  <c r="AI504" i="2"/>
  <c r="AJ504" i="2"/>
  <c r="AK504" i="2"/>
  <c r="AH505" i="2"/>
  <c r="AI505" i="2"/>
  <c r="AJ505" i="2"/>
  <c r="AK505" i="2"/>
  <c r="AH506" i="2"/>
  <c r="AI506" i="2"/>
  <c r="AJ506" i="2"/>
  <c r="AK506" i="2"/>
  <c r="AH507" i="2"/>
  <c r="AI507" i="2"/>
  <c r="AJ507" i="2"/>
  <c r="AK507" i="2"/>
  <c r="AH508" i="2"/>
  <c r="AI508" i="2"/>
  <c r="AJ508" i="2"/>
  <c r="AK508" i="2"/>
  <c r="AH509" i="2"/>
  <c r="AI509" i="2"/>
  <c r="AJ509" i="2"/>
  <c r="AK509" i="2"/>
  <c r="AH510" i="2"/>
  <c r="AI510" i="2"/>
  <c r="AJ510" i="2"/>
  <c r="AK510" i="2"/>
  <c r="AH511" i="2"/>
  <c r="AI511" i="2"/>
  <c r="AJ511" i="2"/>
  <c r="AK511" i="2"/>
  <c r="AH512" i="2"/>
  <c r="AI512" i="2"/>
  <c r="AJ512" i="2"/>
  <c r="AK512" i="2"/>
  <c r="AH513" i="2"/>
  <c r="AI513" i="2"/>
  <c r="AJ513" i="2"/>
  <c r="AK513" i="2"/>
  <c r="AH514" i="2"/>
  <c r="AI514" i="2"/>
  <c r="AJ514" i="2"/>
  <c r="AK514" i="2"/>
  <c r="AH515" i="2"/>
  <c r="AI515" i="2"/>
  <c r="AJ515" i="2"/>
  <c r="AK515" i="2"/>
  <c r="AH516" i="2"/>
  <c r="AI516" i="2"/>
  <c r="AJ516" i="2"/>
  <c r="AK516" i="2"/>
  <c r="AH517" i="2"/>
  <c r="AI517" i="2"/>
  <c r="AJ517" i="2"/>
  <c r="AK517" i="2"/>
  <c r="AH518" i="2"/>
  <c r="AI518" i="2"/>
  <c r="AJ518" i="2"/>
  <c r="AK518" i="2"/>
  <c r="AH519" i="2"/>
  <c r="AI519" i="2"/>
  <c r="AJ519" i="2"/>
  <c r="AK519" i="2"/>
  <c r="AH520" i="2"/>
  <c r="AI520" i="2"/>
  <c r="AJ520" i="2"/>
  <c r="AK520" i="2"/>
  <c r="AH521" i="2"/>
  <c r="AI521" i="2"/>
  <c r="AJ521" i="2"/>
  <c r="AK521" i="2"/>
  <c r="AH522" i="2"/>
  <c r="AI522" i="2"/>
  <c r="AJ522" i="2"/>
  <c r="AK522" i="2"/>
  <c r="AH523" i="2"/>
  <c r="AI523" i="2"/>
  <c r="AJ523" i="2"/>
  <c r="AK523" i="2"/>
  <c r="AH524" i="2"/>
  <c r="AI524" i="2"/>
  <c r="AJ524" i="2"/>
  <c r="AK524" i="2"/>
  <c r="AH525" i="2"/>
  <c r="AI525" i="2"/>
  <c r="AJ525" i="2"/>
  <c r="AK525" i="2"/>
  <c r="AH526" i="2"/>
  <c r="AI526" i="2"/>
  <c r="AJ526" i="2"/>
  <c r="AK526" i="2"/>
  <c r="AH527" i="2"/>
  <c r="AI527" i="2"/>
  <c r="AJ527" i="2"/>
  <c r="AK527" i="2"/>
  <c r="AH528" i="2"/>
  <c r="AI528" i="2"/>
  <c r="AJ528" i="2"/>
  <c r="AK528" i="2"/>
  <c r="AH529" i="2"/>
  <c r="AI529" i="2"/>
  <c r="AJ529" i="2"/>
  <c r="AK529" i="2"/>
  <c r="AH530" i="2"/>
  <c r="AI530" i="2"/>
  <c r="AJ530" i="2"/>
  <c r="AK530" i="2"/>
  <c r="AH531" i="2"/>
  <c r="AI531" i="2"/>
  <c r="AJ531" i="2"/>
  <c r="AK531" i="2"/>
  <c r="AH532" i="2"/>
  <c r="AI532" i="2"/>
  <c r="AJ532" i="2"/>
  <c r="AK532" i="2"/>
  <c r="AH533" i="2"/>
  <c r="AI533" i="2"/>
  <c r="AJ533" i="2"/>
  <c r="AK533" i="2"/>
  <c r="AH534" i="2"/>
  <c r="AI534" i="2"/>
  <c r="AJ534" i="2"/>
  <c r="AK534" i="2"/>
  <c r="AH535" i="2"/>
  <c r="AI535" i="2"/>
  <c r="AJ535" i="2"/>
  <c r="AK535" i="2"/>
  <c r="AH536" i="2"/>
  <c r="AI536" i="2"/>
  <c r="AJ536" i="2"/>
  <c r="AK536" i="2"/>
  <c r="AH537" i="2"/>
  <c r="AI537" i="2"/>
  <c r="AJ537" i="2"/>
  <c r="AK537" i="2"/>
  <c r="AH538" i="2"/>
  <c r="AI538" i="2"/>
  <c r="AJ538" i="2"/>
  <c r="AK538" i="2"/>
  <c r="AH539" i="2"/>
  <c r="AI539" i="2"/>
  <c r="AJ539" i="2"/>
  <c r="AK539" i="2"/>
  <c r="AH540" i="2"/>
  <c r="AI540" i="2"/>
  <c r="AJ540" i="2"/>
  <c r="AK540" i="2"/>
  <c r="AH541" i="2"/>
  <c r="AI541" i="2"/>
  <c r="AJ541" i="2"/>
  <c r="AK541" i="2"/>
  <c r="AH542" i="2"/>
  <c r="AI542" i="2"/>
  <c r="AJ542" i="2"/>
  <c r="AK542" i="2"/>
  <c r="AH543" i="2"/>
  <c r="AI543" i="2"/>
  <c r="AJ543" i="2"/>
  <c r="AK543" i="2"/>
  <c r="AH544" i="2"/>
  <c r="AI544" i="2"/>
  <c r="AJ544" i="2"/>
  <c r="AK544" i="2"/>
  <c r="AH545" i="2"/>
  <c r="AI545" i="2"/>
  <c r="AJ545" i="2"/>
  <c r="AK545" i="2"/>
  <c r="AH546" i="2"/>
  <c r="AI546" i="2"/>
  <c r="AJ546" i="2"/>
  <c r="AK546" i="2"/>
  <c r="AH547" i="2"/>
  <c r="AI547" i="2"/>
  <c r="AJ547" i="2"/>
  <c r="AK547" i="2"/>
  <c r="AH548" i="2"/>
  <c r="AI548" i="2"/>
  <c r="AJ548" i="2"/>
  <c r="AK548" i="2"/>
  <c r="AH549" i="2"/>
  <c r="AI549" i="2"/>
  <c r="AJ549" i="2"/>
  <c r="AK549" i="2"/>
  <c r="AH550" i="2"/>
  <c r="AI550" i="2"/>
  <c r="AJ550" i="2"/>
  <c r="AK550" i="2"/>
  <c r="AH551" i="2"/>
  <c r="AI551" i="2"/>
  <c r="AJ551" i="2"/>
  <c r="AK551" i="2"/>
  <c r="AH552" i="2"/>
  <c r="AI552" i="2"/>
  <c r="AJ552" i="2"/>
  <c r="AK552" i="2"/>
  <c r="AH553" i="2"/>
  <c r="AI553" i="2"/>
  <c r="AJ553" i="2"/>
  <c r="AK553" i="2"/>
  <c r="AH554" i="2"/>
  <c r="AI554" i="2"/>
  <c r="AJ554" i="2"/>
  <c r="AK554" i="2"/>
  <c r="AH555" i="2"/>
  <c r="AI555" i="2"/>
  <c r="AJ555" i="2"/>
  <c r="AK555" i="2"/>
  <c r="AH556" i="2"/>
  <c r="AI556" i="2"/>
  <c r="AJ556" i="2"/>
  <c r="AK556" i="2"/>
  <c r="AH557" i="2"/>
  <c r="AI557" i="2"/>
  <c r="AJ557" i="2"/>
  <c r="AK557" i="2"/>
  <c r="AH558" i="2"/>
  <c r="AI558" i="2"/>
  <c r="AJ558" i="2"/>
  <c r="AK558" i="2"/>
  <c r="AH559" i="2"/>
  <c r="AI559" i="2"/>
  <c r="AJ559" i="2"/>
  <c r="AK559" i="2"/>
  <c r="AH560" i="2"/>
  <c r="AI560" i="2"/>
  <c r="AJ560" i="2"/>
  <c r="AK560" i="2"/>
  <c r="AH561" i="2"/>
  <c r="AI561" i="2"/>
  <c r="AJ561" i="2"/>
  <c r="AK561" i="2"/>
  <c r="AH562" i="2"/>
  <c r="AI562" i="2"/>
  <c r="AJ562" i="2"/>
  <c r="AK562" i="2"/>
  <c r="AH563" i="2"/>
  <c r="AI563" i="2"/>
  <c r="AJ563" i="2"/>
  <c r="AK563" i="2"/>
  <c r="AH564" i="2"/>
  <c r="AI564" i="2"/>
  <c r="AJ564" i="2"/>
  <c r="AK564" i="2"/>
  <c r="AH565" i="2"/>
  <c r="AI565" i="2"/>
  <c r="AJ565" i="2"/>
  <c r="AK565" i="2"/>
  <c r="AH566" i="2"/>
  <c r="AI566" i="2"/>
  <c r="AJ566" i="2"/>
  <c r="AK566" i="2"/>
  <c r="AH567" i="2"/>
  <c r="AI567" i="2"/>
  <c r="AJ567" i="2"/>
  <c r="AK567" i="2"/>
  <c r="AH568" i="2"/>
  <c r="AI568" i="2"/>
  <c r="AJ568" i="2"/>
  <c r="AK568" i="2"/>
  <c r="AH569" i="2"/>
  <c r="AI569" i="2"/>
  <c r="AJ569" i="2"/>
  <c r="AK569" i="2"/>
  <c r="AH570" i="2"/>
  <c r="AI570" i="2"/>
  <c r="AJ570" i="2"/>
  <c r="AK570" i="2"/>
  <c r="AH571" i="2"/>
  <c r="AI571" i="2"/>
  <c r="AJ571" i="2"/>
  <c r="AK571" i="2"/>
  <c r="AH572" i="2"/>
  <c r="AI572" i="2"/>
  <c r="AJ572" i="2"/>
  <c r="AK572" i="2"/>
  <c r="AH573" i="2"/>
  <c r="AI573" i="2"/>
  <c r="AJ573" i="2"/>
  <c r="AK573" i="2"/>
  <c r="AH574" i="2"/>
  <c r="AI574" i="2"/>
  <c r="AJ574" i="2"/>
  <c r="AK574" i="2"/>
  <c r="AH575" i="2"/>
  <c r="AI575" i="2"/>
  <c r="AJ575" i="2"/>
  <c r="AK575" i="2"/>
  <c r="AH576" i="2"/>
  <c r="AI576" i="2"/>
  <c r="AJ576" i="2"/>
  <c r="AK576" i="2"/>
  <c r="AH577" i="2"/>
  <c r="AI577" i="2"/>
  <c r="AJ577" i="2"/>
  <c r="AK577" i="2"/>
  <c r="AH578" i="2"/>
  <c r="AI578" i="2"/>
  <c r="AJ578" i="2"/>
  <c r="AK578" i="2"/>
  <c r="AH579" i="2"/>
  <c r="AI579" i="2"/>
  <c r="AJ579" i="2"/>
  <c r="AK579" i="2"/>
  <c r="AH580" i="2"/>
  <c r="AI580" i="2"/>
  <c r="AJ580" i="2"/>
  <c r="AK580" i="2"/>
  <c r="AH581" i="2"/>
  <c r="AI581" i="2"/>
  <c r="AJ581" i="2"/>
  <c r="AK581" i="2"/>
  <c r="AH582" i="2"/>
  <c r="AI582" i="2"/>
  <c r="AJ582" i="2"/>
  <c r="AK582" i="2"/>
  <c r="AH583" i="2"/>
  <c r="AI583" i="2"/>
  <c r="AJ583" i="2"/>
  <c r="AK583" i="2"/>
  <c r="AH584" i="2"/>
  <c r="AI584" i="2"/>
  <c r="AJ584" i="2"/>
  <c r="AK584" i="2"/>
  <c r="AH585" i="2"/>
  <c r="AI585" i="2"/>
  <c r="AJ585" i="2"/>
  <c r="AK585" i="2"/>
  <c r="AH586" i="2"/>
  <c r="AI586" i="2"/>
  <c r="AJ586" i="2"/>
  <c r="AK586" i="2"/>
  <c r="AH587" i="2"/>
  <c r="AI587" i="2"/>
  <c r="AJ587" i="2"/>
  <c r="AK587" i="2"/>
  <c r="AH588" i="2"/>
  <c r="AI588" i="2"/>
  <c r="AJ588" i="2"/>
  <c r="AK588" i="2"/>
  <c r="AH589" i="2"/>
  <c r="AI589" i="2"/>
  <c r="AJ589" i="2"/>
  <c r="AK589" i="2"/>
  <c r="AH590" i="2"/>
  <c r="AI590" i="2"/>
  <c r="AJ590" i="2"/>
  <c r="AK590" i="2"/>
  <c r="AH591" i="2"/>
  <c r="AI591" i="2"/>
  <c r="AJ591" i="2"/>
  <c r="AK591" i="2"/>
  <c r="AH592" i="2"/>
  <c r="AI592" i="2"/>
  <c r="AJ592" i="2"/>
  <c r="AK592" i="2"/>
  <c r="AH593" i="2"/>
  <c r="AI593" i="2"/>
  <c r="AJ593" i="2"/>
  <c r="AK593" i="2"/>
  <c r="AH594" i="2"/>
  <c r="AI594" i="2"/>
  <c r="AJ594" i="2"/>
  <c r="AK594" i="2"/>
  <c r="AH595" i="2"/>
  <c r="AI595" i="2"/>
  <c r="AJ595" i="2"/>
  <c r="AK595" i="2"/>
  <c r="AH596" i="2"/>
  <c r="AI596" i="2"/>
  <c r="AJ596" i="2"/>
  <c r="AK596" i="2"/>
  <c r="AH597" i="2"/>
  <c r="AI597" i="2"/>
  <c r="AJ597" i="2"/>
  <c r="AK597" i="2"/>
  <c r="AH598" i="2"/>
  <c r="AI598" i="2"/>
  <c r="AJ598" i="2"/>
  <c r="AK598" i="2"/>
  <c r="AH599" i="2"/>
  <c r="AI599" i="2"/>
  <c r="AJ599" i="2"/>
  <c r="AK599" i="2"/>
  <c r="AH600" i="2"/>
  <c r="AI600" i="2"/>
  <c r="AJ600" i="2"/>
  <c r="AK600" i="2"/>
  <c r="AH601" i="2"/>
  <c r="AI601" i="2"/>
  <c r="AJ601" i="2"/>
  <c r="AK601" i="2"/>
  <c r="AH602" i="2"/>
  <c r="AI602" i="2"/>
  <c r="AJ602" i="2"/>
  <c r="AK602" i="2"/>
  <c r="AH603" i="2"/>
  <c r="AI603" i="2"/>
  <c r="AJ603" i="2"/>
  <c r="AK603" i="2"/>
  <c r="AH604" i="2"/>
  <c r="AI604" i="2"/>
  <c r="AJ604" i="2"/>
  <c r="AK604" i="2"/>
  <c r="AH605" i="2"/>
  <c r="AI605" i="2"/>
  <c r="AJ605" i="2"/>
  <c r="AK605" i="2"/>
  <c r="AH606" i="2"/>
  <c r="AI606" i="2"/>
  <c r="AJ606" i="2"/>
  <c r="AK606" i="2"/>
  <c r="AH607" i="2"/>
  <c r="AI607" i="2"/>
  <c r="AJ607" i="2"/>
  <c r="AK607" i="2"/>
  <c r="AH608" i="2"/>
  <c r="AI608" i="2"/>
  <c r="AJ608" i="2"/>
  <c r="AK608" i="2"/>
  <c r="AH609" i="2"/>
  <c r="AI609" i="2"/>
  <c r="AJ609" i="2"/>
  <c r="AK609" i="2"/>
  <c r="AH610" i="2"/>
  <c r="AI610" i="2"/>
  <c r="AJ610" i="2"/>
  <c r="AK610" i="2"/>
  <c r="AH611" i="2"/>
  <c r="AI611" i="2"/>
  <c r="AJ611" i="2"/>
  <c r="AK611" i="2"/>
  <c r="AH612" i="2"/>
  <c r="AI612" i="2"/>
  <c r="AJ612" i="2"/>
  <c r="AK612" i="2"/>
  <c r="AH613" i="2"/>
  <c r="AI613" i="2"/>
  <c r="AJ613" i="2"/>
  <c r="AK613" i="2"/>
  <c r="AH614" i="2"/>
  <c r="AI614" i="2"/>
  <c r="AJ614" i="2"/>
  <c r="AK614" i="2"/>
  <c r="AH615" i="2"/>
  <c r="AI615" i="2"/>
  <c r="AJ615" i="2"/>
  <c r="AK615" i="2"/>
  <c r="AH616" i="2"/>
  <c r="AI616" i="2"/>
  <c r="AJ616" i="2"/>
  <c r="AK616" i="2"/>
  <c r="AH617" i="2"/>
  <c r="AI617" i="2"/>
  <c r="AJ617" i="2"/>
  <c r="AK617" i="2"/>
  <c r="AH618" i="2"/>
  <c r="AI618" i="2"/>
  <c r="AJ618" i="2"/>
  <c r="AK618" i="2"/>
  <c r="AH619" i="2"/>
  <c r="AI619" i="2"/>
  <c r="AJ619" i="2"/>
  <c r="AK619" i="2"/>
  <c r="AH620" i="2"/>
  <c r="AI620" i="2"/>
  <c r="AJ620" i="2"/>
  <c r="AK620" i="2"/>
  <c r="AH621" i="2"/>
  <c r="AI621" i="2"/>
  <c r="AJ621" i="2"/>
  <c r="AK621" i="2"/>
  <c r="AH622" i="2"/>
  <c r="AI622" i="2"/>
  <c r="AJ622" i="2"/>
  <c r="AK622" i="2"/>
  <c r="AH623" i="2"/>
  <c r="AI623" i="2"/>
  <c r="AJ623" i="2"/>
  <c r="AK623" i="2"/>
  <c r="AH624" i="2"/>
  <c r="AI624" i="2"/>
  <c r="AJ624" i="2"/>
  <c r="AK624" i="2"/>
  <c r="AH625" i="2"/>
  <c r="AI625" i="2"/>
  <c r="AJ625" i="2"/>
  <c r="AK625" i="2"/>
  <c r="AH626" i="2"/>
  <c r="AI626" i="2"/>
  <c r="AJ626" i="2"/>
  <c r="AK626" i="2"/>
  <c r="AH627" i="2"/>
  <c r="AI627" i="2"/>
  <c r="AJ627" i="2"/>
  <c r="AK627" i="2"/>
  <c r="AH628" i="2"/>
  <c r="AI628" i="2"/>
  <c r="AJ628" i="2"/>
  <c r="AK628" i="2"/>
  <c r="AH629" i="2"/>
  <c r="AI629" i="2"/>
  <c r="AJ629" i="2"/>
  <c r="AK629" i="2"/>
  <c r="AH630" i="2"/>
  <c r="AI630" i="2"/>
  <c r="AJ630" i="2"/>
  <c r="AK630" i="2"/>
  <c r="AH631" i="2"/>
  <c r="AI631" i="2"/>
  <c r="AJ631" i="2"/>
  <c r="AK631" i="2"/>
  <c r="AH632" i="2"/>
  <c r="AI632" i="2"/>
  <c r="AJ632" i="2"/>
  <c r="AK632" i="2"/>
  <c r="AH633" i="2"/>
  <c r="AI633" i="2"/>
  <c r="AJ633" i="2"/>
  <c r="AK633" i="2"/>
  <c r="AH634" i="2"/>
  <c r="AI634" i="2"/>
  <c r="AJ634" i="2"/>
  <c r="AK634" i="2"/>
  <c r="AH635" i="2"/>
  <c r="AI635" i="2"/>
  <c r="AJ635" i="2"/>
  <c r="AK635" i="2"/>
  <c r="AH636" i="2"/>
  <c r="AI636" i="2"/>
  <c r="AJ636" i="2"/>
  <c r="AK636" i="2"/>
  <c r="AH637" i="2"/>
  <c r="AI637" i="2"/>
  <c r="AJ637" i="2"/>
  <c r="AK637" i="2"/>
  <c r="AH638" i="2"/>
  <c r="AI638" i="2"/>
  <c r="AJ638" i="2"/>
  <c r="AK638" i="2"/>
  <c r="AH639" i="2"/>
  <c r="AI639" i="2"/>
  <c r="AJ639" i="2"/>
  <c r="AK639" i="2"/>
  <c r="AH640" i="2"/>
  <c r="AI640" i="2"/>
  <c r="AJ640" i="2"/>
  <c r="AK640" i="2"/>
  <c r="AH641" i="2"/>
  <c r="AI641" i="2"/>
  <c r="AJ641" i="2"/>
  <c r="AK641" i="2"/>
  <c r="AH642" i="2"/>
  <c r="AI642" i="2"/>
  <c r="AJ642" i="2"/>
  <c r="AK642" i="2"/>
  <c r="AH643" i="2"/>
  <c r="AI643" i="2"/>
  <c r="AJ643" i="2"/>
  <c r="AK643" i="2"/>
  <c r="AH644" i="2"/>
  <c r="AI644" i="2"/>
  <c r="AJ644" i="2"/>
  <c r="AK644" i="2"/>
  <c r="AH645" i="2"/>
  <c r="AI645" i="2"/>
  <c r="AJ645" i="2"/>
  <c r="AK645" i="2"/>
  <c r="AH646" i="2"/>
  <c r="AI646" i="2"/>
  <c r="AJ646" i="2"/>
  <c r="AK646" i="2"/>
  <c r="AH647" i="2"/>
  <c r="AI647" i="2"/>
  <c r="AJ647" i="2"/>
  <c r="AK647" i="2"/>
  <c r="AH648" i="2"/>
  <c r="AI648" i="2"/>
  <c r="AJ648" i="2"/>
  <c r="AK648" i="2"/>
  <c r="AH649" i="2"/>
  <c r="AI649" i="2"/>
  <c r="AJ649" i="2"/>
  <c r="AK649" i="2"/>
  <c r="AH650" i="2"/>
  <c r="AI650" i="2"/>
  <c r="AJ650" i="2"/>
  <c r="AK650" i="2"/>
  <c r="AH651" i="2"/>
  <c r="AI651" i="2"/>
  <c r="AJ651" i="2"/>
  <c r="AK651" i="2"/>
  <c r="AH652" i="2"/>
  <c r="AI652" i="2"/>
  <c r="AJ652" i="2"/>
  <c r="AK652" i="2"/>
  <c r="AH653" i="2"/>
  <c r="AI653" i="2"/>
  <c r="AJ653" i="2"/>
  <c r="AK653" i="2"/>
  <c r="AH654" i="2"/>
  <c r="AI654" i="2"/>
  <c r="AJ654" i="2"/>
  <c r="AK654" i="2"/>
  <c r="AH655" i="2"/>
  <c r="AI655" i="2"/>
  <c r="AJ655" i="2"/>
  <c r="AK655" i="2"/>
  <c r="AH656" i="2"/>
  <c r="AI656" i="2"/>
  <c r="AJ656" i="2"/>
  <c r="AK656" i="2"/>
  <c r="AH657" i="2"/>
  <c r="AI657" i="2"/>
  <c r="AJ657" i="2"/>
  <c r="AK657" i="2"/>
  <c r="AH658" i="2"/>
  <c r="AI658" i="2"/>
  <c r="AJ658" i="2"/>
  <c r="AK658" i="2"/>
  <c r="AH659" i="2"/>
  <c r="AI659" i="2"/>
  <c r="AJ659" i="2"/>
  <c r="AK659" i="2"/>
  <c r="AH660" i="2"/>
  <c r="AI660" i="2"/>
  <c r="AJ660" i="2"/>
  <c r="AK660" i="2"/>
  <c r="AH661" i="2"/>
  <c r="AI661" i="2"/>
  <c r="AJ661" i="2"/>
  <c r="AK661" i="2"/>
  <c r="AH662" i="2"/>
  <c r="AI662" i="2"/>
  <c r="AJ662" i="2"/>
  <c r="AK662" i="2"/>
  <c r="AH663" i="2"/>
  <c r="AI663" i="2"/>
  <c r="AJ663" i="2"/>
  <c r="AK663" i="2"/>
  <c r="AH664" i="2"/>
  <c r="AI664" i="2"/>
  <c r="AJ664" i="2"/>
  <c r="AK664" i="2"/>
  <c r="AH665" i="2"/>
  <c r="AI665" i="2"/>
  <c r="AJ665" i="2"/>
  <c r="AK665" i="2"/>
  <c r="AH666" i="2"/>
  <c r="AI666" i="2"/>
  <c r="AJ666" i="2"/>
  <c r="AK666" i="2"/>
  <c r="AH667" i="2"/>
  <c r="AI667" i="2"/>
  <c r="AJ667" i="2"/>
  <c r="AK667" i="2"/>
  <c r="AH668" i="2"/>
  <c r="AI668" i="2"/>
  <c r="AJ668" i="2"/>
  <c r="AK668" i="2"/>
  <c r="AH669" i="2"/>
  <c r="AI669" i="2"/>
  <c r="AJ669" i="2"/>
  <c r="AK669" i="2"/>
  <c r="AH670" i="2"/>
  <c r="AI670" i="2"/>
  <c r="AJ670" i="2"/>
  <c r="AK670" i="2"/>
  <c r="AH671" i="2"/>
  <c r="AI671" i="2"/>
  <c r="AJ671" i="2"/>
  <c r="AK671" i="2"/>
  <c r="AH672" i="2"/>
  <c r="AI672" i="2"/>
  <c r="AJ672" i="2"/>
  <c r="AK672" i="2"/>
  <c r="AH673" i="2"/>
  <c r="AI673" i="2"/>
  <c r="AJ673" i="2"/>
  <c r="AK673" i="2"/>
  <c r="AH674" i="2"/>
  <c r="AI674" i="2"/>
  <c r="AJ674" i="2"/>
  <c r="AK674" i="2"/>
  <c r="AH675" i="2"/>
  <c r="AI675" i="2"/>
  <c r="AJ675" i="2"/>
  <c r="AK675" i="2"/>
  <c r="AH676" i="2"/>
  <c r="AI676" i="2"/>
  <c r="AJ676" i="2"/>
  <c r="AK676" i="2"/>
  <c r="AH677" i="2"/>
  <c r="AI677" i="2"/>
  <c r="AJ677" i="2"/>
  <c r="AK677" i="2"/>
  <c r="AH678" i="2"/>
  <c r="AI678" i="2"/>
  <c r="AJ678" i="2"/>
  <c r="AK678" i="2"/>
  <c r="AH679" i="2"/>
  <c r="AI679" i="2"/>
  <c r="AJ679" i="2"/>
  <c r="AK679" i="2"/>
  <c r="AH680" i="2"/>
  <c r="AI680" i="2"/>
  <c r="AJ680" i="2"/>
  <c r="AK680" i="2"/>
  <c r="AH681" i="2"/>
  <c r="AI681" i="2"/>
  <c r="AJ681" i="2"/>
  <c r="AK681" i="2"/>
  <c r="AH682" i="2"/>
  <c r="AI682" i="2"/>
  <c r="AJ682" i="2"/>
  <c r="AK682" i="2"/>
  <c r="AH683" i="2"/>
  <c r="AI683" i="2"/>
  <c r="AJ683" i="2"/>
  <c r="AK683" i="2"/>
  <c r="AH684" i="2"/>
  <c r="AI684" i="2"/>
  <c r="AJ684" i="2"/>
  <c r="AK684" i="2"/>
  <c r="AH685" i="2"/>
  <c r="AI685" i="2"/>
  <c r="AJ685" i="2"/>
  <c r="AK685" i="2"/>
  <c r="AH686" i="2"/>
  <c r="AI686" i="2"/>
  <c r="AJ686" i="2"/>
  <c r="AK686" i="2"/>
  <c r="AH687" i="2"/>
  <c r="AI687" i="2"/>
  <c r="AJ687" i="2"/>
  <c r="AK687" i="2"/>
  <c r="AH688" i="2"/>
  <c r="AI688" i="2"/>
  <c r="AJ688" i="2"/>
  <c r="AK688" i="2"/>
  <c r="AH689" i="2"/>
  <c r="AI689" i="2"/>
  <c r="AJ689" i="2"/>
  <c r="AK689" i="2"/>
  <c r="AH690" i="2"/>
  <c r="AI690" i="2"/>
  <c r="AJ690" i="2"/>
  <c r="AK690" i="2"/>
  <c r="AH691" i="2"/>
  <c r="AI691" i="2"/>
  <c r="AJ691" i="2"/>
  <c r="AK691" i="2"/>
  <c r="AH692" i="2"/>
  <c r="AI692" i="2"/>
  <c r="AJ692" i="2"/>
  <c r="AK692" i="2"/>
  <c r="AH693" i="2"/>
  <c r="AI693" i="2"/>
  <c r="AJ693" i="2"/>
  <c r="AK693" i="2"/>
  <c r="AH694" i="2"/>
  <c r="AI694" i="2"/>
  <c r="AJ694" i="2"/>
  <c r="AK694" i="2"/>
  <c r="AH695" i="2"/>
  <c r="AI695" i="2"/>
  <c r="AJ695" i="2"/>
  <c r="AK695" i="2"/>
  <c r="AH696" i="2"/>
  <c r="AI696" i="2"/>
  <c r="AJ696" i="2"/>
  <c r="AK696" i="2"/>
  <c r="AH697" i="2"/>
  <c r="AI697" i="2"/>
  <c r="AJ697" i="2"/>
  <c r="AK697" i="2"/>
  <c r="AH698" i="2"/>
  <c r="AI698" i="2"/>
  <c r="AJ698" i="2"/>
  <c r="AK698" i="2"/>
  <c r="AH699" i="2"/>
  <c r="AI699" i="2"/>
  <c r="AJ699" i="2"/>
  <c r="AK699" i="2"/>
  <c r="AH700" i="2"/>
  <c r="AI700" i="2"/>
  <c r="AJ700" i="2"/>
  <c r="AK700" i="2"/>
  <c r="AH701" i="2"/>
  <c r="AI701" i="2"/>
  <c r="AJ701" i="2"/>
  <c r="AK701" i="2"/>
  <c r="AH702" i="2"/>
  <c r="AI702" i="2"/>
  <c r="AJ702" i="2"/>
  <c r="AK702" i="2"/>
  <c r="AH703" i="2"/>
  <c r="AI703" i="2"/>
  <c r="AJ703" i="2"/>
  <c r="AK703" i="2"/>
  <c r="AH704" i="2"/>
  <c r="AI704" i="2"/>
  <c r="AJ704" i="2"/>
  <c r="AK704" i="2"/>
  <c r="AH705" i="2"/>
  <c r="AI705" i="2"/>
  <c r="AJ705" i="2"/>
  <c r="AK705" i="2"/>
  <c r="AH706" i="2"/>
  <c r="AI706" i="2"/>
  <c r="AJ706" i="2"/>
  <c r="AK706" i="2"/>
  <c r="AH707" i="2"/>
  <c r="AI707" i="2"/>
  <c r="AJ707" i="2"/>
  <c r="AK707" i="2"/>
  <c r="AH708" i="2"/>
  <c r="AI708" i="2"/>
  <c r="AJ708" i="2"/>
  <c r="AK708" i="2"/>
  <c r="AH709" i="2"/>
  <c r="AI709" i="2"/>
  <c r="AJ709" i="2"/>
  <c r="AK709" i="2"/>
  <c r="AH710" i="2"/>
  <c r="AI710" i="2"/>
  <c r="AJ710" i="2"/>
  <c r="AK710" i="2"/>
  <c r="AH711" i="2"/>
  <c r="AI711" i="2"/>
  <c r="AJ711" i="2"/>
  <c r="AK711" i="2"/>
  <c r="AH712" i="2"/>
  <c r="AI712" i="2"/>
  <c r="AJ712" i="2"/>
  <c r="AK712" i="2"/>
  <c r="AH713" i="2"/>
  <c r="AI713" i="2"/>
  <c r="AJ713" i="2"/>
  <c r="AK713" i="2"/>
  <c r="AH714" i="2"/>
  <c r="AI714" i="2"/>
  <c r="AJ714" i="2"/>
  <c r="AK714" i="2"/>
  <c r="AH715" i="2"/>
  <c r="AI715" i="2"/>
  <c r="AJ715" i="2"/>
  <c r="AK715" i="2"/>
  <c r="AH716" i="2"/>
  <c r="AI716" i="2"/>
  <c r="AJ716" i="2"/>
  <c r="AK716" i="2"/>
  <c r="AH717" i="2"/>
  <c r="AI717" i="2"/>
  <c r="AJ717" i="2"/>
  <c r="AK717" i="2"/>
  <c r="AH718" i="2"/>
  <c r="AI718" i="2"/>
  <c r="AJ718" i="2"/>
  <c r="AK718" i="2"/>
  <c r="AH719" i="2"/>
  <c r="AI719" i="2"/>
  <c r="AJ719" i="2"/>
  <c r="AK719" i="2"/>
  <c r="AH720" i="2"/>
  <c r="AI720" i="2"/>
  <c r="AJ720" i="2"/>
  <c r="AK720" i="2"/>
  <c r="AH721" i="2"/>
  <c r="AI721" i="2"/>
  <c r="AJ721" i="2"/>
  <c r="AK721" i="2"/>
  <c r="AH722" i="2"/>
  <c r="AI722" i="2"/>
  <c r="AJ722" i="2"/>
  <c r="AK722" i="2"/>
  <c r="AH723" i="2"/>
  <c r="AI723" i="2"/>
  <c r="AJ723" i="2"/>
  <c r="AK723" i="2"/>
  <c r="AH724" i="2"/>
  <c r="AI724" i="2"/>
  <c r="AJ724" i="2"/>
  <c r="AK724" i="2"/>
  <c r="AH725" i="2"/>
  <c r="AI725" i="2"/>
  <c r="AJ725" i="2"/>
  <c r="AK725" i="2"/>
  <c r="AH726" i="2"/>
  <c r="AI726" i="2"/>
  <c r="AJ726" i="2"/>
  <c r="AK726" i="2"/>
  <c r="AH727" i="2"/>
  <c r="AI727" i="2"/>
  <c r="AJ727" i="2"/>
  <c r="AK727" i="2"/>
  <c r="AH728" i="2"/>
  <c r="AI728" i="2"/>
  <c r="AJ728" i="2"/>
  <c r="AK728" i="2"/>
  <c r="AH729" i="2"/>
  <c r="AI729" i="2"/>
  <c r="AJ729" i="2"/>
  <c r="AK729" i="2"/>
  <c r="AH730" i="2"/>
  <c r="AI730" i="2"/>
  <c r="AJ730" i="2"/>
  <c r="AK730" i="2"/>
  <c r="AH731" i="2"/>
  <c r="AI731" i="2"/>
  <c r="AJ731" i="2"/>
  <c r="AK731" i="2"/>
  <c r="AH732" i="2"/>
  <c r="AI732" i="2"/>
  <c r="AJ732" i="2"/>
  <c r="AK732" i="2"/>
  <c r="AH733" i="2"/>
  <c r="AI733" i="2"/>
  <c r="AJ733" i="2"/>
  <c r="AK733" i="2"/>
  <c r="AH734" i="2"/>
  <c r="AI734" i="2"/>
  <c r="AJ734" i="2"/>
  <c r="AK734" i="2"/>
  <c r="AH735" i="2"/>
  <c r="AI735" i="2"/>
  <c r="AJ735" i="2"/>
  <c r="AK735" i="2"/>
  <c r="AH736" i="2"/>
  <c r="AI736" i="2"/>
  <c r="AJ736" i="2"/>
  <c r="AK736" i="2"/>
  <c r="AH737" i="2"/>
  <c r="AI737" i="2"/>
  <c r="AJ737" i="2"/>
  <c r="AK737" i="2"/>
  <c r="AH738" i="2"/>
  <c r="AI738" i="2"/>
  <c r="AJ738" i="2"/>
  <c r="AK738" i="2"/>
  <c r="AH739" i="2"/>
  <c r="AI739" i="2"/>
  <c r="AJ739" i="2"/>
  <c r="AK739" i="2"/>
  <c r="AH740" i="2"/>
  <c r="AI740" i="2"/>
  <c r="AJ740" i="2"/>
  <c r="AK740" i="2"/>
  <c r="AH741" i="2"/>
  <c r="AI741" i="2"/>
  <c r="AJ741" i="2"/>
  <c r="AK741" i="2"/>
  <c r="AH742" i="2"/>
  <c r="AI742" i="2"/>
  <c r="AJ742" i="2"/>
  <c r="AK742" i="2"/>
  <c r="AH743" i="2"/>
  <c r="AI743" i="2"/>
  <c r="AJ743" i="2"/>
  <c r="AK743" i="2"/>
  <c r="AH744" i="2"/>
  <c r="AI744" i="2"/>
  <c r="AJ744" i="2"/>
  <c r="AK744" i="2"/>
  <c r="AH745" i="2"/>
  <c r="AI745" i="2"/>
  <c r="AJ745" i="2"/>
  <c r="AK745" i="2"/>
  <c r="AH746" i="2"/>
  <c r="AI746" i="2"/>
  <c r="AJ746" i="2"/>
  <c r="AK746" i="2"/>
  <c r="AH747" i="2"/>
  <c r="AI747" i="2"/>
  <c r="AJ747" i="2"/>
  <c r="AK747" i="2"/>
  <c r="AH748" i="2"/>
  <c r="AI748" i="2"/>
  <c r="AJ748" i="2"/>
  <c r="AK748" i="2"/>
  <c r="AH749" i="2"/>
  <c r="AI749" i="2"/>
  <c r="AJ749" i="2"/>
  <c r="AK749" i="2"/>
  <c r="AH750" i="2"/>
  <c r="AI750" i="2"/>
  <c r="AJ750" i="2"/>
  <c r="AK750" i="2"/>
  <c r="AH751" i="2"/>
  <c r="AI751" i="2"/>
  <c r="AJ751" i="2"/>
  <c r="AK751" i="2"/>
  <c r="AH752" i="2"/>
  <c r="AI752" i="2"/>
  <c r="AJ752" i="2"/>
  <c r="AK752" i="2"/>
  <c r="AH753" i="2"/>
  <c r="AI753" i="2"/>
  <c r="AJ753" i="2"/>
  <c r="AK753" i="2"/>
  <c r="AH754" i="2"/>
  <c r="AI754" i="2"/>
  <c r="AJ754" i="2"/>
  <c r="AK754" i="2"/>
  <c r="AH755" i="2"/>
  <c r="AI755" i="2"/>
  <c r="AJ755" i="2"/>
  <c r="AK755" i="2"/>
  <c r="AH756" i="2"/>
  <c r="AI756" i="2"/>
  <c r="AJ756" i="2"/>
  <c r="AK756" i="2"/>
  <c r="AH757" i="2"/>
  <c r="AI757" i="2"/>
  <c r="AJ757" i="2"/>
  <c r="AK757" i="2"/>
  <c r="AH758" i="2"/>
  <c r="AI758" i="2"/>
  <c r="AJ758" i="2"/>
  <c r="AK758" i="2"/>
  <c r="AH759" i="2"/>
  <c r="AI759" i="2"/>
  <c r="AJ759" i="2"/>
  <c r="AK759" i="2"/>
  <c r="AH760" i="2"/>
  <c r="AI760" i="2"/>
  <c r="AJ760" i="2"/>
  <c r="AK760" i="2"/>
  <c r="AH761" i="2"/>
  <c r="AI761" i="2"/>
  <c r="AJ761" i="2"/>
  <c r="AK761" i="2"/>
  <c r="AH762" i="2"/>
  <c r="AI762" i="2"/>
  <c r="AJ762" i="2"/>
  <c r="AK762" i="2"/>
  <c r="AH763" i="2"/>
  <c r="AI763" i="2"/>
  <c r="AJ763" i="2"/>
  <c r="AK763" i="2"/>
  <c r="AH764" i="2"/>
  <c r="AI764" i="2"/>
  <c r="AJ764" i="2"/>
  <c r="AK764" i="2"/>
  <c r="AH765" i="2"/>
  <c r="AI765" i="2"/>
  <c r="AJ765" i="2"/>
  <c r="AK765" i="2"/>
  <c r="AH766" i="2"/>
  <c r="AI766" i="2"/>
  <c r="AJ766" i="2"/>
  <c r="AK766" i="2"/>
  <c r="AH767" i="2"/>
  <c r="AI767" i="2"/>
  <c r="AJ767" i="2"/>
  <c r="AK767" i="2"/>
  <c r="AH768" i="2"/>
  <c r="AI768" i="2"/>
  <c r="AJ768" i="2"/>
  <c r="AK768" i="2"/>
  <c r="AH769" i="2"/>
  <c r="AI769" i="2"/>
  <c r="AJ769" i="2"/>
  <c r="AK769" i="2"/>
  <c r="AH770" i="2"/>
  <c r="AI770" i="2"/>
  <c r="AJ770" i="2"/>
  <c r="AK770" i="2"/>
  <c r="AH771" i="2"/>
  <c r="AI771" i="2"/>
  <c r="AJ771" i="2"/>
  <c r="AK771" i="2"/>
  <c r="AH772" i="2"/>
  <c r="AI772" i="2"/>
  <c r="AJ772" i="2"/>
  <c r="AK772" i="2"/>
  <c r="AH773" i="2"/>
  <c r="AI773" i="2"/>
  <c r="AJ773" i="2"/>
  <c r="AK773" i="2"/>
  <c r="AH774" i="2"/>
  <c r="AI774" i="2"/>
  <c r="AJ774" i="2"/>
  <c r="AK774" i="2"/>
  <c r="AH775" i="2"/>
  <c r="AI775" i="2"/>
  <c r="AJ775" i="2"/>
  <c r="AK775" i="2"/>
  <c r="AH776" i="2"/>
  <c r="AI776" i="2"/>
  <c r="AJ776" i="2"/>
  <c r="AK776" i="2"/>
  <c r="AH777" i="2"/>
  <c r="AI777" i="2"/>
  <c r="AJ777" i="2"/>
  <c r="AK777" i="2"/>
  <c r="AH778" i="2"/>
  <c r="AI778" i="2"/>
  <c r="AJ778" i="2"/>
  <c r="AK778" i="2"/>
  <c r="AH779" i="2"/>
  <c r="AI779" i="2"/>
  <c r="AJ779" i="2"/>
  <c r="AK779" i="2"/>
  <c r="AH780" i="2"/>
  <c r="AI780" i="2"/>
  <c r="AJ780" i="2"/>
  <c r="AK780" i="2"/>
  <c r="AH781" i="2"/>
  <c r="AI781" i="2"/>
  <c r="AJ781" i="2"/>
  <c r="AK781" i="2"/>
  <c r="AH782" i="2"/>
  <c r="AI782" i="2"/>
  <c r="AJ782" i="2"/>
  <c r="AK782" i="2"/>
  <c r="AH783" i="2"/>
  <c r="AI783" i="2"/>
  <c r="AJ783" i="2"/>
  <c r="AK783" i="2"/>
  <c r="AH784" i="2"/>
  <c r="AI784" i="2"/>
  <c r="AJ784" i="2"/>
  <c r="AK784" i="2"/>
  <c r="AH785" i="2"/>
  <c r="AI785" i="2"/>
  <c r="AJ785" i="2"/>
  <c r="AK785" i="2"/>
  <c r="AH786" i="2"/>
  <c r="AI786" i="2"/>
  <c r="AJ786" i="2"/>
  <c r="AK786" i="2"/>
  <c r="AH787" i="2"/>
  <c r="AI787" i="2"/>
  <c r="AJ787" i="2"/>
  <c r="AK787" i="2"/>
  <c r="AH788" i="2"/>
  <c r="AI788" i="2"/>
  <c r="AJ788" i="2"/>
  <c r="AK788" i="2"/>
  <c r="AH789" i="2"/>
  <c r="AI789" i="2"/>
  <c r="AJ789" i="2"/>
  <c r="AK789" i="2"/>
  <c r="AH790" i="2"/>
  <c r="AI790" i="2"/>
  <c r="AJ790" i="2"/>
  <c r="AK790" i="2"/>
  <c r="AH791" i="2"/>
  <c r="AI791" i="2"/>
  <c r="AJ791" i="2"/>
  <c r="AK791" i="2"/>
  <c r="AH792" i="2"/>
  <c r="AI792" i="2"/>
  <c r="AJ792" i="2"/>
  <c r="AK792" i="2"/>
  <c r="AH793" i="2"/>
  <c r="AI793" i="2"/>
  <c r="AJ793" i="2"/>
  <c r="AK793" i="2"/>
  <c r="AH794" i="2"/>
  <c r="AI794" i="2"/>
  <c r="AJ794" i="2"/>
  <c r="AK794" i="2"/>
  <c r="AH795" i="2"/>
  <c r="AI795" i="2"/>
  <c r="AJ795" i="2"/>
  <c r="AK795" i="2"/>
  <c r="AH796" i="2"/>
  <c r="AI796" i="2"/>
  <c r="AJ796" i="2"/>
  <c r="AK796" i="2"/>
  <c r="AH797" i="2"/>
  <c r="AI797" i="2"/>
  <c r="AJ797" i="2"/>
  <c r="AK797" i="2"/>
  <c r="AH798" i="2"/>
  <c r="AI798" i="2"/>
  <c r="AJ798" i="2"/>
  <c r="AK798" i="2"/>
  <c r="AH799" i="2"/>
  <c r="AI799" i="2"/>
  <c r="AJ799" i="2"/>
  <c r="AK799" i="2"/>
  <c r="AH800" i="2"/>
  <c r="AI800" i="2"/>
  <c r="AJ800" i="2"/>
  <c r="AK800" i="2"/>
  <c r="AH801" i="2"/>
  <c r="AI801" i="2"/>
  <c r="AJ801" i="2"/>
  <c r="AK801" i="2"/>
  <c r="AH802" i="2"/>
  <c r="AI802" i="2"/>
  <c r="AJ802" i="2"/>
  <c r="AK802" i="2"/>
  <c r="AH803" i="2"/>
  <c r="AI803" i="2"/>
  <c r="AJ803" i="2"/>
  <c r="AK803" i="2"/>
  <c r="AH804" i="2"/>
  <c r="AI804" i="2"/>
  <c r="AJ804" i="2"/>
  <c r="AK804" i="2"/>
  <c r="AH805" i="2"/>
  <c r="AI805" i="2"/>
  <c r="AJ805" i="2"/>
  <c r="AK805" i="2"/>
  <c r="AH806" i="2"/>
  <c r="AI806" i="2"/>
  <c r="AJ806" i="2"/>
  <c r="AK806" i="2"/>
  <c r="AH807" i="2"/>
  <c r="AI807" i="2"/>
  <c r="AJ807" i="2"/>
  <c r="AK807" i="2"/>
  <c r="AH808" i="2"/>
  <c r="AI808" i="2"/>
  <c r="AJ808" i="2"/>
  <c r="AK808" i="2"/>
  <c r="AH809" i="2"/>
  <c r="AI809" i="2"/>
  <c r="AJ809" i="2"/>
  <c r="AK809" i="2"/>
  <c r="AH810" i="2"/>
  <c r="AI810" i="2"/>
  <c r="AJ810" i="2"/>
  <c r="AK810" i="2"/>
  <c r="AH811" i="2"/>
  <c r="AI811" i="2"/>
  <c r="AJ811" i="2"/>
  <c r="AK811" i="2"/>
  <c r="AH812" i="2"/>
  <c r="AI812" i="2"/>
  <c r="AJ812" i="2"/>
  <c r="AK812" i="2"/>
  <c r="AH813" i="2"/>
  <c r="AI813" i="2"/>
  <c r="AJ813" i="2"/>
  <c r="AK813" i="2"/>
  <c r="AH814" i="2"/>
  <c r="AI814" i="2"/>
  <c r="AJ814" i="2"/>
  <c r="AK814" i="2"/>
  <c r="AH815" i="2"/>
  <c r="AI815" i="2"/>
  <c r="AJ815" i="2"/>
  <c r="AK815" i="2"/>
  <c r="AH816" i="2"/>
  <c r="AI816" i="2"/>
  <c r="AJ816" i="2"/>
  <c r="AK816" i="2"/>
  <c r="AH817" i="2"/>
  <c r="AI817" i="2"/>
  <c r="AJ817" i="2"/>
  <c r="AK817" i="2"/>
  <c r="AH818" i="2"/>
  <c r="AI818" i="2"/>
  <c r="AJ818" i="2"/>
  <c r="AK818" i="2"/>
  <c r="AH819" i="2"/>
  <c r="AI819" i="2"/>
  <c r="AJ819" i="2"/>
  <c r="AK819" i="2"/>
  <c r="AH820" i="2"/>
  <c r="AI820" i="2"/>
  <c r="AJ820" i="2"/>
  <c r="AK820" i="2"/>
  <c r="AH821" i="2"/>
  <c r="AI821" i="2"/>
  <c r="AJ821" i="2"/>
  <c r="AK821" i="2"/>
  <c r="AH822" i="2"/>
  <c r="AI822" i="2"/>
  <c r="AJ822" i="2"/>
  <c r="AK822" i="2"/>
  <c r="AH823" i="2"/>
  <c r="AI823" i="2"/>
  <c r="AJ823" i="2"/>
  <c r="AK823" i="2"/>
  <c r="AH824" i="2"/>
  <c r="AI824" i="2"/>
  <c r="AJ824" i="2"/>
  <c r="AK824" i="2"/>
  <c r="AH825" i="2"/>
  <c r="AI825" i="2"/>
  <c r="AJ825" i="2"/>
  <c r="AK825" i="2"/>
  <c r="AH826" i="2"/>
  <c r="AI826" i="2"/>
  <c r="AJ826" i="2"/>
  <c r="AK826" i="2"/>
  <c r="AH827" i="2"/>
  <c r="AI827" i="2"/>
  <c r="AJ827" i="2"/>
  <c r="AK827" i="2"/>
  <c r="AH828" i="2"/>
  <c r="AI828" i="2"/>
  <c r="AJ828" i="2"/>
  <c r="AK828" i="2"/>
  <c r="AH829" i="2"/>
  <c r="AI829" i="2"/>
  <c r="AJ829" i="2"/>
  <c r="AK829" i="2"/>
  <c r="AH830" i="2"/>
  <c r="AI830" i="2"/>
  <c r="AJ830" i="2"/>
  <c r="AK830" i="2"/>
  <c r="AH831" i="2"/>
  <c r="AI831" i="2"/>
  <c r="AJ831" i="2"/>
  <c r="AK831" i="2"/>
  <c r="AH832" i="2"/>
  <c r="AI832" i="2"/>
  <c r="AJ832" i="2"/>
  <c r="AK832" i="2"/>
  <c r="AH833" i="2"/>
  <c r="AI833" i="2"/>
  <c r="AJ833" i="2"/>
  <c r="AK833" i="2"/>
  <c r="AH834" i="2"/>
  <c r="AI834" i="2"/>
  <c r="AJ834" i="2"/>
  <c r="AK834" i="2"/>
  <c r="AH835" i="2"/>
  <c r="AI835" i="2"/>
  <c r="AJ835" i="2"/>
  <c r="AK835" i="2"/>
  <c r="AH836" i="2"/>
  <c r="AI836" i="2"/>
  <c r="AJ836" i="2"/>
  <c r="AK836" i="2"/>
  <c r="AH837" i="2"/>
  <c r="AI837" i="2"/>
  <c r="AJ837" i="2"/>
  <c r="AK837" i="2"/>
  <c r="AH838" i="2"/>
  <c r="AI838" i="2"/>
  <c r="AJ838" i="2"/>
  <c r="AK838" i="2"/>
  <c r="AH839" i="2"/>
  <c r="AI839" i="2"/>
  <c r="AJ839" i="2"/>
  <c r="AK839" i="2"/>
  <c r="AH840" i="2"/>
  <c r="AI840" i="2"/>
  <c r="AJ840" i="2"/>
  <c r="AK840" i="2"/>
  <c r="AH841" i="2"/>
  <c r="AI841" i="2"/>
  <c r="AJ841" i="2"/>
  <c r="AK841" i="2"/>
  <c r="AH842" i="2"/>
  <c r="AI842" i="2"/>
  <c r="AJ842" i="2"/>
  <c r="AK842" i="2"/>
  <c r="AH843" i="2"/>
  <c r="AI843" i="2"/>
  <c r="AJ843" i="2"/>
  <c r="AK843" i="2"/>
  <c r="AH844" i="2"/>
  <c r="AI844" i="2"/>
  <c r="AJ844" i="2"/>
  <c r="AK844" i="2"/>
  <c r="AH845" i="2"/>
  <c r="AI845" i="2"/>
  <c r="AJ845" i="2"/>
  <c r="AK845" i="2"/>
  <c r="AH846" i="2"/>
  <c r="AI846" i="2"/>
  <c r="AJ846" i="2"/>
  <c r="AK846" i="2"/>
  <c r="AH847" i="2"/>
  <c r="AI847" i="2"/>
  <c r="AJ847" i="2"/>
  <c r="AK847" i="2"/>
  <c r="AH848" i="2"/>
  <c r="AI848" i="2"/>
  <c r="AJ848" i="2"/>
  <c r="AK848" i="2"/>
  <c r="AH849" i="2"/>
  <c r="AI849" i="2"/>
  <c r="AJ849" i="2"/>
  <c r="AK849" i="2"/>
  <c r="AH850" i="2"/>
  <c r="AI850" i="2"/>
  <c r="AJ850" i="2"/>
  <c r="AK850" i="2"/>
  <c r="AH851" i="2"/>
  <c r="AI851" i="2"/>
  <c r="AJ851" i="2"/>
  <c r="AK851" i="2"/>
  <c r="AH852" i="2"/>
  <c r="AI852" i="2"/>
  <c r="AJ852" i="2"/>
  <c r="AK852" i="2"/>
  <c r="AH853" i="2"/>
  <c r="AI853" i="2"/>
  <c r="AJ853" i="2"/>
  <c r="AK853" i="2"/>
  <c r="AH854" i="2"/>
  <c r="AI854" i="2"/>
  <c r="AJ854" i="2"/>
  <c r="AK854" i="2"/>
  <c r="AH855" i="2"/>
  <c r="AI855" i="2"/>
  <c r="AJ855" i="2"/>
  <c r="AK855" i="2"/>
  <c r="AH856" i="2"/>
  <c r="AI856" i="2"/>
  <c r="AJ856" i="2"/>
  <c r="AK856" i="2"/>
  <c r="AH857" i="2"/>
  <c r="AI857" i="2"/>
  <c r="AJ857" i="2"/>
  <c r="AK857" i="2"/>
  <c r="AH858" i="2"/>
  <c r="AI858" i="2"/>
  <c r="AJ858" i="2"/>
  <c r="AK858" i="2"/>
  <c r="AH859" i="2"/>
  <c r="AI859" i="2"/>
  <c r="AJ859" i="2"/>
  <c r="AK859" i="2"/>
  <c r="AH860" i="2"/>
  <c r="AI860" i="2"/>
  <c r="AJ860" i="2"/>
  <c r="AK860" i="2"/>
  <c r="AH861" i="2"/>
  <c r="AI861" i="2"/>
  <c r="AJ861" i="2"/>
  <c r="AK861" i="2"/>
  <c r="AH862" i="2"/>
  <c r="AI862" i="2"/>
  <c r="AJ862" i="2"/>
  <c r="AK862" i="2"/>
  <c r="AH863" i="2"/>
  <c r="AI863" i="2"/>
  <c r="AJ863" i="2"/>
  <c r="AK863" i="2"/>
  <c r="AH864" i="2"/>
  <c r="AI864" i="2"/>
  <c r="AJ864" i="2"/>
  <c r="AK864" i="2"/>
  <c r="AH865" i="2"/>
  <c r="AI865" i="2"/>
  <c r="AJ865" i="2"/>
  <c r="AK865" i="2"/>
  <c r="AH866" i="2"/>
  <c r="AI866" i="2"/>
  <c r="AJ866" i="2"/>
  <c r="AK866" i="2"/>
  <c r="AH867" i="2"/>
  <c r="AI867" i="2"/>
  <c r="AJ867" i="2"/>
  <c r="AK867" i="2"/>
  <c r="AH868" i="2"/>
  <c r="AI868" i="2"/>
  <c r="AJ868" i="2"/>
  <c r="AK868" i="2"/>
  <c r="AH869" i="2"/>
  <c r="AI869" i="2"/>
  <c r="AJ869" i="2"/>
  <c r="AK869" i="2"/>
  <c r="AH870" i="2"/>
  <c r="AI870" i="2"/>
  <c r="AJ870" i="2"/>
  <c r="AK870" i="2"/>
  <c r="AH871" i="2"/>
  <c r="AI871" i="2"/>
  <c r="AJ871" i="2"/>
  <c r="AK871" i="2"/>
  <c r="AH872" i="2"/>
  <c r="AI872" i="2"/>
  <c r="AJ872" i="2"/>
  <c r="AK872" i="2"/>
  <c r="AH873" i="2"/>
  <c r="AI873" i="2"/>
  <c r="AJ873" i="2"/>
  <c r="AK873" i="2"/>
  <c r="AH874" i="2"/>
  <c r="AI874" i="2"/>
  <c r="AJ874" i="2"/>
  <c r="AK874" i="2"/>
  <c r="AH875" i="2"/>
  <c r="AI875" i="2"/>
  <c r="AJ875" i="2"/>
  <c r="AK875" i="2"/>
  <c r="AH876" i="2"/>
  <c r="AI876" i="2"/>
  <c r="AJ876" i="2"/>
  <c r="AK876" i="2"/>
  <c r="AH877" i="2"/>
  <c r="AI877" i="2"/>
  <c r="AJ877" i="2"/>
  <c r="AK877" i="2"/>
  <c r="AH878" i="2"/>
  <c r="AI878" i="2"/>
  <c r="AJ878" i="2"/>
  <c r="AK878" i="2"/>
  <c r="AH879" i="2"/>
  <c r="AI879" i="2"/>
  <c r="AJ879" i="2"/>
  <c r="AK879" i="2"/>
  <c r="AH880" i="2"/>
  <c r="AI880" i="2"/>
  <c r="AJ880" i="2"/>
  <c r="AK880" i="2"/>
  <c r="AH881" i="2"/>
  <c r="AI881" i="2"/>
  <c r="AJ881" i="2"/>
  <c r="AK881" i="2"/>
  <c r="AH882" i="2"/>
  <c r="AI882" i="2"/>
  <c r="AJ882" i="2"/>
  <c r="AK882" i="2"/>
  <c r="AH883" i="2"/>
  <c r="AI883" i="2"/>
  <c r="AJ883" i="2"/>
  <c r="AK883" i="2"/>
  <c r="AH884" i="2"/>
  <c r="AI884" i="2"/>
  <c r="AJ884" i="2"/>
  <c r="AK884" i="2"/>
  <c r="AH885" i="2"/>
  <c r="AI885" i="2"/>
  <c r="AJ885" i="2"/>
  <c r="AK885" i="2"/>
  <c r="AH886" i="2"/>
  <c r="AI886" i="2"/>
  <c r="AJ886" i="2"/>
  <c r="AK886" i="2"/>
  <c r="AH887" i="2"/>
  <c r="AI887" i="2"/>
  <c r="AJ887" i="2"/>
  <c r="AK887" i="2"/>
  <c r="AH888" i="2"/>
  <c r="AI888" i="2"/>
  <c r="AJ888" i="2"/>
  <c r="AK888" i="2"/>
  <c r="AH889" i="2"/>
  <c r="AI889" i="2"/>
  <c r="AJ889" i="2"/>
  <c r="AK889" i="2"/>
  <c r="AH890" i="2"/>
  <c r="AI890" i="2"/>
  <c r="AJ890" i="2"/>
  <c r="AK890" i="2"/>
  <c r="AH891" i="2"/>
  <c r="AI891" i="2"/>
  <c r="AJ891" i="2"/>
  <c r="AK891" i="2"/>
  <c r="AH892" i="2"/>
  <c r="AI892" i="2"/>
  <c r="AJ892" i="2"/>
  <c r="AK892" i="2"/>
  <c r="AH893" i="2"/>
  <c r="AI893" i="2"/>
  <c r="AJ893" i="2"/>
  <c r="AK893" i="2"/>
  <c r="AH894" i="2"/>
  <c r="AI894" i="2"/>
  <c r="AJ894" i="2"/>
  <c r="AK894" i="2"/>
  <c r="AH895" i="2"/>
  <c r="AI895" i="2"/>
  <c r="AJ895" i="2"/>
  <c r="AK895" i="2"/>
  <c r="AH896" i="2"/>
  <c r="AI896" i="2"/>
  <c r="AJ896" i="2"/>
  <c r="AK896" i="2"/>
  <c r="AH897" i="2"/>
  <c r="AI897" i="2"/>
  <c r="AJ897" i="2"/>
  <c r="AK897" i="2"/>
  <c r="AH898" i="2"/>
  <c r="AI898" i="2"/>
  <c r="AJ898" i="2"/>
  <c r="AK898" i="2"/>
  <c r="AH899" i="2"/>
  <c r="AI899" i="2"/>
  <c r="AJ899" i="2"/>
  <c r="AK899" i="2"/>
  <c r="AH900" i="2"/>
  <c r="AI900" i="2"/>
  <c r="AJ900" i="2"/>
  <c r="AK900" i="2"/>
  <c r="AH901" i="2"/>
  <c r="AI901" i="2"/>
  <c r="AJ901" i="2"/>
  <c r="AK901" i="2"/>
  <c r="AH902" i="2"/>
  <c r="AI902" i="2"/>
  <c r="AJ902" i="2"/>
  <c r="AK902" i="2"/>
  <c r="AH903" i="2"/>
  <c r="AI903" i="2"/>
  <c r="AJ903" i="2"/>
  <c r="AK903" i="2"/>
  <c r="AH904" i="2"/>
  <c r="AI904" i="2"/>
  <c r="AJ904" i="2"/>
  <c r="AK904" i="2"/>
  <c r="AH905" i="2"/>
  <c r="AI905" i="2"/>
  <c r="AJ905" i="2"/>
  <c r="AK905" i="2"/>
  <c r="AH906" i="2"/>
  <c r="AI906" i="2"/>
  <c r="AJ906" i="2"/>
  <c r="AK906" i="2"/>
  <c r="AH907" i="2"/>
  <c r="AI907" i="2"/>
  <c r="AJ907" i="2"/>
  <c r="AK907" i="2"/>
  <c r="AH908" i="2"/>
  <c r="AI908" i="2"/>
  <c r="AJ908" i="2"/>
  <c r="AK908" i="2"/>
  <c r="AH909" i="2"/>
  <c r="AI909" i="2"/>
  <c r="AJ909" i="2"/>
  <c r="AK909" i="2"/>
  <c r="AH910" i="2"/>
  <c r="AI910" i="2"/>
  <c r="AJ910" i="2"/>
  <c r="AK910" i="2"/>
  <c r="AH911" i="2"/>
  <c r="AI911" i="2"/>
  <c r="AJ911" i="2"/>
  <c r="AK911" i="2"/>
  <c r="AH912" i="2"/>
  <c r="AI912" i="2"/>
  <c r="AJ912" i="2"/>
  <c r="AK912" i="2"/>
  <c r="AH913" i="2"/>
  <c r="AI913" i="2"/>
  <c r="AJ913" i="2"/>
  <c r="AK913" i="2"/>
  <c r="AH914" i="2"/>
  <c r="AI914" i="2"/>
  <c r="AJ914" i="2"/>
  <c r="AK914" i="2"/>
  <c r="AH915" i="2"/>
  <c r="AI915" i="2"/>
  <c r="AJ915" i="2"/>
  <c r="AK915" i="2"/>
  <c r="AH916" i="2"/>
  <c r="AI916" i="2"/>
  <c r="AJ916" i="2"/>
  <c r="AK916" i="2"/>
  <c r="AH917" i="2"/>
  <c r="AI917" i="2"/>
  <c r="AJ917" i="2"/>
  <c r="AK917" i="2"/>
  <c r="AH918" i="2"/>
  <c r="AI918" i="2"/>
  <c r="AJ918" i="2"/>
  <c r="AK918" i="2"/>
  <c r="AH919" i="2"/>
  <c r="AI919" i="2"/>
  <c r="AJ919" i="2"/>
  <c r="AK919" i="2"/>
  <c r="AH920" i="2"/>
  <c r="AI920" i="2"/>
  <c r="AJ920" i="2"/>
  <c r="AK920" i="2"/>
  <c r="AH921" i="2"/>
  <c r="AI921" i="2"/>
  <c r="AJ921" i="2"/>
  <c r="AK921" i="2"/>
  <c r="AH922" i="2"/>
  <c r="AI922" i="2"/>
  <c r="AJ922" i="2"/>
  <c r="AK922" i="2"/>
  <c r="AH923" i="2"/>
  <c r="AI923" i="2"/>
  <c r="AJ923" i="2"/>
  <c r="AK923" i="2"/>
  <c r="AH924" i="2"/>
  <c r="AI924" i="2"/>
  <c r="AJ924" i="2"/>
  <c r="AK924" i="2"/>
  <c r="AH925" i="2"/>
  <c r="AI925" i="2"/>
  <c r="AJ925" i="2"/>
  <c r="AK925" i="2"/>
  <c r="AH926" i="2"/>
  <c r="AI926" i="2"/>
  <c r="AJ926" i="2"/>
  <c r="AK926" i="2"/>
  <c r="AH927" i="2"/>
  <c r="AI927" i="2"/>
  <c r="AJ927" i="2"/>
  <c r="AK927" i="2"/>
  <c r="AH928" i="2"/>
  <c r="AI928" i="2"/>
  <c r="AJ928" i="2"/>
  <c r="AK928" i="2"/>
  <c r="AH929" i="2"/>
  <c r="AI929" i="2"/>
  <c r="AJ929" i="2"/>
  <c r="AK929" i="2"/>
  <c r="AH930" i="2"/>
  <c r="AI930" i="2"/>
  <c r="AJ930" i="2"/>
  <c r="AK930" i="2"/>
  <c r="AH931" i="2"/>
  <c r="AI931" i="2"/>
  <c r="AJ931" i="2"/>
  <c r="AK931" i="2"/>
  <c r="AH932" i="2"/>
  <c r="AI932" i="2"/>
  <c r="AJ932" i="2"/>
  <c r="AK932" i="2"/>
  <c r="AH933" i="2"/>
  <c r="AI933" i="2"/>
  <c r="AJ933" i="2"/>
  <c r="AK933" i="2"/>
  <c r="AH934" i="2"/>
  <c r="AI934" i="2"/>
  <c r="AJ934" i="2"/>
  <c r="AK934" i="2"/>
  <c r="AH935" i="2"/>
  <c r="AI935" i="2"/>
  <c r="AJ935" i="2"/>
  <c r="AK935" i="2"/>
  <c r="AH936" i="2"/>
  <c r="AI936" i="2"/>
  <c r="AJ936" i="2"/>
  <c r="AK936" i="2"/>
  <c r="AH937" i="2"/>
  <c r="AI937" i="2"/>
  <c r="AJ937" i="2"/>
  <c r="AK937" i="2"/>
  <c r="AH938" i="2"/>
  <c r="AI938" i="2"/>
  <c r="AJ938" i="2"/>
  <c r="AK938" i="2"/>
  <c r="AH939" i="2"/>
  <c r="AI939" i="2"/>
  <c r="AJ939" i="2"/>
  <c r="AK939" i="2"/>
  <c r="AH940" i="2"/>
  <c r="AI940" i="2"/>
  <c r="AJ940" i="2"/>
  <c r="AK940" i="2"/>
  <c r="AH941" i="2"/>
  <c r="AI941" i="2"/>
  <c r="AJ941" i="2"/>
  <c r="AK941" i="2"/>
  <c r="AH942" i="2"/>
  <c r="AI942" i="2"/>
  <c r="AJ942" i="2"/>
  <c r="AK942" i="2"/>
  <c r="AH943" i="2"/>
  <c r="AI943" i="2"/>
  <c r="AJ943" i="2"/>
  <c r="AK943" i="2"/>
  <c r="AH944" i="2"/>
  <c r="AI944" i="2"/>
  <c r="AJ944" i="2"/>
  <c r="AK944" i="2"/>
  <c r="AH945" i="2"/>
  <c r="AI945" i="2"/>
  <c r="AJ945" i="2"/>
  <c r="AK945" i="2"/>
  <c r="AH946" i="2"/>
  <c r="AI946" i="2"/>
  <c r="AJ946" i="2"/>
  <c r="AK946" i="2"/>
  <c r="AH947" i="2"/>
  <c r="AI947" i="2"/>
  <c r="AJ947" i="2"/>
  <c r="AK947" i="2"/>
  <c r="AH948" i="2"/>
  <c r="AI948" i="2"/>
  <c r="AJ948" i="2"/>
  <c r="AK948" i="2"/>
  <c r="AH949" i="2"/>
  <c r="AI949" i="2"/>
  <c r="AJ949" i="2"/>
  <c r="AK949" i="2"/>
  <c r="AH950" i="2"/>
  <c r="AI950" i="2"/>
  <c r="AJ950" i="2"/>
  <c r="AK950" i="2"/>
  <c r="AH951" i="2"/>
  <c r="AI951" i="2"/>
  <c r="AJ951" i="2"/>
  <c r="AK951" i="2"/>
  <c r="AH952" i="2"/>
  <c r="AI952" i="2"/>
  <c r="AJ952" i="2"/>
  <c r="AK952" i="2"/>
  <c r="AH953" i="2"/>
  <c r="AI953" i="2"/>
  <c r="AJ953" i="2"/>
  <c r="AK953" i="2"/>
  <c r="AH954" i="2"/>
  <c r="AI954" i="2"/>
  <c r="AJ954" i="2"/>
  <c r="AK954" i="2"/>
  <c r="AH955" i="2"/>
  <c r="AI955" i="2"/>
  <c r="AJ955" i="2"/>
  <c r="AK955" i="2"/>
  <c r="AH956" i="2"/>
  <c r="AI956" i="2"/>
  <c r="AJ956" i="2"/>
  <c r="AK956" i="2"/>
  <c r="AH957" i="2"/>
  <c r="AI957" i="2"/>
  <c r="AJ957" i="2"/>
  <c r="AK957" i="2"/>
  <c r="AH958" i="2"/>
  <c r="AI958" i="2"/>
  <c r="AJ958" i="2"/>
  <c r="AK958" i="2"/>
  <c r="AH959" i="2"/>
  <c r="AI959" i="2"/>
  <c r="AJ959" i="2"/>
  <c r="AK959" i="2"/>
  <c r="AH960" i="2"/>
  <c r="AI960" i="2"/>
  <c r="AJ960" i="2"/>
  <c r="AK960" i="2"/>
  <c r="AH961" i="2"/>
  <c r="AI961" i="2"/>
  <c r="AJ961" i="2"/>
  <c r="AK961" i="2"/>
  <c r="AH962" i="2"/>
  <c r="AI962" i="2"/>
  <c r="AJ962" i="2"/>
  <c r="AK962" i="2"/>
  <c r="AH963" i="2"/>
  <c r="AI963" i="2"/>
  <c r="AJ963" i="2"/>
  <c r="AK963" i="2"/>
  <c r="AH964" i="2"/>
  <c r="AI964" i="2"/>
  <c r="AJ964" i="2"/>
  <c r="AK964" i="2"/>
  <c r="AH965" i="2"/>
  <c r="AI965" i="2"/>
  <c r="AJ965" i="2"/>
  <c r="AK965" i="2"/>
  <c r="AH966" i="2"/>
  <c r="AI966" i="2"/>
  <c r="AJ966" i="2"/>
  <c r="AK966" i="2"/>
  <c r="AH967" i="2"/>
  <c r="AI967" i="2"/>
  <c r="AJ967" i="2"/>
  <c r="AK967" i="2"/>
  <c r="AH968" i="2"/>
  <c r="AI968" i="2"/>
  <c r="AJ968" i="2"/>
  <c r="AK968" i="2"/>
  <c r="AH969" i="2"/>
  <c r="AI969" i="2"/>
  <c r="AJ969" i="2"/>
  <c r="AK969" i="2"/>
  <c r="AH970" i="2"/>
  <c r="AI970" i="2"/>
  <c r="AJ970" i="2"/>
  <c r="AK970" i="2"/>
  <c r="AH971" i="2"/>
  <c r="AI971" i="2"/>
  <c r="AJ971" i="2"/>
  <c r="AK971" i="2"/>
  <c r="AH972" i="2"/>
  <c r="AI972" i="2"/>
  <c r="AJ972" i="2"/>
  <c r="AK972" i="2"/>
  <c r="AH973" i="2"/>
  <c r="AI973" i="2"/>
  <c r="AJ973" i="2"/>
  <c r="AK973" i="2"/>
  <c r="AH974" i="2"/>
  <c r="AI974" i="2"/>
  <c r="AJ974" i="2"/>
  <c r="AK974" i="2"/>
  <c r="AH975" i="2"/>
  <c r="AI975" i="2"/>
  <c r="AJ975" i="2"/>
  <c r="AK975" i="2"/>
  <c r="AH976" i="2"/>
  <c r="AI976" i="2"/>
  <c r="AJ976" i="2"/>
  <c r="AK976" i="2"/>
  <c r="AH977" i="2"/>
  <c r="AI977" i="2"/>
  <c r="AJ977" i="2"/>
  <c r="AK977" i="2"/>
  <c r="AH978" i="2"/>
  <c r="AI978" i="2"/>
  <c r="AJ978" i="2"/>
  <c r="AK978" i="2"/>
  <c r="AH979" i="2"/>
  <c r="AI979" i="2"/>
  <c r="AJ979" i="2"/>
  <c r="AK979" i="2"/>
  <c r="AH980" i="2"/>
  <c r="AI980" i="2"/>
  <c r="AJ980" i="2"/>
  <c r="AK980" i="2"/>
  <c r="AH981" i="2"/>
  <c r="AI981" i="2"/>
  <c r="AJ981" i="2"/>
  <c r="AK981" i="2"/>
  <c r="AH982" i="2"/>
  <c r="AI982" i="2"/>
  <c r="AJ982" i="2"/>
  <c r="AK982" i="2"/>
  <c r="AH983" i="2"/>
  <c r="AI983" i="2"/>
  <c r="AJ983" i="2"/>
  <c r="AK983" i="2"/>
  <c r="AH984" i="2"/>
  <c r="AI984" i="2"/>
  <c r="AJ984" i="2"/>
  <c r="AK984" i="2"/>
  <c r="AH985" i="2"/>
  <c r="AI985" i="2"/>
  <c r="AJ985" i="2"/>
  <c r="AK985" i="2"/>
  <c r="AH986" i="2"/>
  <c r="AI986" i="2"/>
  <c r="AJ986" i="2"/>
  <c r="AK986" i="2"/>
  <c r="AH987" i="2"/>
  <c r="AI987" i="2"/>
  <c r="AJ987" i="2"/>
  <c r="AK987" i="2"/>
  <c r="AH988" i="2"/>
  <c r="AI988" i="2"/>
  <c r="AJ988" i="2"/>
  <c r="AK988" i="2"/>
  <c r="AH989" i="2"/>
  <c r="AI989" i="2"/>
  <c r="AJ989" i="2"/>
  <c r="AK989" i="2"/>
  <c r="AH990" i="2"/>
  <c r="AI990" i="2"/>
  <c r="AJ990" i="2"/>
  <c r="AK990" i="2"/>
  <c r="AH991" i="2"/>
  <c r="AI991" i="2"/>
  <c r="AJ991" i="2"/>
  <c r="AK991" i="2"/>
  <c r="AH992" i="2"/>
  <c r="AI992" i="2"/>
  <c r="AJ992" i="2"/>
  <c r="AK992" i="2"/>
  <c r="AH993" i="2"/>
  <c r="AI993" i="2"/>
  <c r="AJ993" i="2"/>
  <c r="AK993" i="2"/>
  <c r="AH994" i="2"/>
  <c r="AI994" i="2"/>
  <c r="AJ994" i="2"/>
  <c r="AK994" i="2"/>
  <c r="AH995" i="2"/>
  <c r="AI995" i="2"/>
  <c r="AJ995" i="2"/>
  <c r="AK995" i="2"/>
  <c r="AH996" i="2"/>
  <c r="AI996" i="2"/>
  <c r="AJ996" i="2"/>
  <c r="AK996" i="2"/>
  <c r="AH997" i="2"/>
  <c r="AI997" i="2"/>
  <c r="AJ997" i="2"/>
  <c r="AK997" i="2"/>
  <c r="AH998" i="2"/>
  <c r="AI998" i="2"/>
  <c r="AJ998" i="2"/>
  <c r="AK998" i="2"/>
  <c r="AH999" i="2"/>
  <c r="AI999" i="2"/>
  <c r="AJ999" i="2"/>
  <c r="AK999" i="2"/>
  <c r="AH1000" i="2"/>
  <c r="AI1000" i="2"/>
  <c r="AJ1000" i="2"/>
  <c r="AK1000" i="2"/>
  <c r="AH1001" i="2"/>
  <c r="AI1001" i="2"/>
  <c r="AJ1001" i="2"/>
  <c r="AK1001" i="2"/>
  <c r="AH1002" i="2"/>
  <c r="AI1002" i="2"/>
  <c r="AJ1002" i="2"/>
  <c r="AK1002" i="2"/>
  <c r="AH1003" i="2"/>
  <c r="AI1003" i="2"/>
  <c r="AJ1003" i="2"/>
  <c r="AK1003" i="2"/>
  <c r="AH1004" i="2"/>
  <c r="AI1004" i="2"/>
  <c r="AJ1004" i="2"/>
  <c r="AK1004" i="2"/>
  <c r="AH1005" i="2"/>
  <c r="AI1005" i="2"/>
  <c r="AJ1005" i="2"/>
  <c r="AK1005" i="2"/>
  <c r="AH1006" i="2"/>
  <c r="AI1006" i="2"/>
  <c r="AJ1006" i="2"/>
  <c r="AK1006" i="2"/>
  <c r="AH1007" i="2"/>
  <c r="AI1007" i="2"/>
  <c r="AJ1007" i="2"/>
  <c r="AK1007" i="2"/>
  <c r="AH1008" i="2"/>
  <c r="AI1008" i="2"/>
  <c r="AJ1008" i="2"/>
  <c r="AK1008" i="2"/>
  <c r="AH1009" i="2"/>
  <c r="AI1009" i="2"/>
  <c r="AJ1009" i="2"/>
  <c r="AK1009" i="2"/>
  <c r="AH1010" i="2"/>
  <c r="AI1010" i="2"/>
  <c r="AJ1010" i="2"/>
  <c r="AK1010" i="2"/>
  <c r="AH1011" i="2"/>
  <c r="AI1011" i="2"/>
  <c r="AJ1011" i="2"/>
  <c r="AK1011" i="2"/>
  <c r="AH1012" i="2"/>
  <c r="AI1012" i="2"/>
  <c r="AJ1012" i="2"/>
  <c r="AK1012" i="2"/>
  <c r="AH1013" i="2"/>
  <c r="AI1013" i="2"/>
  <c r="AJ1013" i="2"/>
  <c r="AK1013" i="2"/>
  <c r="AH1014" i="2"/>
  <c r="AI1014" i="2"/>
  <c r="AJ1014" i="2"/>
  <c r="AK1014" i="2"/>
  <c r="AH1015" i="2"/>
  <c r="AI1015" i="2"/>
  <c r="AJ1015" i="2"/>
  <c r="AK1015" i="2"/>
  <c r="AH1016" i="2"/>
  <c r="AI1016" i="2"/>
  <c r="AJ1016" i="2"/>
  <c r="AK1016" i="2"/>
  <c r="AH1017" i="2"/>
  <c r="AI1017" i="2"/>
  <c r="AJ1017" i="2"/>
  <c r="AK1017" i="2"/>
  <c r="AK2" i="2"/>
  <c r="AJ2" i="2"/>
  <c r="AI2" i="2"/>
  <c r="AH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tc={286D1803-426E-42D1-950E-295DD996E695}</author>
  </authors>
  <commentList>
    <comment ref="N1" authorId="0" shapeId="0" xr:uid="{286D1803-426E-42D1-950E-295DD996E69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cases "vertes" signifie que la RATP a accusé réception du bordereau et donc son incorporation dans PJL. Donc à partir de cette date le délai de 30j (ou 60j) débute.</t>
      </text>
    </comment>
  </commentList>
</comments>
</file>

<file path=xl/sharedStrings.xml><?xml version="1.0" encoding="utf-8"?>
<sst xmlns="http://schemas.openxmlformats.org/spreadsheetml/2006/main" count="38" uniqueCount="38">
  <si>
    <t>Leader technique</t>
  </si>
  <si>
    <t>Indice externe</t>
  </si>
  <si>
    <t>Titre</t>
  </si>
  <si>
    <t>Jalon</t>
  </si>
  <si>
    <t>Version envoyée</t>
  </si>
  <si>
    <t>Bordereau</t>
  </si>
  <si>
    <t>Date réception RATP</t>
  </si>
  <si>
    <t>Date Statut RATP</t>
  </si>
  <si>
    <t>N° du Lot RATP</t>
  </si>
  <si>
    <t>Statut
RATP</t>
  </si>
  <si>
    <t>Nbre total de remarques RATP</t>
  </si>
  <si>
    <t>Réponse à fiche d'avis</t>
  </si>
  <si>
    <t>Responsable Titulaire</t>
  </si>
  <si>
    <t>Domaine RATP</t>
  </si>
  <si>
    <t>Fonction titulaire</t>
  </si>
  <si>
    <t>Date d'envoi Titulaire</t>
  </si>
  <si>
    <t>Date prévisionnelle de réception de la FA  après envoi RATP</t>
  </si>
  <si>
    <t>Dernier envoi</t>
  </si>
  <si>
    <t>Réference externe</t>
  </si>
  <si>
    <t>Délai de réponse</t>
  </si>
  <si>
    <t>N°FA</t>
  </si>
  <si>
    <t>Date d'envoi de la FA à CAF</t>
  </si>
  <si>
    <t>Date de réponse à la FA à faire par le titulaire</t>
  </si>
  <si>
    <t>R RETARD</t>
  </si>
  <si>
    <t>AR RETARD</t>
  </si>
  <si>
    <t>Num Livrable</t>
  </si>
  <si>
    <t>R : 1 si statut Refusé dans retours RATP</t>
  </si>
  <si>
    <t>AR : 1 si statut AR dans retours RATP</t>
  </si>
  <si>
    <t>A: 1 si statut A dans retours RATP</t>
  </si>
  <si>
    <t>1 si statut= EC</t>
  </si>
  <si>
    <t>1 si pas de date de retour dans retours RATP</t>
  </si>
  <si>
    <t xml:space="preserve">R  : nb remarques bloquantes </t>
  </si>
  <si>
    <t xml:space="preserve">AR : nb remarques avec réserves </t>
  </si>
  <si>
    <t xml:space="preserve">ARM : nb de ARM </t>
  </si>
  <si>
    <t xml:space="preserve">ARF  : nb de ARF </t>
  </si>
  <si>
    <t xml:space="preserve">A : nb de A </t>
  </si>
  <si>
    <t>Refusé au chargement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</si>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</sst>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_-* #,##0.00\ [$€-1]_-;\-* #,##0.00\ [$€-1]_-;_-* &quot;-&quot;??\ [$€-1]_-"/>
    <numFmt numFmtId="165" formatCode="0000&quot;-&quot;00&quot;-&quot;000"/>
    <numFmt numFmtId="166" formatCode="_-* #,##0.00\ [$€]_-;\-* #,##0.00\ [$€]_-;_-* &quot;-&quot;??\ [$€]_-;_-@_-"/>
    <numFmt numFmtId="167" formatCode="dd/mm/yy;@"/>
  </numFmts>
  <fonts count="54">
    <font>
      <sz val="11"/>
      <color theme="1"/>
      <name val="Calibri"/>
      <family val="2"/>
      <scheme val="minor"/>
    </font>
    <font>
      <b/>
      <sz val="11"/>
      <color theme="1"/>
      <name val="Calibri"/>
      <family val="2"/>
      <scheme val="minor"/>
    </font>
    <font>
      <sz val="11"/>
      <color theme="1"/>
      <name val="Calibri"/>
      <family val="2"/>
      <scheme val="minor"/>
    </font>
    <font>
      <sz val="11"/>
      <color rgb="FF3F3F76"/>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sz val="10"/>
      <name val="Arial"/>
      <family val="2"/>
    </font>
    <font>
      <sz val="11"/>
      <color indexed="8"/>
      <name val="Calibri"/>
      <family val="2"/>
    </font>
    <font>
      <sz val="11"/>
      <color indexed="8"/>
      <name val="Calibri"/>
      <family val="2"/>
      <charset val="162"/>
    </font>
    <font>
      <sz val="11"/>
      <color indexed="9"/>
      <name val="Calibri"/>
      <family val="2"/>
    </font>
    <font>
      <sz val="11"/>
      <color indexed="9"/>
      <name val="Calibri"/>
      <family val="2"/>
      <charset val="162"/>
    </font>
    <font>
      <sz val="11"/>
      <color indexed="10"/>
      <name val="Calibri"/>
      <family val="2"/>
    </font>
    <font>
      <sz val="11"/>
      <color indexed="20"/>
      <name val="Calibri"/>
      <family val="2"/>
      <charset val="162"/>
    </font>
    <font>
      <b/>
      <sz val="11"/>
      <color indexed="52"/>
      <name val="Calibri"/>
      <family val="2"/>
    </font>
    <font>
      <b/>
      <sz val="11"/>
      <color indexed="52"/>
      <name val="Calibri"/>
      <family val="2"/>
      <charset val="162"/>
    </font>
    <font>
      <sz val="11"/>
      <color indexed="52"/>
      <name val="Calibri"/>
      <family val="2"/>
    </font>
    <font>
      <b/>
      <sz val="11"/>
      <color indexed="9"/>
      <name val="Calibri"/>
      <family val="2"/>
      <charset val="162"/>
    </font>
    <font>
      <sz val="10"/>
      <name val="MS Sans Serif"/>
      <family val="2"/>
    </font>
    <font>
      <sz val="11"/>
      <color indexed="62"/>
      <name val="Calibri"/>
      <family val="2"/>
    </font>
    <font>
      <i/>
      <sz val="11"/>
      <color indexed="23"/>
      <name val="Calibri"/>
      <family val="2"/>
      <charset val="162"/>
    </font>
    <font>
      <sz val="11"/>
      <color indexed="17"/>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sz val="11"/>
      <color indexed="62"/>
      <name val="Calibri"/>
      <family val="2"/>
      <charset val="162"/>
    </font>
    <font>
      <sz val="11"/>
      <color indexed="20"/>
      <name val="Calibri"/>
      <family val="2"/>
    </font>
    <font>
      <sz val="11"/>
      <color indexed="52"/>
      <name val="Calibri"/>
      <family val="2"/>
      <charset val="162"/>
    </font>
    <font>
      <sz val="11"/>
      <color indexed="60"/>
      <name val="Calibri"/>
      <family val="2"/>
      <charset val="162"/>
    </font>
    <font>
      <sz val="11"/>
      <color indexed="60"/>
      <name val="Calibri"/>
      <family val="2"/>
    </font>
    <font>
      <b/>
      <sz val="10"/>
      <name val="Arial"/>
      <family val="2"/>
    </font>
    <font>
      <b/>
      <sz val="11"/>
      <color indexed="63"/>
      <name val="Calibri"/>
      <family val="2"/>
      <charset val="162"/>
    </font>
    <font>
      <sz val="11"/>
      <color indexed="17"/>
      <name val="Calibri"/>
      <family val="2"/>
    </font>
    <font>
      <b/>
      <sz val="11"/>
      <color indexed="63"/>
      <name val="Calibri"/>
      <family val="2"/>
    </font>
    <font>
      <i/>
      <sz val="11"/>
      <color indexed="23"/>
      <name val="Calibri"/>
      <family val="2"/>
    </font>
    <font>
      <b/>
      <sz val="18"/>
      <color indexed="56"/>
      <name val="Cambria"/>
      <family val="2"/>
      <charset val="16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charset val="162"/>
    </font>
    <font>
      <b/>
      <sz val="11"/>
      <color indexed="9"/>
      <name val="Calibri"/>
      <family val="2"/>
    </font>
    <font>
      <sz val="11"/>
      <color indexed="10"/>
      <name val="Calibri"/>
      <family val="2"/>
      <charset val="162"/>
    </font>
    <font>
      <b/>
      <sz val="8"/>
      <name val="Arial"/>
      <family val="2"/>
    </font>
    <font>
      <sz val="8"/>
      <name val="Arial"/>
      <family val="2"/>
    </font>
    <font>
      <b/>
      <sz val="12"/>
      <name val="Arial"/>
      <family val="2"/>
    </font>
    <font>
      <sz val="20"/>
      <name val="Arial"/>
      <family val="2"/>
    </font>
    <font>
      <sz val="10"/>
      <name val="Courier"/>
      <family val="3"/>
    </font>
    <font>
      <u/>
      <sz val="10"/>
      <name val="Arial"/>
      <family val="2"/>
    </font>
    <font>
      <b/>
      <sz val="11"/>
      <color indexed="8"/>
      <name val="Calibri"/>
      <family val="2"/>
    </font>
    <font>
      <sz val="11"/>
      <color theme="2"/>
      <name val="Calibri"/>
      <family val="2"/>
      <scheme val="minor"/>
    </font>
    <font>
      <u/>
      <sz val="7.5"/>
      <color indexed="12"/>
      <name val="Arial"/>
      <family val="2"/>
    </font>
  </fonts>
  <fills count="6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rgb="FFFFCC99"/>
      </patternFill>
    </fill>
    <fill>
      <patternFill patternType="solid">
        <fgColor rgb="FFF2F2F2"/>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indexed="43"/>
      </patternFill>
    </fill>
    <fill>
      <patternFill patternType="solid">
        <fgColor indexed="41"/>
        <bgColor indexed="64"/>
      </patternFill>
    </fill>
    <fill>
      <patternFill patternType="solid">
        <fgColor rgb="FF92D050"/>
        <bgColor indexed="64"/>
      </patternFill>
    </fill>
    <fill>
      <patternFill patternType="solid">
        <fgColor rgb="FFFF99FF"/>
        <bgColor indexed="64"/>
      </patternFill>
    </fill>
    <fill>
      <patternFill patternType="solid">
        <fgColor theme="8" tint="-0.249977111117893"/>
        <bgColor indexed="64"/>
      </patternFill>
    </fill>
    <fill>
      <patternFill patternType="solid">
        <fgColor theme="4" tint="0.79998168889431442"/>
        <bgColor theme="4" tint="0.79998168889431442"/>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medium">
        <color indexed="64"/>
      </left>
      <right/>
      <top style="medium">
        <color indexed="64"/>
      </top>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614">
    <xf numFmtId="0" fontId="0" fillId="0" borderId="0"/>
    <xf numFmtId="0" fontId="9" fillId="0" borderId="0"/>
    <xf numFmtId="0" fontId="9" fillId="0" borderId="0"/>
    <xf numFmtId="0" fontId="10" fillId="33" borderId="0"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6"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11" fillId="33" borderId="0" applyNumberFormat="0" applyBorder="0" applyAlignment="0" applyProtection="0"/>
    <xf numFmtId="0" fontId="11" fillId="34" borderId="0" applyNumberFormat="0" applyBorder="0" applyAlignment="0" applyProtection="0"/>
    <xf numFmtId="0" fontId="11" fillId="35" borderId="0" applyNumberFormat="0" applyBorder="0" applyAlignment="0" applyProtection="0"/>
    <xf numFmtId="0" fontId="11" fillId="36" borderId="0" applyNumberFormat="0" applyBorder="0" applyAlignment="0" applyProtection="0"/>
    <xf numFmtId="0" fontId="11" fillId="37" borderId="0" applyNumberFormat="0" applyBorder="0" applyAlignment="0" applyProtection="0"/>
    <xf numFmtId="0" fontId="11" fillId="38" borderId="0" applyNumberFormat="0" applyBorder="0" applyAlignment="0" applyProtection="0"/>
    <xf numFmtId="0" fontId="10" fillId="39" borderId="0" applyNumberFormat="0" applyBorder="0" applyAlignment="0" applyProtection="0"/>
    <xf numFmtId="0" fontId="10" fillId="40" borderId="0" applyNumberFormat="0" applyBorder="0" applyAlignment="0" applyProtection="0"/>
    <xf numFmtId="0" fontId="10" fillId="41" borderId="0" applyNumberFormat="0" applyBorder="0" applyAlignment="0" applyProtection="0"/>
    <xf numFmtId="0" fontId="10" fillId="36"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1" fillId="39" borderId="0" applyNumberFormat="0" applyBorder="0" applyAlignment="0" applyProtection="0"/>
    <xf numFmtId="0" fontId="11" fillId="40" borderId="0" applyNumberFormat="0" applyBorder="0" applyAlignment="0" applyProtection="0"/>
    <xf numFmtId="0" fontId="11" fillId="41" borderId="0" applyNumberFormat="0" applyBorder="0" applyAlignment="0" applyProtection="0"/>
    <xf numFmtId="0" fontId="11" fillId="36"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2" fillId="43" borderId="0" applyNumberFormat="0" applyBorder="0" applyAlignment="0" applyProtection="0"/>
    <xf numFmtId="0" fontId="12" fillId="40" borderId="0" applyNumberFormat="0" applyBorder="0" applyAlignment="0" applyProtection="0"/>
    <xf numFmtId="0" fontId="12" fillId="41" borderId="0" applyNumberFormat="0" applyBorder="0" applyAlignment="0" applyProtection="0"/>
    <xf numFmtId="0" fontId="12" fillId="44" borderId="0" applyNumberFormat="0" applyBorder="0" applyAlignment="0" applyProtection="0"/>
    <xf numFmtId="0" fontId="12" fillId="45" borderId="0" applyNumberFormat="0" applyBorder="0" applyAlignment="0" applyProtection="0"/>
    <xf numFmtId="0" fontId="12" fillId="46" borderId="0" applyNumberFormat="0" applyBorder="0" applyAlignment="0" applyProtection="0"/>
    <xf numFmtId="0" fontId="13" fillId="43" borderId="0" applyNumberFormat="0" applyBorder="0" applyAlignment="0" applyProtection="0"/>
    <xf numFmtId="0" fontId="13" fillId="40" borderId="0" applyNumberFormat="0" applyBorder="0" applyAlignment="0" applyProtection="0"/>
    <xf numFmtId="0" fontId="13" fillId="41" borderId="0" applyNumberFormat="0" applyBorder="0" applyAlignment="0" applyProtection="0"/>
    <xf numFmtId="0" fontId="13" fillId="44" borderId="0" applyNumberFormat="0" applyBorder="0" applyAlignment="0" applyProtection="0"/>
    <xf numFmtId="0" fontId="13" fillId="45"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49" borderId="0" applyNumberFormat="0" applyBorder="0" applyAlignment="0" applyProtection="0"/>
    <xf numFmtId="0" fontId="13" fillId="44" borderId="0" applyNumberFormat="0" applyBorder="0" applyAlignment="0" applyProtection="0"/>
    <xf numFmtId="0" fontId="13" fillId="45" borderId="0" applyNumberFormat="0" applyBorder="0" applyAlignment="0" applyProtection="0"/>
    <xf numFmtId="0" fontId="13" fillId="50" borderId="0" applyNumberFormat="0" applyBorder="0" applyAlignment="0" applyProtection="0"/>
    <xf numFmtId="0" fontId="14" fillId="0" borderId="0" applyNumberFormat="0" applyFill="0" applyBorder="0" applyAlignment="0" applyProtection="0"/>
    <xf numFmtId="0" fontId="15" fillId="34" borderId="0" applyNumberFormat="0" applyBorder="0" applyAlignment="0" applyProtection="0"/>
    <xf numFmtId="0" fontId="16" fillId="51" borderId="6" applyNumberFormat="0" applyAlignment="0" applyProtection="0"/>
    <xf numFmtId="0" fontId="17" fillId="51" borderId="6" applyNumberFormat="0" applyAlignment="0" applyProtection="0"/>
    <xf numFmtId="0" fontId="18" fillId="0" borderId="7" applyNumberFormat="0" applyFill="0" applyAlignment="0" applyProtection="0"/>
    <xf numFmtId="0" fontId="19" fillId="52" borderId="8" applyNumberFormat="0" applyAlignment="0" applyProtection="0"/>
    <xf numFmtId="0" fontId="9" fillId="53" borderId="9" applyNumberFormat="0" applyFont="0" applyAlignment="0" applyProtection="0"/>
    <xf numFmtId="0" fontId="20" fillId="0" borderId="0" applyNumberFormat="0" applyFont="0" applyBorder="0" applyAlignment="0"/>
    <xf numFmtId="0" fontId="21" fillId="38" borderId="6" applyNumberFormat="0" applyAlignment="0" applyProtection="0"/>
    <xf numFmtId="0" fontId="46" fillId="0" borderId="1">
      <alignment vertical="center" wrapText="1"/>
    </xf>
    <xf numFmtId="164" fontId="9" fillId="0" borderId="0" applyFont="0" applyFill="0" applyBorder="0" applyAlignment="0" applyProtection="0"/>
    <xf numFmtId="0" fontId="22" fillId="0" borderId="0" applyNumberFormat="0" applyFill="0" applyBorder="0" applyAlignment="0" applyProtection="0"/>
    <xf numFmtId="0" fontId="23" fillId="35" borderId="0" applyNumberFormat="0" applyBorder="0" applyAlignment="0" applyProtection="0"/>
    <xf numFmtId="0" fontId="24" fillId="0" borderId="10" applyNumberFormat="0" applyFill="0" applyAlignment="0" applyProtection="0"/>
    <xf numFmtId="0" fontId="25" fillId="0" borderId="11" applyNumberFormat="0" applyFill="0" applyAlignment="0" applyProtection="0"/>
    <xf numFmtId="0" fontId="26" fillId="0" borderId="12" applyNumberFormat="0" applyFill="0" applyAlignment="0" applyProtection="0"/>
    <xf numFmtId="0" fontId="26" fillId="0" borderId="0" applyNumberFormat="0" applyFill="0" applyBorder="0" applyAlignment="0" applyProtection="0"/>
    <xf numFmtId="0" fontId="27" fillId="38" borderId="6" applyNumberFormat="0" applyAlignment="0" applyProtection="0"/>
    <xf numFmtId="0" fontId="28" fillId="34" borderId="0" applyNumberFormat="0" applyBorder="0" applyAlignment="0" applyProtection="0"/>
    <xf numFmtId="0" fontId="29" fillId="0" borderId="7" applyNumberFormat="0" applyFill="0" applyAlignment="0" applyProtection="0"/>
    <xf numFmtId="0" fontId="30" fillId="54" borderId="0" applyNumberFormat="0" applyBorder="0" applyAlignment="0" applyProtection="0"/>
    <xf numFmtId="0" fontId="31" fillId="54" borderId="0" applyNumberFormat="0" applyBorder="0" applyAlignment="0" applyProtection="0"/>
    <xf numFmtId="165" fontId="48" fillId="0" borderId="13" applyFont="0" applyFill="0" applyBorder="0" applyAlignment="0" applyProtection="0">
      <alignment horizontal="center" vertical="center"/>
      <protection locked="0"/>
    </xf>
    <xf numFmtId="0" fontId="49" fillId="0" borderId="0"/>
    <xf numFmtId="0" fontId="9" fillId="0" borderId="0">
      <alignment vertical="center" wrapText="1"/>
    </xf>
    <xf numFmtId="0" fontId="9" fillId="53" borderId="9" applyNumberFormat="0" applyFont="0" applyAlignment="0" applyProtection="0"/>
    <xf numFmtId="0" fontId="33" fillId="51" borderId="14" applyNumberFormat="0" applyAlignment="0" applyProtection="0"/>
    <xf numFmtId="0" fontId="9" fillId="0" borderId="0"/>
    <xf numFmtId="0" fontId="34" fillId="35" borderId="0" applyNumberFormat="0" applyBorder="0" applyAlignment="0" applyProtection="0"/>
    <xf numFmtId="0" fontId="47" fillId="0" borderId="0">
      <alignment horizontal="center"/>
    </xf>
    <xf numFmtId="0" fontId="47" fillId="55" borderId="0"/>
    <xf numFmtId="0" fontId="32" fillId="55" borderId="0"/>
    <xf numFmtId="0" fontId="50" fillId="0" borderId="0"/>
    <xf numFmtId="0" fontId="9" fillId="0" borderId="0"/>
    <xf numFmtId="0" fontId="9" fillId="0" borderId="0"/>
    <xf numFmtId="0" fontId="9" fillId="0" borderId="0"/>
    <xf numFmtId="0" fontId="9" fillId="0" borderId="0"/>
    <xf numFmtId="0" fontId="9" fillId="0" borderId="0"/>
    <xf numFmtId="0" fontId="9" fillId="0" borderId="0"/>
    <xf numFmtId="0" fontId="35" fillId="51" borderId="14" applyNumberFormat="0" applyAlignment="0" applyProtection="0"/>
    <xf numFmtId="0" fontId="9" fillId="0" borderId="0"/>
    <xf numFmtId="0" fontId="45" fillId="55" borderId="1">
      <alignment horizontal="center" vertical="center"/>
    </xf>
    <xf numFmtId="0" fontId="36" fillId="0" borderId="0" applyNumberForma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0" borderId="11" applyNumberFormat="0" applyFill="0" applyAlignment="0" applyProtection="0"/>
    <xf numFmtId="0" fontId="41" fillId="0" borderId="12" applyNumberFormat="0" applyFill="0" applyAlignment="0" applyProtection="0"/>
    <xf numFmtId="0" fontId="41" fillId="0" borderId="0" applyNumberFormat="0" applyFill="0" applyBorder="0" applyAlignment="0" applyProtection="0"/>
    <xf numFmtId="0" fontId="42" fillId="0" borderId="15" applyNumberFormat="0" applyFill="0" applyAlignment="0" applyProtection="0"/>
    <xf numFmtId="0" fontId="43" fillId="52" borderId="8" applyNumberFormat="0" applyAlignment="0" applyProtection="0"/>
    <xf numFmtId="0" fontId="44" fillId="0" borderId="0" applyNumberFormat="0" applyFill="0" applyBorder="0" applyAlignment="0" applyProtection="0"/>
    <xf numFmtId="0" fontId="9" fillId="0" borderId="0"/>
    <xf numFmtId="0" fontId="2" fillId="0" borderId="0"/>
    <xf numFmtId="0" fontId="9" fillId="0" borderId="0"/>
    <xf numFmtId="0" fontId="2" fillId="0" borderId="0"/>
    <xf numFmtId="0" fontId="9" fillId="0" borderId="0"/>
    <xf numFmtId="0" fontId="10" fillId="33" borderId="0"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6"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0" borderId="0" applyNumberFormat="0" applyBorder="0" applyAlignment="0" applyProtection="0"/>
    <xf numFmtId="0" fontId="10" fillId="41" borderId="0" applyNumberFormat="0" applyBorder="0" applyAlignment="0" applyProtection="0"/>
    <xf numFmtId="0" fontId="10" fillId="36"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2" fillId="43" borderId="0" applyNumberFormat="0" applyBorder="0" applyAlignment="0" applyProtection="0"/>
    <xf numFmtId="0" fontId="12" fillId="40" borderId="0" applyNumberFormat="0" applyBorder="0" applyAlignment="0" applyProtection="0"/>
    <xf numFmtId="0" fontId="12" fillId="41" borderId="0" applyNumberFormat="0" applyBorder="0" applyAlignment="0" applyProtection="0"/>
    <xf numFmtId="0" fontId="12" fillId="44" borderId="0" applyNumberFormat="0" applyBorder="0" applyAlignment="0" applyProtection="0"/>
    <xf numFmtId="0" fontId="12" fillId="45" borderId="0" applyNumberFormat="0" applyBorder="0" applyAlignment="0" applyProtection="0"/>
    <xf numFmtId="0" fontId="12" fillId="46"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12" fillId="49" borderId="0" applyNumberFormat="0" applyBorder="0" applyAlignment="0" applyProtection="0"/>
    <xf numFmtId="0" fontId="12" fillId="44" borderId="0" applyNumberFormat="0" applyBorder="0" applyAlignment="0" applyProtection="0"/>
    <xf numFmtId="0" fontId="12" fillId="45" borderId="0" applyNumberFormat="0" applyBorder="0" applyAlignment="0" applyProtection="0"/>
    <xf numFmtId="0" fontId="12" fillId="50" borderId="0" applyNumberFormat="0" applyBorder="0" applyAlignment="0" applyProtection="0"/>
    <xf numFmtId="0" fontId="14" fillId="0" borderId="0" applyNumberFormat="0" applyFill="0" applyBorder="0" applyAlignment="0" applyProtection="0"/>
    <xf numFmtId="0" fontId="16" fillId="51" borderId="6" applyNumberFormat="0" applyAlignment="0" applyProtection="0"/>
    <xf numFmtId="0" fontId="18" fillId="0" borderId="7" applyNumberFormat="0" applyFill="0" applyAlignment="0" applyProtection="0"/>
    <xf numFmtId="0" fontId="9" fillId="53" borderId="9" applyNumberFormat="0" applyFont="0" applyAlignment="0" applyProtection="0"/>
    <xf numFmtId="0" fontId="21" fillId="38" borderId="6" applyNumberFormat="0" applyAlignment="0" applyProtection="0"/>
    <xf numFmtId="166" fontId="9" fillId="0" borderId="0" applyFont="0" applyFill="0" applyBorder="0" applyAlignment="0" applyProtection="0"/>
    <xf numFmtId="0" fontId="28" fillId="34" borderId="0" applyNumberFormat="0" applyBorder="0" applyAlignment="0" applyProtection="0"/>
    <xf numFmtId="0" fontId="31" fillId="54" borderId="0" applyNumberFormat="0" applyBorder="0" applyAlignment="0" applyProtection="0"/>
    <xf numFmtId="0" fontId="10" fillId="0" borderId="0"/>
    <xf numFmtId="0" fontId="34" fillId="35" borderId="0" applyNumberFormat="0" applyBorder="0" applyAlignment="0" applyProtection="0"/>
    <xf numFmtId="0" fontId="35" fillId="51" borderId="14" applyNumberFormat="0" applyAlignment="0" applyProtection="0"/>
    <xf numFmtId="0" fontId="36"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0" borderId="11" applyNumberFormat="0" applyFill="0" applyAlignment="0" applyProtection="0"/>
    <xf numFmtId="0" fontId="41" fillId="0" borderId="12" applyNumberFormat="0" applyFill="0" applyAlignment="0" applyProtection="0"/>
    <xf numFmtId="0" fontId="41" fillId="0" borderId="0" applyNumberFormat="0" applyFill="0" applyBorder="0" applyAlignment="0" applyProtection="0"/>
    <xf numFmtId="0" fontId="51" fillId="0" borderId="15" applyNumberFormat="0" applyFill="0" applyAlignment="0" applyProtection="0"/>
    <xf numFmtId="0" fontId="43" fillId="52" borderId="8" applyNumberFormat="0" applyAlignment="0" applyProtection="0"/>
    <xf numFmtId="0" fontId="9" fillId="0" borderId="0"/>
    <xf numFmtId="9" fontId="9" fillId="0" borderId="0" applyFont="0" applyFill="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49" borderId="0" applyNumberFormat="0" applyBorder="0" applyAlignment="0" applyProtection="0"/>
    <xf numFmtId="0" fontId="13" fillId="44" borderId="0" applyNumberFormat="0" applyBorder="0" applyAlignment="0" applyProtection="0"/>
    <xf numFmtId="0" fontId="13" fillId="45" borderId="0" applyNumberFormat="0" applyBorder="0" applyAlignment="0" applyProtection="0"/>
    <xf numFmtId="0" fontId="13" fillId="50" borderId="0" applyNumberFormat="0" applyBorder="0" applyAlignment="0" applyProtection="0"/>
    <xf numFmtId="0" fontId="9" fillId="53" borderId="9" applyNumberFormat="0" applyFont="0" applyAlignment="0" applyProtection="0"/>
    <xf numFmtId="164" fontId="9" fillId="0" borderId="0" applyFont="0" applyFill="0" applyBorder="0" applyAlignment="0" applyProtection="0"/>
    <xf numFmtId="0" fontId="9" fillId="0" borderId="0">
      <alignment vertical="center" wrapText="1"/>
    </xf>
    <xf numFmtId="0" fontId="2" fillId="0" borderId="0"/>
    <xf numFmtId="0" fontId="2" fillId="0" borderId="0"/>
    <xf numFmtId="0" fontId="9" fillId="0" borderId="0"/>
    <xf numFmtId="0" fontId="42" fillId="0" borderId="15" applyNumberFormat="0" applyFill="0" applyAlignment="0" applyProtection="0"/>
    <xf numFmtId="0" fontId="2" fillId="0" borderId="0"/>
    <xf numFmtId="0" fontId="2" fillId="0" borderId="0"/>
    <xf numFmtId="9" fontId="9" fillId="0" borderId="0" applyFont="0" applyFill="0" applyBorder="0" applyAlignment="0" applyProtection="0"/>
    <xf numFmtId="0" fontId="2" fillId="0" borderId="0"/>
    <xf numFmtId="0" fontId="2" fillId="0" borderId="0"/>
    <xf numFmtId="0" fontId="9" fillId="0" borderId="0"/>
    <xf numFmtId="0" fontId="16" fillId="51" borderId="6" applyNumberFormat="0" applyAlignment="0" applyProtection="0"/>
    <xf numFmtId="0" fontId="17" fillId="51" borderId="6" applyNumberFormat="0" applyAlignment="0" applyProtection="0"/>
    <xf numFmtId="0" fontId="9" fillId="53" borderId="9" applyNumberFormat="0" applyFont="0" applyAlignment="0" applyProtection="0"/>
    <xf numFmtId="0" fontId="21" fillId="38" borderId="6" applyNumberFormat="0" applyAlignment="0" applyProtection="0"/>
    <xf numFmtId="0" fontId="46" fillId="0" borderId="1">
      <alignment vertical="center" wrapText="1"/>
    </xf>
    <xf numFmtId="0" fontId="27" fillId="38" borderId="6" applyNumberFormat="0" applyAlignment="0" applyProtection="0"/>
    <xf numFmtId="0" fontId="9" fillId="53" borderId="9" applyNumberFormat="0" applyFont="0" applyAlignment="0" applyProtection="0"/>
    <xf numFmtId="0" fontId="33" fillId="51" borderId="14" applyNumberFormat="0" applyAlignment="0" applyProtection="0"/>
    <xf numFmtId="0" fontId="35" fillId="51" borderId="14" applyNumberFormat="0" applyAlignment="0" applyProtection="0"/>
    <xf numFmtId="0" fontId="45" fillId="55" borderId="1">
      <alignment horizontal="center" vertical="center"/>
    </xf>
    <xf numFmtId="0" fontId="42" fillId="0" borderId="15" applyNumberFormat="0" applyFill="0" applyAlignment="0" applyProtection="0"/>
    <xf numFmtId="0" fontId="2" fillId="0" borderId="0"/>
    <xf numFmtId="0" fontId="2" fillId="0" borderId="0"/>
    <xf numFmtId="0" fontId="16" fillId="51" borderId="6" applyNumberFormat="0" applyAlignment="0" applyProtection="0"/>
    <xf numFmtId="0" fontId="9" fillId="53" borderId="9" applyNumberFormat="0" applyFont="0" applyAlignment="0" applyProtection="0"/>
    <xf numFmtId="0" fontId="21" fillId="38" borderId="6" applyNumberFormat="0" applyAlignment="0" applyProtection="0"/>
    <xf numFmtId="0" fontId="35" fillId="51" borderId="14" applyNumberFormat="0" applyAlignment="0" applyProtection="0"/>
    <xf numFmtId="0" fontId="51" fillId="0" borderId="15" applyNumberFormat="0" applyFill="0" applyAlignment="0" applyProtection="0"/>
    <xf numFmtId="0" fontId="9" fillId="53" borderId="9" applyNumberFormat="0" applyFont="0" applyAlignment="0" applyProtection="0"/>
    <xf numFmtId="0" fontId="2" fillId="0" borderId="0"/>
    <xf numFmtId="0" fontId="2" fillId="0" borderId="0"/>
    <xf numFmtId="0" fontId="42" fillId="0" borderId="15" applyNumberFormat="0" applyFill="0" applyAlignment="0" applyProtection="0"/>
    <xf numFmtId="0" fontId="2" fillId="0" borderId="0"/>
    <xf numFmtId="0" fontId="2" fillId="0" borderId="0"/>
    <xf numFmtId="0" fontId="2" fillId="0" borderId="0"/>
    <xf numFmtId="0" fontId="2" fillId="0" borderId="0"/>
    <xf numFmtId="0" fontId="16" fillId="51" borderId="6" applyNumberFormat="0" applyAlignment="0" applyProtection="0"/>
    <xf numFmtId="0" fontId="16" fillId="51" borderId="6" applyNumberFormat="0" applyAlignment="0" applyProtection="0"/>
    <xf numFmtId="0" fontId="17" fillId="51" borderId="6" applyNumberFormat="0" applyAlignment="0" applyProtection="0"/>
    <xf numFmtId="0" fontId="9" fillId="53" borderId="9" applyNumberFormat="0" applyFont="0" applyAlignment="0" applyProtection="0"/>
    <xf numFmtId="0" fontId="9" fillId="53" borderId="9" applyNumberFormat="0" applyFont="0" applyAlignment="0" applyProtection="0"/>
    <xf numFmtId="0" fontId="9" fillId="53" borderId="9" applyNumberFormat="0" applyFont="0" applyAlignment="0" applyProtection="0"/>
    <xf numFmtId="0" fontId="9" fillId="53" borderId="9" applyNumberFormat="0" applyFont="0" applyAlignment="0" applyProtection="0"/>
    <xf numFmtId="0" fontId="9" fillId="53" borderId="9" applyNumberFormat="0" applyFont="0" applyAlignment="0" applyProtection="0"/>
    <xf numFmtId="0" fontId="9" fillId="53" borderId="9" applyNumberFormat="0" applyFont="0" applyAlignment="0" applyProtection="0"/>
    <xf numFmtId="0" fontId="21" fillId="38" borderId="6" applyNumberFormat="0" applyAlignment="0" applyProtection="0"/>
    <xf numFmtId="0" fontId="21" fillId="38" borderId="6" applyNumberFormat="0" applyAlignment="0" applyProtection="0"/>
    <xf numFmtId="0" fontId="46" fillId="0" borderId="1">
      <alignment vertical="center" wrapText="1"/>
    </xf>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0" fontId="27" fillId="38" borderId="6" applyNumberFormat="0" applyAlignment="0" applyProtection="0"/>
    <xf numFmtId="0" fontId="2" fillId="0" borderId="0"/>
    <xf numFmtId="0" fontId="2" fillId="0" borderId="0"/>
    <xf numFmtId="0" fontId="9" fillId="53" borderId="9" applyNumberFormat="0" applyFont="0" applyAlignment="0" applyProtection="0"/>
    <xf numFmtId="0" fontId="33" fillId="51" borderId="14" applyNumberFormat="0" applyAlignment="0" applyProtection="0"/>
    <xf numFmtId="0" fontId="35" fillId="51" borderId="14" applyNumberFormat="0" applyAlignment="0" applyProtection="0"/>
    <xf numFmtId="0" fontId="35" fillId="51" borderId="14" applyNumberFormat="0" applyAlignment="0" applyProtection="0"/>
    <xf numFmtId="0" fontId="45" fillId="55" borderId="1">
      <alignment horizontal="center" vertical="center"/>
    </xf>
    <xf numFmtId="0" fontId="51" fillId="0" borderId="15" applyNumberFormat="0" applyFill="0" applyAlignment="0" applyProtection="0"/>
    <xf numFmtId="0" fontId="51" fillId="0" borderId="15" applyNumberFormat="0" applyFill="0" applyAlignment="0" applyProtection="0"/>
    <xf numFmtId="0" fontId="42" fillId="0" borderId="15" applyNumberFormat="0" applyFill="0" applyAlignment="0" applyProtection="0"/>
    <xf numFmtId="0" fontId="9" fillId="53" borderId="9" applyNumberFormat="0" applyFont="0" applyAlignment="0" applyProtection="0"/>
    <xf numFmtId="0" fontId="9" fillId="53" borderId="9" applyNumberFormat="0" applyFont="0" applyAlignment="0" applyProtection="0"/>
    <xf numFmtId="0" fontId="9" fillId="53" borderId="9" applyNumberFormat="0" applyFont="0" applyAlignment="0" applyProtection="0"/>
    <xf numFmtId="0" fontId="9" fillId="53" borderId="9" applyNumberFormat="0" applyFont="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0" fontId="2" fillId="0" borderId="0"/>
    <xf numFmtId="0" fontId="2" fillId="0" borderId="0"/>
    <xf numFmtId="0" fontId="9" fillId="53" borderId="9" applyNumberFormat="0" applyFont="0" applyAlignment="0" applyProtection="0"/>
    <xf numFmtId="166" fontId="9" fillId="0" borderId="0" applyFont="0" applyFill="0" applyBorder="0" applyAlignment="0" applyProtection="0"/>
    <xf numFmtId="0" fontId="2" fillId="0" borderId="0"/>
    <xf numFmtId="0" fontId="2" fillId="0" borderId="0"/>
    <xf numFmtId="0" fontId="9" fillId="53" borderId="9" applyNumberFormat="0" applyFont="0" applyAlignment="0" applyProtection="0"/>
    <xf numFmtId="0" fontId="9" fillId="53" borderId="9" applyNumberFormat="0" applyFont="0" applyAlignment="0" applyProtection="0"/>
    <xf numFmtId="166" fontId="9" fillId="0" borderId="0" applyFont="0" applyFill="0" applyBorder="0" applyAlignment="0" applyProtection="0"/>
    <xf numFmtId="166" fontId="9" fillId="0" borderId="0" applyFont="0" applyFill="0" applyBorder="0" applyAlignment="0" applyProtection="0"/>
    <xf numFmtId="0" fontId="2" fillId="0" borderId="0"/>
    <xf numFmtId="0" fontId="2" fillId="0" borderId="0"/>
    <xf numFmtId="0" fontId="9" fillId="53" borderId="9" applyNumberFormat="0" applyFont="0" applyAlignment="0" applyProtection="0"/>
    <xf numFmtId="166" fontId="9"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 fillId="33" borderId="0"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6"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0" borderId="0" applyNumberFormat="0" applyBorder="0" applyAlignment="0" applyProtection="0"/>
    <xf numFmtId="0" fontId="10" fillId="41" borderId="0" applyNumberFormat="0" applyBorder="0" applyAlignment="0" applyProtection="0"/>
    <xf numFmtId="0" fontId="10" fillId="36"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2" fillId="43" borderId="0" applyNumberFormat="0" applyBorder="0" applyAlignment="0" applyProtection="0"/>
    <xf numFmtId="0" fontId="12" fillId="40" borderId="0" applyNumberFormat="0" applyBorder="0" applyAlignment="0" applyProtection="0"/>
    <xf numFmtId="0" fontId="12" fillId="41" borderId="0" applyNumberFormat="0" applyBorder="0" applyAlignment="0" applyProtection="0"/>
    <xf numFmtId="0" fontId="12" fillId="44" borderId="0" applyNumberFormat="0" applyBorder="0" applyAlignment="0" applyProtection="0"/>
    <xf numFmtId="0" fontId="12" fillId="45" borderId="0" applyNumberFormat="0" applyBorder="0" applyAlignment="0" applyProtection="0"/>
    <xf numFmtId="0" fontId="12" fillId="46" borderId="0" applyNumberFormat="0" applyBorder="0" applyAlignment="0" applyProtection="0"/>
    <xf numFmtId="0" fontId="16" fillId="51" borderId="6" applyNumberFormat="0" applyAlignment="0" applyProtection="0"/>
    <xf numFmtId="0" fontId="18" fillId="0" borderId="7" applyNumberFormat="0" applyFill="0" applyAlignment="0" applyProtection="0"/>
    <xf numFmtId="0" fontId="43" fillId="52" borderId="8" applyNumberFormat="0" applyAlignment="0" applyProtection="0"/>
    <xf numFmtId="0" fontId="12" fillId="47" borderId="0" applyNumberFormat="0" applyBorder="0" applyAlignment="0" applyProtection="0"/>
    <xf numFmtId="0" fontId="12" fillId="48" borderId="0" applyNumberFormat="0" applyBorder="0" applyAlignment="0" applyProtection="0"/>
    <xf numFmtId="0" fontId="12" fillId="49" borderId="0" applyNumberFormat="0" applyBorder="0" applyAlignment="0" applyProtection="0"/>
    <xf numFmtId="0" fontId="12" fillId="44" borderId="0" applyNumberFormat="0" applyBorder="0" applyAlignment="0" applyProtection="0"/>
    <xf numFmtId="0" fontId="12" fillId="45" borderId="0" applyNumberFormat="0" applyBorder="0" applyAlignment="0" applyProtection="0"/>
    <xf numFmtId="0" fontId="12" fillId="50" borderId="0" applyNumberFormat="0" applyBorder="0" applyAlignment="0" applyProtection="0"/>
    <xf numFmtId="0" fontId="21" fillId="38" borderId="6" applyNumberFormat="0" applyAlignment="0" applyProtection="0"/>
    <xf numFmtId="0" fontId="31" fillId="54" borderId="0" applyNumberFormat="0" applyBorder="0" applyAlignment="0" applyProtection="0"/>
    <xf numFmtId="0" fontId="2" fillId="0" borderId="0"/>
    <xf numFmtId="0" fontId="2" fillId="0" borderId="0"/>
    <xf numFmtId="0" fontId="9" fillId="53" borderId="9" applyNumberFormat="0" applyFont="0" applyAlignment="0" applyProtection="0"/>
    <xf numFmtId="0" fontId="35" fillId="51" borderId="14" applyNumberFormat="0" applyAlignment="0" applyProtection="0"/>
    <xf numFmtId="0" fontId="14" fillId="0" borderId="0" applyNumberFormat="0" applyFill="0" applyBorder="0" applyAlignment="0" applyProtection="0"/>
    <xf numFmtId="0" fontId="36"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0" borderId="11" applyNumberFormat="0" applyFill="0" applyAlignment="0" applyProtection="0"/>
    <xf numFmtId="0" fontId="41" fillId="0" borderId="12" applyNumberFormat="0" applyFill="0" applyAlignment="0" applyProtection="0"/>
    <xf numFmtId="0" fontId="41" fillId="0" borderId="0" applyNumberFormat="0" applyFill="0" applyBorder="0" applyAlignment="0" applyProtection="0"/>
    <xf numFmtId="0" fontId="51" fillId="0" borderId="15" applyNumberFormat="0" applyFill="0" applyAlignment="0" applyProtection="0"/>
    <xf numFmtId="0" fontId="28" fillId="34" borderId="0" applyNumberFormat="0" applyBorder="0" applyAlignment="0" applyProtection="0"/>
    <xf numFmtId="0" fontId="34" fillId="35" borderId="0" applyNumberFormat="0" applyBorder="0" applyAlignment="0" applyProtection="0"/>
    <xf numFmtId="0" fontId="9" fillId="53" borderId="9" applyNumberFormat="0" applyFont="0" applyAlignment="0" applyProtection="0"/>
    <xf numFmtId="166" fontId="9" fillId="0" borderId="0" applyFont="0" applyFill="0" applyBorder="0" applyAlignment="0" applyProtection="0"/>
    <xf numFmtId="0" fontId="2" fillId="0" borderId="0"/>
    <xf numFmtId="0" fontId="2" fillId="0" borderId="0"/>
    <xf numFmtId="0" fontId="2" fillId="0" borderId="0"/>
    <xf numFmtId="0" fontId="3" fillId="6" borderId="2" applyNumberFormat="0" applyAlignment="0" applyProtection="0"/>
    <xf numFmtId="0" fontId="4" fillId="7" borderId="2" applyNumberFormat="0" applyAlignment="0" applyProtection="0"/>
    <xf numFmtId="0" fontId="5" fillId="0" borderId="3" applyNumberFormat="0" applyFill="0" applyAlignment="0" applyProtection="0"/>
    <xf numFmtId="0" fontId="7" fillId="0" borderId="0" applyNumberFormat="0" applyFill="0" applyBorder="0" applyAlignment="0" applyProtection="0"/>
    <xf numFmtId="0" fontId="2" fillId="8" borderId="4" applyNumberFormat="0" applyFont="0" applyAlignment="0" applyProtection="0"/>
    <xf numFmtId="0" fontId="1" fillId="0" borderId="5" applyNumberFormat="0" applyFill="0" applyAlignment="0" applyProtection="0"/>
    <xf numFmtId="0" fontId="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8" fillId="32" borderId="0" applyNumberFormat="0" applyBorder="0" applyAlignment="0" applyProtection="0"/>
    <xf numFmtId="44" fontId="2" fillId="0" borderId="0" applyFont="0" applyFill="0" applyBorder="0" applyAlignment="0" applyProtection="0"/>
    <xf numFmtId="0" fontId="9" fillId="0" borderId="0"/>
    <xf numFmtId="0" fontId="11" fillId="33" borderId="0" applyNumberFormat="0" applyBorder="0" applyAlignment="0" applyProtection="0"/>
    <xf numFmtId="0" fontId="11" fillId="34" borderId="0" applyNumberFormat="0" applyBorder="0" applyAlignment="0" applyProtection="0"/>
    <xf numFmtId="0" fontId="11" fillId="35" borderId="0" applyNumberFormat="0" applyBorder="0" applyAlignment="0" applyProtection="0"/>
    <xf numFmtId="0" fontId="11" fillId="36" borderId="0" applyNumberFormat="0" applyBorder="0" applyAlignment="0" applyProtection="0"/>
    <xf numFmtId="0" fontId="11" fillId="37" borderId="0" applyNumberFormat="0" applyBorder="0" applyAlignment="0" applyProtection="0"/>
    <xf numFmtId="0" fontId="11" fillId="38" borderId="0" applyNumberFormat="0" applyBorder="0" applyAlignment="0" applyProtection="0"/>
    <xf numFmtId="0" fontId="11" fillId="39" borderId="0" applyNumberFormat="0" applyBorder="0" applyAlignment="0" applyProtection="0"/>
    <xf numFmtId="0" fontId="11" fillId="40" borderId="0" applyNumberFormat="0" applyBorder="0" applyAlignment="0" applyProtection="0"/>
    <xf numFmtId="0" fontId="11" fillId="41" borderId="0" applyNumberFormat="0" applyBorder="0" applyAlignment="0" applyProtection="0"/>
    <xf numFmtId="0" fontId="11" fillId="36"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3" fillId="43" borderId="0" applyNumberFormat="0" applyBorder="0" applyAlignment="0" applyProtection="0"/>
    <xf numFmtId="0" fontId="13" fillId="40" borderId="0" applyNumberFormat="0" applyBorder="0" applyAlignment="0" applyProtection="0"/>
    <xf numFmtId="0" fontId="13" fillId="41" borderId="0" applyNumberFormat="0" applyBorder="0" applyAlignment="0" applyProtection="0"/>
    <xf numFmtId="0" fontId="13" fillId="44" borderId="0" applyNumberFormat="0" applyBorder="0" applyAlignment="0" applyProtection="0"/>
    <xf numFmtId="0" fontId="13" fillId="45" borderId="0" applyNumberFormat="0" applyBorder="0" applyAlignment="0" applyProtection="0"/>
    <xf numFmtId="0" fontId="13" fillId="46" borderId="0" applyNumberFormat="0" applyBorder="0" applyAlignment="0" applyProtection="0"/>
    <xf numFmtId="0" fontId="28" fillId="34" borderId="0" applyNumberFormat="0" applyBorder="0" applyAlignment="0" applyProtection="0"/>
    <xf numFmtId="0" fontId="29" fillId="0" borderId="7" applyNumberFormat="0" applyFill="0" applyAlignment="0" applyProtection="0"/>
    <xf numFmtId="0" fontId="31" fillId="54" borderId="0" applyNumberFormat="0" applyBorder="0" applyAlignment="0" applyProtection="0"/>
    <xf numFmtId="0" fontId="34" fillId="35" borderId="0" applyNumberFormat="0" applyBorder="0" applyAlignment="0" applyProtection="0"/>
    <xf numFmtId="0" fontId="36"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0" borderId="11" applyNumberFormat="0" applyFill="0" applyAlignment="0" applyProtection="0"/>
    <xf numFmtId="0" fontId="41" fillId="0" borderId="12" applyNumberFormat="0" applyFill="0" applyAlignment="0" applyProtection="0"/>
    <xf numFmtId="0" fontId="41" fillId="0" borderId="0" applyNumberFormat="0" applyFill="0" applyBorder="0" applyAlignment="0" applyProtection="0"/>
    <xf numFmtId="0" fontId="43" fillId="52" borderId="8" applyNumberFormat="0" applyAlignment="0" applyProtection="0"/>
    <xf numFmtId="0" fontId="44" fillId="0" borderId="0" applyNumberFormat="0" applyFill="0" applyBorder="0" applyAlignment="0" applyProtection="0"/>
    <xf numFmtId="0" fontId="2" fillId="0" borderId="0"/>
    <xf numFmtId="0" fontId="2" fillId="0" borderId="0"/>
    <xf numFmtId="9" fontId="9" fillId="0" borderId="0" applyFont="0" applyFill="0" applyBorder="0" applyAlignment="0" applyProtection="0"/>
    <xf numFmtId="0" fontId="15" fillId="34" borderId="0" applyNumberFormat="0" applyBorder="0" applyAlignment="0" applyProtection="0"/>
    <xf numFmtId="0" fontId="19" fillId="52" borderId="8" applyNumberFormat="0" applyAlignment="0" applyProtection="0"/>
    <xf numFmtId="0" fontId="22" fillId="0" borderId="0" applyNumberFormat="0" applyFill="0" applyBorder="0" applyAlignment="0" applyProtection="0"/>
    <xf numFmtId="0" fontId="23" fillId="35" borderId="0" applyNumberFormat="0" applyBorder="0" applyAlignment="0" applyProtection="0"/>
    <xf numFmtId="0" fontId="24" fillId="0" borderId="10" applyNumberFormat="0" applyFill="0" applyAlignment="0" applyProtection="0"/>
    <xf numFmtId="0" fontId="25" fillId="0" borderId="11" applyNumberFormat="0" applyFill="0" applyAlignment="0" applyProtection="0"/>
    <xf numFmtId="0" fontId="26" fillId="0" borderId="12" applyNumberFormat="0" applyFill="0" applyAlignment="0" applyProtection="0"/>
    <xf numFmtId="0" fontId="26" fillId="0" borderId="0" applyNumberFormat="0" applyFill="0" applyBorder="0" applyAlignment="0" applyProtection="0"/>
    <xf numFmtId="0" fontId="30" fillId="54" borderId="0" applyNumberFormat="0" applyBorder="0" applyAlignment="0" applyProtection="0"/>
    <xf numFmtId="0" fontId="37" fillId="0" borderId="0" applyNumberFormat="0" applyFill="0" applyBorder="0" applyAlignment="0" applyProtection="0"/>
    <xf numFmtId="0" fontId="9" fillId="0" borderId="0"/>
    <xf numFmtId="0" fontId="9" fillId="0" borderId="0"/>
    <xf numFmtId="0" fontId="2" fillId="0" borderId="0"/>
    <xf numFmtId="0" fontId="2" fillId="0" borderId="0"/>
    <xf numFmtId="0" fontId="9" fillId="53" borderId="9" applyNumberFormat="0" applyFont="0" applyAlignment="0" applyProtection="0"/>
    <xf numFmtId="166" fontId="9"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53" borderId="9" applyNumberFormat="0" applyFont="0" applyAlignment="0" applyProtection="0"/>
    <xf numFmtId="0" fontId="9" fillId="53" borderId="9" applyNumberFormat="0" applyFont="0" applyAlignment="0" applyProtection="0"/>
    <xf numFmtId="0" fontId="9" fillId="53" borderId="9" applyNumberFormat="0" applyFont="0" applyAlignment="0" applyProtection="0"/>
    <xf numFmtId="0" fontId="9" fillId="53" borderId="9" applyNumberFormat="0" applyFont="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0" fontId="2" fillId="0" borderId="0"/>
    <xf numFmtId="0" fontId="2" fillId="0" borderId="0"/>
    <xf numFmtId="0" fontId="9" fillId="53" borderId="9" applyNumberFormat="0" applyFont="0" applyAlignment="0" applyProtection="0"/>
    <xf numFmtId="166" fontId="9" fillId="0" borderId="0" applyFont="0" applyFill="0" applyBorder="0" applyAlignment="0" applyProtection="0"/>
    <xf numFmtId="0" fontId="2" fillId="0" borderId="0"/>
    <xf numFmtId="0" fontId="2" fillId="0" borderId="0"/>
    <xf numFmtId="0" fontId="9" fillId="53" borderId="9" applyNumberFormat="0" applyFont="0" applyAlignment="0" applyProtection="0"/>
    <xf numFmtId="0" fontId="9" fillId="53" borderId="9" applyNumberFormat="0" applyFont="0" applyAlignment="0" applyProtection="0"/>
    <xf numFmtId="166" fontId="9" fillId="0" borderId="0" applyFont="0" applyFill="0" applyBorder="0" applyAlignment="0" applyProtection="0"/>
    <xf numFmtId="166" fontId="9" fillId="0" borderId="0" applyFont="0" applyFill="0" applyBorder="0" applyAlignment="0" applyProtection="0"/>
    <xf numFmtId="0" fontId="2" fillId="0" borderId="0"/>
    <xf numFmtId="0" fontId="2" fillId="0" borderId="0"/>
    <xf numFmtId="0" fontId="9" fillId="53" borderId="9" applyNumberFormat="0" applyFont="0" applyAlignment="0" applyProtection="0"/>
    <xf numFmtId="166" fontId="9"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53" borderId="9" applyNumberFormat="0" applyFont="0" applyAlignment="0" applyProtection="0"/>
    <xf numFmtId="166" fontId="9" fillId="0" borderId="0" applyFont="0" applyFill="0" applyBorder="0" applyAlignment="0" applyProtection="0"/>
    <xf numFmtId="0" fontId="2" fillId="0" borderId="0"/>
    <xf numFmtId="0" fontId="2" fillId="0" borderId="0"/>
    <xf numFmtId="0" fontId="2" fillId="0" borderId="0"/>
    <xf numFmtId="0" fontId="2" fillId="8" borderId="4"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9" fillId="53" borderId="9" applyNumberFormat="0" applyFont="0" applyAlignment="0" applyProtection="0"/>
    <xf numFmtId="166" fontId="9" fillId="0" borderId="0" applyFont="0" applyFill="0" applyBorder="0" applyAlignment="0" applyProtection="0"/>
    <xf numFmtId="0" fontId="2" fillId="0" borderId="0"/>
    <xf numFmtId="0" fontId="2" fillId="0" borderId="0"/>
    <xf numFmtId="0" fontId="9" fillId="53" borderId="9" applyNumberFormat="0" applyFont="0" applyAlignment="0" applyProtection="0"/>
    <xf numFmtId="166" fontId="9"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4"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4"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9" fillId="53" borderId="9" applyNumberFormat="0" applyFont="0" applyAlignment="0" applyProtection="0"/>
    <xf numFmtId="166" fontId="9" fillId="0" borderId="0" applyFont="0" applyFill="0" applyBorder="0" applyAlignment="0" applyProtection="0"/>
    <xf numFmtId="0" fontId="2" fillId="0" borderId="0"/>
    <xf numFmtId="0" fontId="2" fillId="0" borderId="0"/>
    <xf numFmtId="0" fontId="2" fillId="0" borderId="0"/>
    <xf numFmtId="0" fontId="2" fillId="0" borderId="0"/>
    <xf numFmtId="0" fontId="9" fillId="0" borderId="0"/>
    <xf numFmtId="0" fontId="9" fillId="0" borderId="0"/>
    <xf numFmtId="0" fontId="12" fillId="47" borderId="0" applyNumberFormat="0" applyBorder="0" applyAlignment="0" applyProtection="0"/>
    <xf numFmtId="0" fontId="12" fillId="48" borderId="0" applyNumberFormat="0" applyBorder="0" applyAlignment="0" applyProtection="0"/>
    <xf numFmtId="0" fontId="12" fillId="49" borderId="0" applyNumberFormat="0" applyBorder="0" applyAlignment="0" applyProtection="0"/>
    <xf numFmtId="0" fontId="12" fillId="44" borderId="0" applyNumberFormat="0" applyBorder="0" applyAlignment="0" applyProtection="0"/>
    <xf numFmtId="0" fontId="12" fillId="45" borderId="0" applyNumberFormat="0" applyBorder="0" applyAlignment="0" applyProtection="0"/>
    <xf numFmtId="0" fontId="12" fillId="50" borderId="0" applyNumberFormat="0" applyBorder="0" applyAlignment="0" applyProtection="0"/>
    <xf numFmtId="0" fontId="9" fillId="53" borderId="9" applyNumberFormat="0" applyFont="0" applyAlignment="0" applyProtection="0"/>
    <xf numFmtId="0" fontId="9" fillId="53" borderId="9" applyNumberFormat="0" applyFont="0" applyAlignment="0" applyProtection="0"/>
    <xf numFmtId="166" fontId="9" fillId="0" borderId="0" applyFont="0" applyFill="0" applyBorder="0" applyAlignment="0" applyProtection="0"/>
    <xf numFmtId="166" fontId="9" fillId="0" borderId="0" applyFont="0" applyFill="0" applyBorder="0" applyAlignment="0" applyProtection="0"/>
    <xf numFmtId="164" fontId="9" fillId="0" borderId="0" applyFont="0" applyFill="0" applyBorder="0" applyAlignment="0" applyProtection="0"/>
    <xf numFmtId="166" fontId="9" fillId="0" borderId="0" applyFont="0" applyFill="0" applyBorder="0" applyAlignment="0" applyProtection="0"/>
    <xf numFmtId="0" fontId="53" fillId="0" borderId="0" applyNumberFormat="0" applyFill="0" applyBorder="0" applyAlignment="0" applyProtection="0">
      <alignment vertical="top"/>
      <protection locked="0"/>
    </xf>
    <xf numFmtId="0" fontId="9" fillId="0" borderId="0"/>
    <xf numFmtId="0" fontId="9" fillId="0" borderId="0"/>
    <xf numFmtId="0" fontId="10" fillId="0" borderId="0"/>
    <xf numFmtId="0" fontId="9" fillId="0" borderId="0"/>
    <xf numFmtId="0" fontId="9" fillId="0" borderId="0">
      <alignment vertical="center" wrapText="1"/>
    </xf>
    <xf numFmtId="0" fontId="10" fillId="0" borderId="0"/>
    <xf numFmtId="0" fontId="2" fillId="0" borderId="0"/>
    <xf numFmtId="0" fontId="2"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cellStyleXfs>
  <cellXfs count="22">
    <xf numFmtId="0" fontId="0" fillId="0" borderId="0" xfId="0"/>
    <xf numFmtId="49" fontId="0" fillId="0" borderId="0" xfId="0" applyNumberFormat="1"/>
    <xf numFmtId="0" fontId="0" fillId="0" borderId="0" xfId="0" applyAlignment="1">
      <alignment horizontal="center" vertical="center"/>
    </xf>
    <xf numFmtId="0" fontId="0" fillId="0" borderId="0" xfId="0" applyAlignment="1">
      <alignment vertical="center"/>
    </xf>
    <xf numFmtId="0" fontId="0" fillId="0" borderId="0" xfId="0"/>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1" fillId="2"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6" fillId="57" borderId="1" xfId="0" applyFont="1" applyFill="1" applyBorder="1" applyAlignment="1">
      <alignment horizontal="center" vertical="center" wrapText="1"/>
    </xf>
    <xf numFmtId="49" fontId="1" fillId="2" borderId="1" xfId="0" applyNumberFormat="1" applyFont="1" applyFill="1" applyBorder="1" applyAlignment="1">
      <alignment horizontal="left" vertical="center" wrapText="1"/>
    </xf>
    <xf numFmtId="167" fontId="6" fillId="3"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8" fillId="3"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56" borderId="1" xfId="0" applyFill="1" applyBorder="1" applyAlignment="1">
      <alignment horizontal="center" vertical="center" wrapText="1"/>
    </xf>
    <xf numFmtId="0" fontId="0" fillId="5" borderId="1" xfId="0" applyFill="1" applyBorder="1" applyAlignment="1">
      <alignment horizontal="center" vertical="center" wrapText="1"/>
    </xf>
    <xf numFmtId="0" fontId="52" fillId="58" borderId="1" xfId="0" applyFont="1" applyFill="1" applyBorder="1" applyAlignment="1">
      <alignment horizontal="center" vertical="center" wrapText="1"/>
    </xf>
    <xf numFmtId="0" fontId="52" fillId="0" borderId="1" xfId="0" applyFont="1" applyBorder="1" applyAlignment="1">
      <alignment horizontal="center" vertical="center" wrapText="1"/>
    </xf>
    <xf numFmtId="0" fontId="0" fillId="0" borderId="1" xfId="0" applyBorder="1"/>
    <xf numFmtId="0" fontId="0" fillId="59" borderId="1" xfId="0" quotePrefix="1" applyFill="1" applyBorder="1"/>
    <xf numFmtId="0" fontId="0" fillId="59" borderId="1" xfId="0" applyFill="1" applyBorder="1"/>
  </cellXfs>
  <cellStyles count="614">
    <cellStyle name="_x0004_" xfId="2" xr:uid="{DE5CDF8E-55A0-448F-B9F3-FD4A7F753030}"/>
    <cellStyle name="_x0004_ 2" xfId="145" xr:uid="{ECB40EB1-E8EC-47C9-9C87-FB8C355B9971}"/>
    <cellStyle name="_x0004_ 2 2" xfId="581" xr:uid="{8DF3BA8E-BA34-4D2F-AB33-60B4318A20A1}"/>
    <cellStyle name="_x0004_ 3" xfId="580" xr:uid="{8AB824EB-6B31-4149-9F95-53D1C29BA507}"/>
    <cellStyle name="20 % - Accent1 2" xfId="102" xr:uid="{3F7E240D-3956-4697-91D7-7B28F222F13D}"/>
    <cellStyle name="20 % - Accent1 3" xfId="303" xr:uid="{F2CB3424-B646-4AD0-95EE-9B02009E2133}"/>
    <cellStyle name="20 % - Accent1 3 2" xfId="435" xr:uid="{DE35646F-3F86-426D-A9A9-EEEDD4487862}"/>
    <cellStyle name="20 % - Accent1 3 2 2" xfId="555" xr:uid="{DF116913-0270-4EC3-84E0-F3812460A9F9}"/>
    <cellStyle name="20 % - Accent1 3 3" xfId="498" xr:uid="{670A0541-375F-4BCC-A8A6-DF662F89F86C}"/>
    <cellStyle name="20 % - Accent1 4" xfId="3" xr:uid="{D42607D2-B71B-499F-9D95-EF8982F04CF1}"/>
    <cellStyle name="20 % - Accent2 2" xfId="103" xr:uid="{7039046C-4B15-419F-99E1-8FC0B00BACF8}"/>
    <cellStyle name="20 % - Accent2 3" xfId="307" xr:uid="{1AE8B117-962C-4654-834E-DE05477F4305}"/>
    <cellStyle name="20 % - Accent2 3 2" xfId="437" xr:uid="{02C83A8D-B19F-4F03-9C8E-CD40911413F6}"/>
    <cellStyle name="20 % - Accent2 3 2 2" xfId="557" xr:uid="{39969426-FD73-4A6E-A2D9-6FEA36F34DDF}"/>
    <cellStyle name="20 % - Accent2 3 3" xfId="500" xr:uid="{6D742928-572B-4FAD-959F-C15B8D0E6EC5}"/>
    <cellStyle name="20 % - Accent2 4" xfId="4" xr:uid="{AB51B1A2-84A4-4215-9F81-641F4CDA3082}"/>
    <cellStyle name="20 % - Accent3 2" xfId="104" xr:uid="{998207FA-EE90-4314-8F3B-B6FCB695EEAB}"/>
    <cellStyle name="20 % - Accent3 3" xfId="311" xr:uid="{75ADD17A-23EA-4A73-B51A-BE8F1FEAB247}"/>
    <cellStyle name="20 % - Accent3 3 2" xfId="439" xr:uid="{F078A9D7-8904-4BFA-9E11-1A3131245697}"/>
    <cellStyle name="20 % - Accent3 3 2 2" xfId="559" xr:uid="{3785239F-9BBC-4DA0-BE22-857C50BB9359}"/>
    <cellStyle name="20 % - Accent3 3 3" xfId="502" xr:uid="{079FABD5-CA15-4904-9EAC-13A1523AA498}"/>
    <cellStyle name="20 % - Accent3 4" xfId="5" xr:uid="{048B48DC-93B9-4253-A881-6A24CA90DADA}"/>
    <cellStyle name="20 % - Accent4 2" xfId="105" xr:uid="{B103B1D1-3874-4548-BD0B-C1FBA9BEB44C}"/>
    <cellStyle name="20 % - Accent4 3" xfId="315" xr:uid="{1F58689E-A44C-4E54-878B-468DE94A328A}"/>
    <cellStyle name="20 % - Accent4 3 2" xfId="441" xr:uid="{3307BC69-987D-4886-B7C4-9DA5F7D0EA72}"/>
    <cellStyle name="20 % - Accent4 3 2 2" xfId="561" xr:uid="{245F1C86-AE4A-4F36-BE95-1EB47A6A9D84}"/>
    <cellStyle name="20 % - Accent4 3 3" xfId="504" xr:uid="{D5C3826B-4261-490C-BDAB-86B912ADC36C}"/>
    <cellStyle name="20 % - Accent4 4" xfId="6" xr:uid="{1C8A9408-7378-4EDF-BE37-3A7C81A9C117}"/>
    <cellStyle name="20 % - Accent5 2" xfId="106" xr:uid="{1401D232-D538-48BD-8965-385DCA4C2785}"/>
    <cellStyle name="20 % - Accent5 3" xfId="319" xr:uid="{0789C61A-B69A-406F-891B-752D610928B3}"/>
    <cellStyle name="20 % - Accent5 3 2" xfId="443" xr:uid="{1B5954A7-1AF5-450C-9FAF-7576D6438391}"/>
    <cellStyle name="20 % - Accent5 3 2 2" xfId="563" xr:uid="{8189F246-0DC8-4F7D-AAF2-F59548E1CADD}"/>
    <cellStyle name="20 % - Accent5 3 3" xfId="506" xr:uid="{A489096D-8A3B-4F17-8FF7-8520E2CE6443}"/>
    <cellStyle name="20 % - Accent5 4" xfId="7" xr:uid="{80939C2A-9BE9-4F58-82F6-4AF1BC42AE23}"/>
    <cellStyle name="20 % - Accent6 2" xfId="107" xr:uid="{2D6923F1-85E1-4F89-B6B5-A6813D3FDF82}"/>
    <cellStyle name="20 % - Accent6 3" xfId="323" xr:uid="{1542BD24-1C6B-4F18-9645-576390BA2FF8}"/>
    <cellStyle name="20 % - Accent6 3 2" xfId="445" xr:uid="{FF5566D5-CB51-4E79-B1A1-EB84200DCEC2}"/>
    <cellStyle name="20 % - Accent6 3 2 2" xfId="565" xr:uid="{3338DF72-91C5-4233-80A1-035DAF9AAA24}"/>
    <cellStyle name="20 % - Accent6 3 3" xfId="508" xr:uid="{4C86314F-481D-4303-AAA6-A30D5F1E4BEF}"/>
    <cellStyle name="20 % - Accent6 4" xfId="8" xr:uid="{CAA8A4D8-6927-4797-876A-1E496D339656}"/>
    <cellStyle name="20% - Accent1" xfId="9" xr:uid="{23279161-2604-4BBD-A3AF-B569C57731C3}"/>
    <cellStyle name="20% - Accent1 2" xfId="328" xr:uid="{592A8F96-79E6-4F8D-BC0A-4B6BE5475D27}"/>
    <cellStyle name="20% - Accent2" xfId="10" xr:uid="{0B31690F-E7CE-4730-85EC-9BCBEFDCD4E3}"/>
    <cellStyle name="20% - Accent2 2" xfId="329" xr:uid="{8ECA4846-D710-405E-80CF-76D0722BCEE8}"/>
    <cellStyle name="20% - Accent3" xfId="11" xr:uid="{AAA4B682-9BF6-4BFE-93E0-AB00F615B4D6}"/>
    <cellStyle name="20% - Accent3 2" xfId="330" xr:uid="{76015D0E-7E20-4F33-897F-8252A3DC01F8}"/>
    <cellStyle name="20% - Accent4" xfId="12" xr:uid="{9E51DA15-8F29-4AB9-A6F4-AD2AA7EA3425}"/>
    <cellStyle name="20% - Accent4 2" xfId="331" xr:uid="{D6C987C1-7492-4765-9ED0-28077C54287A}"/>
    <cellStyle name="20% - Accent5" xfId="13" xr:uid="{52F625EA-1C53-46B6-809A-96D0725571E1}"/>
    <cellStyle name="20% - Accent5 2" xfId="332" xr:uid="{5EE35D0C-2C5C-4BF3-BCA9-1392D71885C1}"/>
    <cellStyle name="20% - Accent6" xfId="14" xr:uid="{A014079F-264F-4A1F-8BA9-7DEB3C53ABF6}"/>
    <cellStyle name="20% - Accent6 2" xfId="333" xr:uid="{5C5484EF-F11A-41E7-B34B-6946AA075214}"/>
    <cellStyle name="20% - Colore 1" xfId="248" xr:uid="{7B550C62-A3F5-493F-8339-69D31BB8B5D8}"/>
    <cellStyle name="20% - Colore 2" xfId="249" xr:uid="{E5EAB795-7AE9-4BBD-A279-7E888A9CBF4F}"/>
    <cellStyle name="20% - Colore 3" xfId="250" xr:uid="{CED38BA5-FF59-410A-A752-DAD12AEC0418}"/>
    <cellStyle name="20% - Colore 4" xfId="251" xr:uid="{A81DA0F3-FEBE-4BEB-87B2-E446FF42F3AC}"/>
    <cellStyle name="20% - Colore 5" xfId="252" xr:uid="{64E5EED2-EB5E-4AA2-B152-9FBB7AA600F5}"/>
    <cellStyle name="20% - Colore 6" xfId="253" xr:uid="{826968F8-76B5-49C6-A59B-CD4D64986285}"/>
    <cellStyle name="40 % - Accent1 2" xfId="108" xr:uid="{81C9E863-DCB1-43CC-B9B0-A5F2AF400814}"/>
    <cellStyle name="40 % - Accent1 3" xfId="304" xr:uid="{BEAD68FB-4626-4BF7-80BD-A1901A892FD3}"/>
    <cellStyle name="40 % - Accent1 3 2" xfId="436" xr:uid="{CE5E26BE-1ECE-46C7-A85B-2687358B0C88}"/>
    <cellStyle name="40 % - Accent1 3 2 2" xfId="556" xr:uid="{59EA9868-40C1-4FA0-87B4-F66E9A33DD7E}"/>
    <cellStyle name="40 % - Accent1 3 3" xfId="499" xr:uid="{AB01E8A9-D526-46A9-BBE8-6370255D42CF}"/>
    <cellStyle name="40 % - Accent1 4" xfId="15" xr:uid="{4F4A0DF1-91E0-4DE6-A8CD-B467F02F00B7}"/>
    <cellStyle name="40 % - Accent2 2" xfId="109" xr:uid="{ED3B5B9A-950D-452C-BAC7-843871138380}"/>
    <cellStyle name="40 % - Accent2 3" xfId="308" xr:uid="{CF115BE8-EFC8-4B24-B862-D76684B8815C}"/>
    <cellStyle name="40 % - Accent2 3 2" xfId="438" xr:uid="{F8458635-8962-4E42-9890-2B68C5DA7C3C}"/>
    <cellStyle name="40 % - Accent2 3 2 2" xfId="558" xr:uid="{69E5C7E9-4E05-4AC6-9D1C-BF80522DBE45}"/>
    <cellStyle name="40 % - Accent2 3 3" xfId="501" xr:uid="{30C7581F-EB90-4BE9-848B-E2A68B4F3F72}"/>
    <cellStyle name="40 % - Accent2 4" xfId="16" xr:uid="{7E18C82F-C97B-45FB-88FA-8849548B07A3}"/>
    <cellStyle name="40 % - Accent3 2" xfId="110" xr:uid="{38508F2D-1640-4CF8-A081-3FCCAE9F8A04}"/>
    <cellStyle name="40 % - Accent3 3" xfId="312" xr:uid="{222F70CD-8CDB-4533-A896-C817015A7766}"/>
    <cellStyle name="40 % - Accent3 3 2" xfId="440" xr:uid="{B9AE7FE4-FB2F-45E3-8B4F-2C8927857D4F}"/>
    <cellStyle name="40 % - Accent3 3 2 2" xfId="560" xr:uid="{DA2D6A3C-3D16-48A1-96E1-C6899A99FBA5}"/>
    <cellStyle name="40 % - Accent3 3 3" xfId="503" xr:uid="{4AD07F3C-8BA4-44F9-8D67-C427433A57AC}"/>
    <cellStyle name="40 % - Accent3 4" xfId="17" xr:uid="{9A8F0FDA-B174-41DD-BACB-D50785A32179}"/>
    <cellStyle name="40 % - Accent4 2" xfId="111" xr:uid="{3C136AFD-009F-49DA-836F-F36A2C85108E}"/>
    <cellStyle name="40 % - Accent4 3" xfId="316" xr:uid="{DE512A42-FFF2-4308-8660-1495DDD726EC}"/>
    <cellStyle name="40 % - Accent4 3 2" xfId="442" xr:uid="{A12D89E2-E4F9-4A55-92D1-0E078437C3F3}"/>
    <cellStyle name="40 % - Accent4 3 2 2" xfId="562" xr:uid="{5D2DB992-F78A-4541-9519-0E4B0BD7C8B7}"/>
    <cellStyle name="40 % - Accent4 3 3" xfId="505" xr:uid="{4D43E54B-0EF1-4ECD-8616-5420C7345A67}"/>
    <cellStyle name="40 % - Accent4 4" xfId="18" xr:uid="{891CC555-D942-4111-8629-D2787122B98B}"/>
    <cellStyle name="40 % - Accent5 2" xfId="112" xr:uid="{1F49B710-7074-42B5-A0CD-590807A56883}"/>
    <cellStyle name="40 % - Accent5 3" xfId="320" xr:uid="{66328084-08EE-4B9B-8A3A-9A1BE67C9D6D}"/>
    <cellStyle name="40 % - Accent5 3 2" xfId="444" xr:uid="{1514CBAD-C072-4AB1-8840-7A41DB860D00}"/>
    <cellStyle name="40 % - Accent5 3 2 2" xfId="564" xr:uid="{1B56098B-05D9-4B9F-AE01-66044E536339}"/>
    <cellStyle name="40 % - Accent5 3 3" xfId="507" xr:uid="{C874F665-9AA7-449F-BA3A-4287806DCCC7}"/>
    <cellStyle name="40 % - Accent5 4" xfId="19" xr:uid="{4CD9BF4E-246E-415D-99B5-12B261A73593}"/>
    <cellStyle name="40 % - Accent6 2" xfId="113" xr:uid="{6B66287D-C7AE-4A72-8567-A0469CE63556}"/>
    <cellStyle name="40 % - Accent6 3" xfId="324" xr:uid="{5BFC0060-009D-4994-B468-673A14D3E3E2}"/>
    <cellStyle name="40 % - Accent6 3 2" xfId="446" xr:uid="{51914B34-FD9F-4C23-A119-7A09A0CC71EA}"/>
    <cellStyle name="40 % - Accent6 3 2 2" xfId="566" xr:uid="{5B2FDBAC-B057-4DA6-BF9B-A7A2644E2D4E}"/>
    <cellStyle name="40 % - Accent6 3 3" xfId="509" xr:uid="{C5BB17CE-4682-4BFB-BDFD-490BE25485B2}"/>
    <cellStyle name="40 % - Accent6 4" xfId="20" xr:uid="{8AC12AE0-30B6-4BCF-AF8E-B5D5666D084C}"/>
    <cellStyle name="40% - Accent1" xfId="21" xr:uid="{65422D61-8937-4413-BBD7-2CBF20F46C5D}"/>
    <cellStyle name="40% - Accent1 2" xfId="334" xr:uid="{B488F3CA-2375-407F-AE56-F91191173785}"/>
    <cellStyle name="40% - Accent2" xfId="22" xr:uid="{A6A26C4A-395A-4680-85C7-76390DED6279}"/>
    <cellStyle name="40% - Accent2 2" xfId="335" xr:uid="{4369CC1D-4288-4F86-80C8-BDD3741AF7FF}"/>
    <cellStyle name="40% - Accent3" xfId="23" xr:uid="{92178DBB-1BBC-42F9-B618-D0B2058E015D}"/>
    <cellStyle name="40% - Accent3 2" xfId="336" xr:uid="{3C82C481-AE7F-4C7A-9B7A-F6CFF78AD8BB}"/>
    <cellStyle name="40% - Accent4" xfId="24" xr:uid="{7214B0F8-FBE9-4A97-BB49-A5A5BF42ABF3}"/>
    <cellStyle name="40% - Accent4 2" xfId="337" xr:uid="{901A2421-23E1-497E-8336-39EAE8CC4FFB}"/>
    <cellStyle name="40% - Accent5" xfId="25" xr:uid="{951DE548-6DDD-48ED-A606-D95818963794}"/>
    <cellStyle name="40% - Accent5 2" xfId="338" xr:uid="{CF2FD6BF-C881-4605-A703-C5A2FD4AC5B8}"/>
    <cellStyle name="40% - Accent6" xfId="26" xr:uid="{226990D4-43DC-487B-A022-1110F60E3674}"/>
    <cellStyle name="40% - Accent6 2" xfId="339" xr:uid="{F4A2B94B-D1CF-4D94-BE38-5D74FC8BD66C}"/>
    <cellStyle name="40% - Colore 1" xfId="254" xr:uid="{2B8EE9D0-E704-4251-829F-F95210CD2D00}"/>
    <cellStyle name="40% - Colore 2" xfId="255" xr:uid="{FEC43D69-10A4-4AE3-9DA6-CCF6B9302745}"/>
    <cellStyle name="40% - Colore 3" xfId="256" xr:uid="{281CEFE9-A245-4C95-958A-92FA90D743AD}"/>
    <cellStyle name="40% - Colore 4" xfId="257" xr:uid="{1AE98FD8-2D38-4A0B-A82B-F898AC810876}"/>
    <cellStyle name="40% - Colore 5" xfId="258" xr:uid="{61176CA2-5C7E-4A66-AAD6-224F7EA5616F}"/>
    <cellStyle name="40% - Colore 6" xfId="259" xr:uid="{75A7518C-B873-430B-951D-8CD639FF3D6C}"/>
    <cellStyle name="60 % - Accent1 2" xfId="114" xr:uid="{B6B4306B-17A4-4366-B605-9434DAFDA62F}"/>
    <cellStyle name="60 % - Accent1 3" xfId="305" xr:uid="{200640F7-BDA8-4E14-8FB4-9A1C7589A220}"/>
    <cellStyle name="60 % - Accent1 4" xfId="27" xr:uid="{81C2B406-B953-4BE3-BFF7-DD87A0CA6AED}"/>
    <cellStyle name="60 % - Accent2 2" xfId="115" xr:uid="{73282332-595F-4FA1-B4F8-A41AD5E5E283}"/>
    <cellStyle name="60 % - Accent2 3" xfId="309" xr:uid="{0367CE58-A994-48FE-9195-43C46F7057A9}"/>
    <cellStyle name="60 % - Accent2 4" xfId="28" xr:uid="{E1ED830B-5BFE-4B4D-BD1A-B4FAB24FFD50}"/>
    <cellStyle name="60 % - Accent3 2" xfId="116" xr:uid="{9133BD70-81C8-42DB-A361-62123B46A5FB}"/>
    <cellStyle name="60 % - Accent3 3" xfId="313" xr:uid="{F73487E3-2174-49E5-B5ED-BDAFF53A3FA4}"/>
    <cellStyle name="60 % - Accent3 4" xfId="29" xr:uid="{FDD6705C-E478-4D2A-A775-4CE448395F9B}"/>
    <cellStyle name="60 % - Accent4 2" xfId="117" xr:uid="{FB0CAC1A-ED10-4C7E-A609-7C8EBE87E2AD}"/>
    <cellStyle name="60 % - Accent4 3" xfId="317" xr:uid="{CB064370-EE72-4EDB-BB99-9A1D41933C5F}"/>
    <cellStyle name="60 % - Accent4 4" xfId="30" xr:uid="{F18D3744-E337-4BF7-974A-589D501D4CB4}"/>
    <cellStyle name="60 % - Accent5 2" xfId="118" xr:uid="{CB62C6F8-8B5A-4EB4-AF61-E04B136D64B7}"/>
    <cellStyle name="60 % - Accent5 3" xfId="321" xr:uid="{4E83508B-B3E4-4F10-B073-62586D11CB5B}"/>
    <cellStyle name="60 % - Accent5 4" xfId="31" xr:uid="{6F8038FE-24D1-4D10-9F79-937E1F7EAAF4}"/>
    <cellStyle name="60 % - Accent6 2" xfId="119" xr:uid="{907B271F-6503-4657-B121-64034625634D}"/>
    <cellStyle name="60 % - Accent6 3" xfId="325" xr:uid="{13CC822E-FA78-48F7-B54A-FD286898B30B}"/>
    <cellStyle name="60 % - Accent6 4" xfId="32" xr:uid="{0DCA1242-CCB3-460E-846D-23F4F04526FF}"/>
    <cellStyle name="60% - Accent1" xfId="33" xr:uid="{320896ED-798B-485E-A70D-1EE703B823D5}"/>
    <cellStyle name="60% - Accent1 2" xfId="340" xr:uid="{8A302998-3C86-4EFF-BC45-134611D85212}"/>
    <cellStyle name="60% - Accent2" xfId="34" xr:uid="{5C223DBB-9562-45B3-9677-D3616B601181}"/>
    <cellStyle name="60% - Accent2 2" xfId="341" xr:uid="{0DA0FD6B-D502-45A7-B7FF-1DCF8E3F03D3}"/>
    <cellStyle name="60% - Accent3" xfId="35" xr:uid="{1A72DA81-0A61-4BAD-A344-4BACF6C0E550}"/>
    <cellStyle name="60% - Accent3 2" xfId="342" xr:uid="{17C223D2-7B0F-4115-8AAA-C7129ABA348E}"/>
    <cellStyle name="60% - Accent4" xfId="36" xr:uid="{D74416BD-5215-49FB-91FD-6A7E60F7F413}"/>
    <cellStyle name="60% - Accent4 2" xfId="343" xr:uid="{65158170-B1E5-4463-886F-4268A641D0DF}"/>
    <cellStyle name="60% - Accent5" xfId="37" xr:uid="{A28F4168-0015-4A2C-9817-98FA7B53DCD5}"/>
    <cellStyle name="60% - Accent5 2" xfId="344" xr:uid="{64B64C9D-85C8-4F41-B909-5B5B7484E274}"/>
    <cellStyle name="60% - Accent6" xfId="38" xr:uid="{09AF0751-F6A7-4D82-9013-0D1D00BB46A0}"/>
    <cellStyle name="60% - Accent6 2" xfId="345" xr:uid="{237CA119-670E-4C7C-9315-BF98064FB436}"/>
    <cellStyle name="60% - Colore 1" xfId="260" xr:uid="{30980EE7-B1DB-4D73-9AED-7523AE86D492}"/>
    <cellStyle name="60% - Colore 2" xfId="261" xr:uid="{A620A4AF-5B9B-4264-B2CC-9B05F82457DD}"/>
    <cellStyle name="60% - Colore 3" xfId="262" xr:uid="{D78EB78E-A350-48DF-8021-97ECF7A53377}"/>
    <cellStyle name="60% - Colore 4" xfId="263" xr:uid="{97B98EAC-C781-470C-B023-49D2E066C3AB}"/>
    <cellStyle name="60% - Colore 5" xfId="264" xr:uid="{7406E4E7-C2E5-412D-8DCC-7162DD194C1E}"/>
    <cellStyle name="60% - Colore 6" xfId="265" xr:uid="{B36F4B75-8092-4CB0-AD1B-2EBEE17B8945}"/>
    <cellStyle name="Accent1 2" xfId="120" xr:uid="{ED114B2E-D4EF-417A-BF8E-44C3E2A6E4E4}"/>
    <cellStyle name="Accent1 3" xfId="147" xr:uid="{6D77AB86-11F9-48A1-9DD0-73733C544882}"/>
    <cellStyle name="Accent1 4" xfId="302" xr:uid="{4240C213-610E-4C74-81F4-AA8CA75D0A8A}"/>
    <cellStyle name="Accent1 4 2" xfId="582" xr:uid="{C4D8342E-EE0B-4EA0-BDEE-FF4BA77485A5}"/>
    <cellStyle name="Accent1 5" xfId="39" xr:uid="{91440424-5E6B-4AB8-9EE6-D18811197568}"/>
    <cellStyle name="Accent2 2" xfId="121" xr:uid="{66A3197E-3A63-4AC2-B76D-A8EC7DB1B446}"/>
    <cellStyle name="Accent2 3" xfId="148" xr:uid="{47C6558B-DF08-404B-A5DB-CFAC6121BA8E}"/>
    <cellStyle name="Accent2 4" xfId="306" xr:uid="{A5179460-175B-4FF8-A0EC-D7E98A11460F}"/>
    <cellStyle name="Accent2 4 2" xfId="583" xr:uid="{8A3CCE52-D8DE-48CB-8B3C-D795CA6F0724}"/>
    <cellStyle name="Accent2 5" xfId="40" xr:uid="{B0CCF25D-E717-4725-B54A-790E3DD0DB1E}"/>
    <cellStyle name="Accent3 2" xfId="122" xr:uid="{54421A4B-4566-4912-962A-F5F82AB85B6B}"/>
    <cellStyle name="Accent3 3" xfId="149" xr:uid="{FEC77742-7B47-4CF8-B55E-827D2EA96E6D}"/>
    <cellStyle name="Accent3 4" xfId="310" xr:uid="{F6DADC7B-313C-4EBE-BD79-CB21A8EDD0B8}"/>
    <cellStyle name="Accent3 4 2" xfId="584" xr:uid="{47118A6F-D6F9-4442-B888-23300B4D5B9C}"/>
    <cellStyle name="Accent3 5" xfId="41" xr:uid="{EE0425CA-E27E-4DE7-8FC2-267898718E35}"/>
    <cellStyle name="Accent4 2" xfId="123" xr:uid="{79ECED43-E4EB-44EC-AA63-374865CEAA51}"/>
    <cellStyle name="Accent4 3" xfId="150" xr:uid="{055873DD-D8BA-4BB0-9CC8-5677B205B3A0}"/>
    <cellStyle name="Accent4 4" xfId="314" xr:uid="{E26B7833-7331-47B1-B946-22186AE61BFB}"/>
    <cellStyle name="Accent4 4 2" xfId="585" xr:uid="{7D3786D5-A43F-40FC-8BD9-5C72381FDEEB}"/>
    <cellStyle name="Accent4 5" xfId="42" xr:uid="{F9921FE5-CF29-40E9-A9D5-87C72C33174B}"/>
    <cellStyle name="Accent5 2" xfId="124" xr:uid="{2384D5F0-C2CA-4D63-B547-8C00F9E43FCD}"/>
    <cellStyle name="Accent5 3" xfId="151" xr:uid="{4191F025-F1E4-4408-A5CE-9F60F0B34294}"/>
    <cellStyle name="Accent5 4" xfId="318" xr:uid="{4706665B-1DBB-499A-ADFD-649518FE36C0}"/>
    <cellStyle name="Accent5 4 2" xfId="586" xr:uid="{0E633C28-2BD7-4092-B1E6-4B7DA32B3FF9}"/>
    <cellStyle name="Accent5 5" xfId="43" xr:uid="{F0A2D66E-A910-4CAF-A380-509F042B34FA}"/>
    <cellStyle name="Accent6 2" xfId="125" xr:uid="{F5531FF3-59DB-4B27-9E1B-B3271CB3F5A3}"/>
    <cellStyle name="Accent6 3" xfId="152" xr:uid="{50847BE8-BFDC-49D3-8D16-0052F0F03910}"/>
    <cellStyle name="Accent6 4" xfId="322" xr:uid="{A9E06CA0-A116-4E38-8911-5F1919A3D8D1}"/>
    <cellStyle name="Accent6 4 2" xfId="587" xr:uid="{58DACE17-2F0B-4DA9-96C4-6543635E8245}"/>
    <cellStyle name="Accent6 5" xfId="44" xr:uid="{CE5D7E43-9E39-4E59-8E61-37C6E6F2C385}"/>
    <cellStyle name="Avertissement 2" xfId="126" xr:uid="{DCEC797B-7D11-4EE5-8019-AD1D3E395814}"/>
    <cellStyle name="Avertissement 3" xfId="299" xr:uid="{3D0B4AE8-88AB-422F-A2DC-D8A6F1A7C1F9}"/>
    <cellStyle name="Avertissement 4" xfId="45" xr:uid="{F0F73836-9AA0-469E-988B-559CF7B41565}"/>
    <cellStyle name="Bad" xfId="46" xr:uid="{CB0DB2E5-FB96-469A-A7A8-CEC72FBB9CB2}"/>
    <cellStyle name="Bad 2" xfId="346" xr:uid="{7CBBDA58-6757-4A04-8027-4E0B00678F98}"/>
    <cellStyle name="Bad 3" xfId="361" xr:uid="{DAA0B75C-8F62-43C2-BA26-C462D8CDC2BF}"/>
    <cellStyle name="Calcolo" xfId="266" xr:uid="{9D89C911-67AE-439D-AEFB-CD176E0B2EB3}"/>
    <cellStyle name="Calcul 2" xfId="127" xr:uid="{D03DA483-2B7B-45EF-BC4D-6C3584658C7B}"/>
    <cellStyle name="Calcul 2 2" xfId="193" xr:uid="{FBAA87CD-78F2-48BC-9861-E38D6EB06DCB}"/>
    <cellStyle name="Calcul 2 3" xfId="179" xr:uid="{1C1322DC-1815-4A33-89F5-B406B2A8C784}"/>
    <cellStyle name="Calcul 3" xfId="192" xr:uid="{D29EC9A3-6764-410B-B40F-1F9C28B1068A}"/>
    <cellStyle name="Calcul 4" xfId="166" xr:uid="{E7739419-5E59-4677-974E-C9C6483C0890}"/>
    <cellStyle name="Calcul 5" xfId="297" xr:uid="{9E123380-145C-4B2D-8B40-E57D03C86B66}"/>
    <cellStyle name="Calcul 6" xfId="47" xr:uid="{FBB373A1-B9AC-4CAF-BAF3-2DE8FDADB86A}"/>
    <cellStyle name="Calculation" xfId="48" xr:uid="{39010D56-F9B6-47F4-8AAB-DEBDE70EF6F5}"/>
    <cellStyle name="Calculation 2" xfId="194" xr:uid="{5B93FED9-8A1D-4052-BA1F-305F302F18B0}"/>
    <cellStyle name="Calculation 3" xfId="167" xr:uid="{782E5437-A9C1-43E0-8BDC-0C4AAFE750CB}"/>
    <cellStyle name="Cella collegata" xfId="267" xr:uid="{58FD07EE-CC3F-49AC-96FC-557590E0857C}"/>
    <cellStyle name="Cella da controllare" xfId="268" xr:uid="{4752CC1D-F1D4-4ABC-B571-FE2F8AB702DF}"/>
    <cellStyle name="Cellule liée 2" xfId="128" xr:uid="{9CAFBECC-7A04-4F21-B36F-376D5CA57FD8}"/>
    <cellStyle name="Cellule liée 3" xfId="298" xr:uid="{4C9D9B17-2121-4BB0-A78C-8010A4826E99}"/>
    <cellStyle name="Cellule liée 4" xfId="49" xr:uid="{F1444F15-4C41-49B6-B126-A5B42650B2ED}"/>
    <cellStyle name="Check Cell" xfId="50" xr:uid="{B337C601-B108-42D3-B1F0-AAE4DFED2F30}"/>
    <cellStyle name="Check Cell 2" xfId="356" xr:uid="{0E371B05-83F5-4136-9A4B-62A87A6390AB}"/>
    <cellStyle name="Check Cell 3" xfId="362" xr:uid="{ED994193-9887-4AE2-BB98-146A6B993E06}"/>
    <cellStyle name="Colore 1" xfId="269" xr:uid="{6A4CF89F-F108-436B-8EE4-3ADF9ED78CBD}"/>
    <cellStyle name="Colore 2" xfId="270" xr:uid="{5231770B-905F-4C96-A899-6CCDF1C9FED2}"/>
    <cellStyle name="Colore 3" xfId="271" xr:uid="{5D3D5A20-333C-4DA0-968D-92E60EA23AA3}"/>
    <cellStyle name="Colore 4" xfId="272" xr:uid="{A1269624-7140-4BC5-8B9D-DDA48852970A}"/>
    <cellStyle name="Colore 5" xfId="273" xr:uid="{771952F2-4E7A-4B7C-9AC8-CADC5752ACF1}"/>
    <cellStyle name="Colore 6" xfId="274" xr:uid="{89BC2290-BD3C-442B-82BD-BA4CCB64F735}"/>
    <cellStyle name="Commentaire 10" xfId="232" xr:uid="{16826DFB-3F78-4AAC-B3CB-781F05865FAA}"/>
    <cellStyle name="Commentaire 10 2" xfId="411" xr:uid="{E5577818-65C9-4BD3-94EA-549E0ABD2126}"/>
    <cellStyle name="Commentaire 11" xfId="291" xr:uid="{BBFB190B-3BA0-487B-932C-38E88F8AA968}"/>
    <cellStyle name="Commentaire 11 2" xfId="429" xr:uid="{EFA8F48A-C710-4EE7-92EC-CADEEB37683F}"/>
    <cellStyle name="Commentaire 12" xfId="300" xr:uid="{0C45442D-BE8E-4F01-A6B0-2F3759B73B61}"/>
    <cellStyle name="Commentaire 12 2" xfId="434" xr:uid="{ECBB085B-DBEA-4949-B213-A39578D6738E}"/>
    <cellStyle name="Commentaire 12 2 2" xfId="554" xr:uid="{76CF00B6-D449-4362-8174-69EE2B7D2929}"/>
    <cellStyle name="Commentaire 12 3" xfId="497" xr:uid="{7423CEBE-61C8-4BD6-9B28-05E581AB42A4}"/>
    <cellStyle name="Commentaire 13" xfId="375" xr:uid="{637E496D-EF18-4512-B062-20F33517B54B}"/>
    <cellStyle name="Commentaire 13 2" xfId="452" xr:uid="{4B2DBA18-421C-4436-9AF4-2CD648F753D9}"/>
    <cellStyle name="Commentaire 14" xfId="456" xr:uid="{BD78DA40-C85C-4041-A381-536A8105CE58}"/>
    <cellStyle name="Commentaire 14 2" xfId="574" xr:uid="{9A774762-DF31-4DAA-A3F6-6D89E95E6CBB}"/>
    <cellStyle name="Commentaire 15" xfId="51" xr:uid="{51AA35EF-7BE2-4002-825A-744510E6EEF0}"/>
    <cellStyle name="Commentaire 2" xfId="129" xr:uid="{94B5098B-43F9-4A73-A21A-4D722E5DDC4B}"/>
    <cellStyle name="Commentaire 2 2" xfId="196" xr:uid="{3584F99F-D761-4E52-B0C9-20AA5465088A}"/>
    <cellStyle name="Commentaire 2 3" xfId="180" xr:uid="{DD0FEA9B-CFD7-49F8-89D3-88F93ECF04BB}"/>
    <cellStyle name="Commentaire 2 4" xfId="588" xr:uid="{EEAE31F8-1E59-48A3-89C8-C68D066A6703}"/>
    <cellStyle name="Commentaire 3" xfId="153" xr:uid="{75FCE355-49EB-4395-A5CF-3ABA2E4EA9E6}"/>
    <cellStyle name="Commentaire 3 2" xfId="197" xr:uid="{0CA4055B-86E0-4FB6-AB3E-E050108726F3}"/>
    <cellStyle name="Commentaire 3 3" xfId="184" xr:uid="{B17456B5-6E81-416C-958F-3A3921A01219}"/>
    <cellStyle name="Commentaire 3 4" xfId="589" xr:uid="{9850DE0F-7056-49F5-8FDA-032A3D3750D2}"/>
    <cellStyle name="Commentaire 4" xfId="198" xr:uid="{71C9589F-8B4E-4E8D-9FB0-C999B70FDDC5}"/>
    <cellStyle name="Commentaire 4 2" xfId="228" xr:uid="{9C1C01EF-8DDB-41DE-B728-8358B0905295}"/>
    <cellStyle name="Commentaire 4 2 2" xfId="407" xr:uid="{ABF41AB8-B863-41F0-92E8-B3129BB5D5F1}"/>
    <cellStyle name="Commentaire 4 3" xfId="233" xr:uid="{D6D8267F-B30C-407D-B0B2-A7B94C890C42}"/>
    <cellStyle name="Commentaire 4 3 2" xfId="412" xr:uid="{89F97837-92F8-4032-AF7F-AEF643C5210A}"/>
    <cellStyle name="Commentaire 5" xfId="199" xr:uid="{5B07762E-B3BE-4535-A2C0-A9CBB2D44013}"/>
    <cellStyle name="Commentaire 5 2" xfId="219" xr:uid="{93AF0F1B-5A75-408D-845B-BF07AAE5EB8B}"/>
    <cellStyle name="Commentaire 5 2 2" xfId="398" xr:uid="{F4BB06C9-F16E-4C8B-9094-7010BD6420A3}"/>
    <cellStyle name="Commentaire 5 3" xfId="238" xr:uid="{2192AF74-4185-434A-8038-8D49E21C8385}"/>
    <cellStyle name="Commentaire 5 3 2" xfId="417" xr:uid="{97EE6427-D2DC-47E6-849F-9279AB810286}"/>
    <cellStyle name="Commentaire 6" xfId="200" xr:uid="{932F5A8A-7380-4BE3-ABBD-1E6865F2D862}"/>
    <cellStyle name="Commentaire 6 2" xfId="220" xr:uid="{73DE31F6-D968-40FE-A85D-D2C2964537F7}"/>
    <cellStyle name="Commentaire 6 2 2" xfId="399" xr:uid="{40908977-B06A-4028-90A1-3DE2C5A44562}"/>
    <cellStyle name="Commentaire 7" xfId="195" xr:uid="{D716083B-CD96-4505-A2DF-F32B15445692}"/>
    <cellStyle name="Commentaire 7 2" xfId="221" xr:uid="{45E11846-2F98-44B9-B5D0-AF077AF041EC}"/>
    <cellStyle name="Commentaire 7 2 2" xfId="400" xr:uid="{24FF651E-6630-45AB-8E37-3B46FE320B5C}"/>
    <cellStyle name="Commentaire 8" xfId="168" xr:uid="{ED1BFB6F-CB7D-43E0-AF55-70E398AAF047}"/>
    <cellStyle name="Commentaire 9" xfId="218" xr:uid="{25E77638-8418-4D49-B816-6C13F2C8E8FA}"/>
    <cellStyle name="Commentaire 9 2" xfId="397" xr:uid="{D90E3975-34ED-42C0-B710-0EC4B9D19EE7}"/>
    <cellStyle name="Currency 2" xfId="326" xr:uid="{0FA84F49-B143-4B3B-AB83-61F654B54AD5}"/>
    <cellStyle name="Currency 2 2" xfId="447" xr:uid="{F4674404-D906-46DB-93AE-34D61A3D6E48}"/>
    <cellStyle name="Currency 2 2 2" xfId="567" xr:uid="{E2687C36-46CF-4F9B-8096-49ED34CEF630}"/>
    <cellStyle name="Currency 2 3" xfId="510" xr:uid="{1BB14E55-3B80-40AB-9754-AFD39E775D53}"/>
    <cellStyle name="ekrn" xfId="52" xr:uid="{7F62E1DF-5406-496B-8DD3-811689817AE4}"/>
    <cellStyle name="Entrée 2" xfId="130" xr:uid="{B0840E94-2518-4B4C-A244-13B6F6D317F9}"/>
    <cellStyle name="Entrée 2 2" xfId="202" xr:uid="{FFEDBB24-B3BF-4CEC-9E3E-8617150F43A3}"/>
    <cellStyle name="Entrée 2 3" xfId="181" xr:uid="{16E4A1D8-3C8B-48F6-8F9E-C461068850B3}"/>
    <cellStyle name="Entrée 3" xfId="201" xr:uid="{3E8B2938-9729-41C2-901F-4CD344DE8752}"/>
    <cellStyle name="Entrée 4" xfId="169" xr:uid="{71193C2D-687D-4968-8C83-58C8AE44FED3}"/>
    <cellStyle name="Entrée 5" xfId="296" xr:uid="{1E222CCA-AC01-4357-90BE-A4E68A877C5B}"/>
    <cellStyle name="Entrée 6" xfId="53" xr:uid="{B3D0F61E-1E27-431A-9151-BC1D6ADF5C70}"/>
    <cellStyle name="entry" xfId="54" xr:uid="{45CA344E-D7CF-4E7C-85D6-700570C083C4}"/>
    <cellStyle name="entry 2" xfId="203" xr:uid="{E6219839-E672-4714-8C1E-55E3BE86048F}"/>
    <cellStyle name="entry 3" xfId="170" xr:uid="{6536406E-593E-41AF-9331-6247F6D8D0E0}"/>
    <cellStyle name="Euro" xfId="55" xr:uid="{EA3FAEB9-79E4-41CB-9A97-33C84EA07438}"/>
    <cellStyle name="Euro 10" xfId="292" xr:uid="{7E24498B-38D7-46AA-9B1C-8159886CA9AC}"/>
    <cellStyle name="Euro 10 2" xfId="430" xr:uid="{F299151C-7806-4380-AC87-2995E683543F}"/>
    <cellStyle name="Euro 11" xfId="376" xr:uid="{4BA0EA6D-412A-4F76-86C9-466135726C9F}"/>
    <cellStyle name="Euro 11 2" xfId="453" xr:uid="{4ED9E7BB-32BE-49F5-AA96-D57F60C4AED1}"/>
    <cellStyle name="Euro 12" xfId="457" xr:uid="{7B14748A-1046-4660-BDBA-820071900195}"/>
    <cellStyle name="Euro 12 2" xfId="575" xr:uid="{0E101D7A-DD15-4D96-A865-53DBF6E8D1E6}"/>
    <cellStyle name="Euro 13" xfId="590" xr:uid="{BAB5A112-3AC8-485D-8810-321A91A4D04A}"/>
    <cellStyle name="Euro 2" xfId="131" xr:uid="{0C366091-E937-4919-AB00-C17DA35F4D64}"/>
    <cellStyle name="Euro 2 2" xfId="591" xr:uid="{05CA792A-044F-41D1-8B4D-B11095130C35}"/>
    <cellStyle name="Euro 3" xfId="154" xr:uid="{38CAA03A-5A56-48F5-AD74-05406026416F}"/>
    <cellStyle name="Euro 3 2" xfId="592" xr:uid="{C3C4FE49-B68B-470B-A93F-8F1AECD28E92}"/>
    <cellStyle name="Euro 4" xfId="204" xr:uid="{2DA61C9D-9B00-4757-AEF8-4A64E3FC1B93}"/>
    <cellStyle name="Euro 4 2" xfId="229" xr:uid="{2E9DC365-83F8-4014-A921-1B113C271048}"/>
    <cellStyle name="Euro 4 2 2" xfId="408" xr:uid="{786B8FEC-9519-46C5-A6D4-4FB292A872BF}"/>
    <cellStyle name="Euro 4 3" xfId="235" xr:uid="{DD94EADD-8E70-4EA0-AAB3-C45D17E0085A}"/>
    <cellStyle name="Euro 4 3 2" xfId="414" xr:uid="{D384B650-58B9-491F-A707-E1AF0B422A77}"/>
    <cellStyle name="Euro 4 4" xfId="593" xr:uid="{B71C5960-9934-46CB-B843-050274DC6710}"/>
    <cellStyle name="Euro 5" xfId="205" xr:uid="{B0E9E1E7-2F56-4903-88C7-1984FEC683D2}"/>
    <cellStyle name="Euro 5 2" xfId="223" xr:uid="{27AF0FF9-2E47-4F2D-9448-FD87E5166A75}"/>
    <cellStyle name="Euro 5 2 2" xfId="402" xr:uid="{FB6B5ED8-FEBA-4605-95CD-D528CCFEF559}"/>
    <cellStyle name="Euro 5 3" xfId="239" xr:uid="{1BC9B34C-AF43-4839-8022-1A14C6B281FB}"/>
    <cellStyle name="Euro 5 3 2" xfId="418" xr:uid="{64DF957D-D819-4E9E-84D5-F593F647C5C7}"/>
    <cellStyle name="Euro 6" xfId="206" xr:uid="{867FB27C-6DA9-4F75-B86E-14B715266478}"/>
    <cellStyle name="Euro 6 2" xfId="224" xr:uid="{8588D13E-50E2-4C89-8F06-57AB44CCFE65}"/>
    <cellStyle name="Euro 6 2 2" xfId="403" xr:uid="{703DBE7E-A203-4ADD-A159-AFB059B3553B}"/>
    <cellStyle name="Euro 7" xfId="225" xr:uid="{969F9999-7730-43C6-AD7A-DDE908262020}"/>
    <cellStyle name="Euro 7 2" xfId="404" xr:uid="{30A15669-E339-469D-A773-BD1879601DD8}"/>
    <cellStyle name="Euro 8" xfId="222" xr:uid="{75423CF3-35C8-478C-B074-0ACB6C7A9086}"/>
    <cellStyle name="Euro 8 2" xfId="401" xr:uid="{58D3E5BB-1533-453D-9412-5A50DA381E0D}"/>
    <cellStyle name="Euro 9" xfId="234" xr:uid="{73105587-F2EF-43D2-B92D-140E1DECD4E3}"/>
    <cellStyle name="Euro 9 2" xfId="413" xr:uid="{3556D139-AAF5-4264-BA85-130CE6FEE65E}"/>
    <cellStyle name="Explanatory Text" xfId="56" xr:uid="{22A7D915-AA4D-40FD-8CAB-705A42FA3FA8}"/>
    <cellStyle name="Explanatory Text 2" xfId="350" xr:uid="{F7C3F12A-38FB-45F5-B778-3F484FEBA7AC}"/>
    <cellStyle name="Explanatory Text 3" xfId="363" xr:uid="{44E30728-8465-47EF-8C8C-566E0FA27E36}"/>
    <cellStyle name="Good" xfId="57" xr:uid="{1E920404-4B00-4C67-95D9-8CDD530E9D85}"/>
    <cellStyle name="Good 2" xfId="349" xr:uid="{02022D97-E757-497E-AF70-2F5D3F8D2343}"/>
    <cellStyle name="Good 3" xfId="364" xr:uid="{C7E991B1-627E-4694-8ECC-6CE8DF7FDEF4}"/>
    <cellStyle name="Heading 1" xfId="58" xr:uid="{B9E6FF95-49D1-4129-B6F7-542CC65BE988}"/>
    <cellStyle name="Heading 1 2" xfId="352" xr:uid="{F6D6586D-5BA8-4424-B918-1A8A3AA93785}"/>
    <cellStyle name="Heading 1 3" xfId="365" xr:uid="{022BB025-0BD6-4179-B555-37F1095E8DC6}"/>
    <cellStyle name="Heading 2" xfId="59" xr:uid="{76A2874E-125E-4BBC-AB2A-DAC386AB32DA}"/>
    <cellStyle name="Heading 2 2" xfId="353" xr:uid="{BF9BDBBC-9D03-41ED-B861-C8B09B513568}"/>
    <cellStyle name="Heading 2 3" xfId="366" xr:uid="{1B9341DD-650E-40B4-BD64-F6D179516C6C}"/>
    <cellStyle name="Heading 3" xfId="60" xr:uid="{7AEED072-F110-486D-9F99-1FD754BF7D53}"/>
    <cellStyle name="Heading 3 2" xfId="354" xr:uid="{26EDBFF9-CA1F-464D-891B-CC8E8F5958C0}"/>
    <cellStyle name="Heading 3 3" xfId="367" xr:uid="{825B7A86-23F0-4DB0-B43E-5A3067C1DE49}"/>
    <cellStyle name="Heading 4" xfId="61" xr:uid="{A681FAB6-58F6-4AF7-ABDD-DA53DA330CF3}"/>
    <cellStyle name="Heading 4 2" xfId="355" xr:uid="{08EA25EC-23BF-4B81-821C-14F9DE73F048}"/>
    <cellStyle name="Heading 4 3" xfId="368" xr:uid="{590FC195-95E5-47AC-8E3C-9A935B2F51C4}"/>
    <cellStyle name="Input" xfId="62" xr:uid="{88A5F529-1754-432F-AAB9-DE5102C57DD9}"/>
    <cellStyle name="Input 2" xfId="207" xr:uid="{77E47E59-BFE6-405C-932E-2066BD11A759}"/>
    <cellStyle name="Input 2 2" xfId="275" xr:uid="{E6C7FF3F-848C-4A59-AEDF-A38D5D440A5D}"/>
    <cellStyle name="Input 3" xfId="171" xr:uid="{975295FB-A3BC-4CDD-919D-A86A9CDD61EB}"/>
    <cellStyle name="Insatisfaisant 2" xfId="132" xr:uid="{09CAB5B0-71C9-40C4-AD4F-76026BF6FB1B}"/>
    <cellStyle name="Insatisfaisant 3" xfId="63" xr:uid="{A012A4E9-E8D8-4E41-AE7B-A8A1382768AE}"/>
    <cellStyle name="Lien hypertexte 2" xfId="594" xr:uid="{82398CC6-647C-440D-899F-600AF9DAE3D2}"/>
    <cellStyle name="Linked Cell" xfId="64" xr:uid="{B7C0D9C5-1197-4900-A19E-844A72D363C6}"/>
    <cellStyle name="Linked Cell 2" xfId="347" xr:uid="{2331E22E-BD93-43E6-884E-9F3851BB6385}"/>
    <cellStyle name="Neutral" xfId="65" xr:uid="{92643864-848A-4AA3-9F0F-E8FF26A134B0}"/>
    <cellStyle name="Neutral 2" xfId="348" xr:uid="{2A0FF973-E435-47A1-A82B-EA1BCA3C3F62}"/>
    <cellStyle name="Neutral 3" xfId="369" xr:uid="{84BE2982-4B12-4396-9713-0DCD8D9EEF39}"/>
    <cellStyle name="Neutrale" xfId="276" xr:uid="{B727A096-516C-4CC1-955D-932F4BD09F9A}"/>
    <cellStyle name="Neutre 2" xfId="133" xr:uid="{836FDC0D-96F2-4C2D-8068-8B8E0E69E261}"/>
    <cellStyle name="Neutre 3" xfId="66" xr:uid="{F7C2C7D5-F699-4F31-B3D5-51D38FBDB312}"/>
    <cellStyle name="No_DD" xfId="67" xr:uid="{A864AE54-9A8E-4354-AD48-063EBEACAD83}"/>
    <cellStyle name="Non défini" xfId="68" xr:uid="{CF1718F7-129C-43BC-913F-CEA78C09CD45}"/>
    <cellStyle name="Normal" xfId="0" builtinId="0"/>
    <cellStyle name="Normal 11" xfId="99" xr:uid="{C19867DB-DC28-45A1-8479-949FB369971B}"/>
    <cellStyle name="Normal 11 2" xfId="595" xr:uid="{FE84F2CC-B92D-444E-BB01-4EA3146446EC}"/>
    <cellStyle name="Normal 2" xfId="69" xr:uid="{F4EE84C4-8BA6-4A1A-B734-A44EF72A0C0F}"/>
    <cellStyle name="Normal 2 2" xfId="134" xr:uid="{729D62CD-9074-488C-B485-1F49306A62BD}"/>
    <cellStyle name="Normal 2 2 2" xfId="596" xr:uid="{134A6334-9901-410B-8C65-B872A0BCAFED}"/>
    <cellStyle name="Normal 2 2 3" xfId="597" xr:uid="{489B1C9D-E76E-4F15-A1E5-3AB287247857}"/>
    <cellStyle name="Normal 2 2 4" xfId="598" xr:uid="{9A2E0CA6-199B-4CDA-BA8E-6988B68C2ED0}"/>
    <cellStyle name="Normal 2 3" xfId="155" xr:uid="{2D3D81F5-9A12-4359-A9BE-0E49FD074A2C}"/>
    <cellStyle name="Normal 2 3 2" xfId="599" xr:uid="{3B0BEBF0-8F45-413D-9F7F-F78A3F0F4088}"/>
    <cellStyle name="Normal 2 4" xfId="372" xr:uid="{F71B1F68-8D9C-42BE-A7EC-6C8F3D579D8B}"/>
    <cellStyle name="Normal 2 4 2" xfId="600" xr:uid="{DF08C2F0-6636-420F-9195-283536B68716}"/>
    <cellStyle name="Normal 2 5" xfId="327" xr:uid="{76038F7E-D4FC-4BE4-9664-E12E5091CA4B}"/>
    <cellStyle name="Normal 2 6" xfId="601" xr:uid="{8E256B48-0590-4BB1-9C52-43541C03BF14}"/>
    <cellStyle name="Normal 3" xfId="101" xr:uid="{33101F70-7A48-4198-B76A-2768FB84396C}"/>
    <cellStyle name="Normal 3 2" xfId="602" xr:uid="{0D4FA7AC-2F5C-494F-88A0-152A57426E83}"/>
    <cellStyle name="Normal 3 3" xfId="603" xr:uid="{99FDBC81-AD33-4B22-BBFF-4AA25046A031}"/>
    <cellStyle name="Normal 4" xfId="100" xr:uid="{95A4D620-62EA-4F9B-9031-EA784FDBC65A}"/>
    <cellStyle name="Normal 4 10" xfId="242" xr:uid="{22E9DF93-055F-45DD-836D-D6058BBDCEF3}"/>
    <cellStyle name="Normal 4 10 2" xfId="421" xr:uid="{0104383E-48D1-44FB-81C1-BAEA2A34D140}"/>
    <cellStyle name="Normal 4 10 2 2" xfId="543" xr:uid="{31E70D8F-62B7-4665-B1EA-DF00DB80DFFF}"/>
    <cellStyle name="Normal 4 10 3" xfId="486" xr:uid="{B029C571-DEFF-4C25-A723-6D9C58F12BEC}"/>
    <cellStyle name="Normal 4 11" xfId="244" xr:uid="{A2FFC4D8-A118-4C11-9453-D93FF9F2008F}"/>
    <cellStyle name="Normal 4 11 2" xfId="423" xr:uid="{BF31840B-3ED0-4CAA-99FA-43C5DEAF77FD}"/>
    <cellStyle name="Normal 4 11 2 2" xfId="545" xr:uid="{9F381996-618A-4C7C-9453-C3094F6C73B4}"/>
    <cellStyle name="Normal 4 11 3" xfId="488" xr:uid="{3ECD99DA-A385-4DFC-9E4E-B2773A71A8B6}"/>
    <cellStyle name="Normal 4 12" xfId="246" xr:uid="{640A5AEB-3647-4291-B1DD-0EFECD195DAA}"/>
    <cellStyle name="Normal 4 12 2" xfId="425" xr:uid="{B422D2DD-D4A3-4371-86A1-919DE189DBD6}"/>
    <cellStyle name="Normal 4 12 2 2" xfId="547" xr:uid="{3A8386B2-C14B-4821-A993-031A89EBCAD8}"/>
    <cellStyle name="Normal 4 12 3" xfId="490" xr:uid="{1C21EB4C-B181-4938-9997-DCD2F0B7A237}"/>
    <cellStyle name="Normal 4 13" xfId="277" xr:uid="{19D0B6B4-F65C-4DA6-A242-8EA8E07A0773}"/>
    <cellStyle name="Normal 4 13 2" xfId="427" xr:uid="{AB9DD9F4-1CCA-42B2-8AA5-45E04E27CFD1}"/>
    <cellStyle name="Normal 4 13 2 2" xfId="549" xr:uid="{CF6B096B-63A9-429F-BDDC-C39B4E7B6870}"/>
    <cellStyle name="Normal 4 13 3" xfId="492" xr:uid="{2F4D556D-0C8C-4874-BB1E-CC1E1EFB5361}"/>
    <cellStyle name="Normal 4 14" xfId="293" xr:uid="{FA64EAFE-B285-46F3-8466-1347866E9482}"/>
    <cellStyle name="Normal 4 14 2" xfId="431" xr:uid="{1330FF56-C925-4C19-B1D6-A8F719C7CFE9}"/>
    <cellStyle name="Normal 4 14 2 2" xfId="551" xr:uid="{9505F713-2A87-453E-B9B1-282C2FE00A13}"/>
    <cellStyle name="Normal 4 14 3" xfId="494" xr:uid="{9B29C433-90D5-4EE7-9888-BF653F7E91BB}"/>
    <cellStyle name="Normal 4 15" xfId="359" xr:uid="{370291AF-9152-4550-8140-A0E227D4D886}"/>
    <cellStyle name="Normal 4 15 2" xfId="449" xr:uid="{BF2E3D8C-9FFB-470A-A498-16589419DF62}"/>
    <cellStyle name="Normal 4 15 2 2" xfId="569" xr:uid="{3938FBEF-BB9B-4469-9102-7AFC07FBD0A2}"/>
    <cellStyle name="Normal 4 15 3" xfId="512" xr:uid="{4B548574-0E12-4FBD-800D-EC7DDDDF3B1A}"/>
    <cellStyle name="Normal 4 16" xfId="373" xr:uid="{6EBE05B6-934A-4BC7-84FA-FE3C7F1227AB}"/>
    <cellStyle name="Normal 4 16 2" xfId="450" xr:uid="{240F99C1-5F43-43E5-BEC7-3DD7EFE9F8DF}"/>
    <cellStyle name="Normal 4 16 2 2" xfId="570" xr:uid="{2F33770B-A1BD-4F05-82FF-A731D1C09B74}"/>
    <cellStyle name="Normal 4 16 3" xfId="513" xr:uid="{7790B9F2-FE5A-4F6D-B95D-011D5AC744A3}"/>
    <cellStyle name="Normal 4 17" xfId="377" xr:uid="{1C945DA4-D476-4A79-A7CE-853C19E4036D}"/>
    <cellStyle name="Normal 4 17 2" xfId="454" xr:uid="{BC441129-B83F-41BB-B25E-EDC0B6F73A43}"/>
    <cellStyle name="Normal 4 17 2 2" xfId="572" xr:uid="{54EF7B9C-3588-4CDE-86B0-5A97DF332122}"/>
    <cellStyle name="Normal 4 17 3" xfId="515" xr:uid="{F3C7D3BC-F115-497A-9817-59282ED1F6F0}"/>
    <cellStyle name="Normal 4 18" xfId="380" xr:uid="{24F3D5F3-7592-4E2D-B1B6-D655AF941572}"/>
    <cellStyle name="Normal 4 18 2" xfId="518" xr:uid="{5F0DAF36-0B61-4152-8DAC-96217EEA433C}"/>
    <cellStyle name="Normal 4 19" xfId="458" xr:uid="{16C5BED7-1571-4772-A6EE-A8D990181E11}"/>
    <cellStyle name="Normal 4 19 2" xfId="576" xr:uid="{33A31CC3-4FEE-4D8F-98EF-859711B3045D}"/>
    <cellStyle name="Normal 4 2" xfId="156" xr:uid="{5E3AF570-73BD-4BE2-A545-A76EB957538D}"/>
    <cellStyle name="Normal 4 2 2" xfId="163" xr:uid="{AE0126BF-D7F7-469F-A121-80D1EE976464}"/>
    <cellStyle name="Normal 4 2 2 2" xfId="190" xr:uid="{44E199A4-B7D0-4FA6-B9F3-97F97057E233}"/>
    <cellStyle name="Normal 4 2 2 2 2" xfId="393" xr:uid="{8A2B4C08-97A4-4677-BA14-94CCD3540F7A}"/>
    <cellStyle name="Normal 4 2 2 2 2 2" xfId="531" xr:uid="{0E47DA44-D361-4A64-810D-778B8F4381D3}"/>
    <cellStyle name="Normal 4 2 2 2 3" xfId="474" xr:uid="{4C15728C-CABD-474B-91D5-D86B5D3D9947}"/>
    <cellStyle name="Normal 4 2 2 3" xfId="385" xr:uid="{C268D4D4-E244-4512-BEFE-44EFD1F8F1AD}"/>
    <cellStyle name="Normal 4 2 2 3 2" xfId="523" xr:uid="{3DA71B27-87F0-4210-8F88-937D49C3375A}"/>
    <cellStyle name="Normal 4 2 2 4" xfId="466" xr:uid="{F67872CB-00D9-49EE-B112-4D150A6F8FB2}"/>
    <cellStyle name="Normal 4 2 3" xfId="185" xr:uid="{4CAE58C2-1FA4-4285-9E12-56D5DC66ED4A}"/>
    <cellStyle name="Normal 4 2 3 2" xfId="389" xr:uid="{F955C79E-38FA-4110-AC5C-641B0C048706}"/>
    <cellStyle name="Normal 4 2 3 2 2" xfId="527" xr:uid="{A18A0CD4-9A27-4589-891A-6D66F99BFD00}"/>
    <cellStyle name="Normal 4 2 3 3" xfId="470" xr:uid="{6947048F-9A8F-41BF-9AAB-59C8967ED3AB}"/>
    <cellStyle name="Normal 4 2 4" xfId="381" xr:uid="{A91307D6-1FE2-42F5-AB7B-9D92788E333D}"/>
    <cellStyle name="Normal 4 2 4 2" xfId="519" xr:uid="{3977D34B-AD2F-490E-92C5-4CB5645F09FA}"/>
    <cellStyle name="Normal 4 2 5" xfId="462" xr:uid="{E7B01147-E13C-4408-BC42-01F254AAF85D}"/>
    <cellStyle name="Normal 4 20" xfId="461" xr:uid="{82245357-D336-4705-8919-8CAE74E6EADC}"/>
    <cellStyle name="Normal 4 21" xfId="578" xr:uid="{4361EBB9-654D-4DF7-A2AE-F55262A038C9}"/>
    <cellStyle name="Normal 4 3" xfId="161" xr:uid="{3DE74B34-5374-4CB2-A6D5-5A9B6947A096}"/>
    <cellStyle name="Normal 4 3 2" xfId="189" xr:uid="{E57837B7-E231-428F-A141-3AEE446400C7}"/>
    <cellStyle name="Normal 4 3 2 2" xfId="392" xr:uid="{C1EFAD9A-1555-496B-A59A-17C121D69F22}"/>
    <cellStyle name="Normal 4 3 2 2 2" xfId="530" xr:uid="{A5D57F51-75B2-4407-9425-6A2A93203102}"/>
    <cellStyle name="Normal 4 3 2 3" xfId="473" xr:uid="{ACCD6D9D-0BAE-4448-8DAE-D56590C08E55}"/>
    <cellStyle name="Normal 4 3 3" xfId="384" xr:uid="{0A4B59AF-3EA8-4074-B483-CA70547AA69D}"/>
    <cellStyle name="Normal 4 3 3 2" xfId="522" xr:uid="{035FABCF-DADF-47F6-B968-E07C33C02728}"/>
    <cellStyle name="Normal 4 3 4" xfId="465" xr:uid="{77750C3B-CF25-461D-B32B-A3E517B8AA03}"/>
    <cellStyle name="Normal 4 4" xfId="208" xr:uid="{7E267E79-578D-4DA9-8D5B-7D468021E940}"/>
    <cellStyle name="Normal 4 4 2" xfId="395" xr:uid="{165C9B59-8661-4B13-8608-DACDD7824AFF}"/>
    <cellStyle name="Normal 4 4 2 2" xfId="533" xr:uid="{FFC7F8E3-B87F-4775-8651-3D7FCF96D724}"/>
    <cellStyle name="Normal 4 4 3" xfId="476" xr:uid="{8EA8552C-253D-46AA-A120-584993C80619}"/>
    <cellStyle name="Normal 4 5" xfId="178" xr:uid="{BDFB5FE9-2E27-4659-A40C-37C0BA4391D9}"/>
    <cellStyle name="Normal 4 5 2" xfId="388" xr:uid="{50B829E1-C64B-4260-A7C5-95FBFA13D23A}"/>
    <cellStyle name="Normal 4 5 2 2" xfId="526" xr:uid="{1B593E08-48D7-47E3-A829-1348D400E6B1}"/>
    <cellStyle name="Normal 4 5 3" xfId="469" xr:uid="{5E102B77-5546-447A-B7DE-5BC22E9DBA24}"/>
    <cellStyle name="Normal 4 6" xfId="226" xr:uid="{4B619BEB-FC8E-49DF-99EA-954AAED637BE}"/>
    <cellStyle name="Normal 4 6 2" xfId="405" xr:uid="{147F31BB-593F-4861-9061-0B22F462D189}"/>
    <cellStyle name="Normal 4 6 2 2" xfId="535" xr:uid="{B4AABA81-AFB0-45BE-8E39-117B146815D7}"/>
    <cellStyle name="Normal 4 6 3" xfId="478" xr:uid="{B592D8A4-3065-49FE-9585-03CDB8868912}"/>
    <cellStyle name="Normal 4 7" xfId="230" xr:uid="{66E73CE0-18FE-498D-88AD-384A57377509}"/>
    <cellStyle name="Normal 4 7 2" xfId="409" xr:uid="{3CB6C96D-2918-42C2-9B26-44C7F5AB473A}"/>
    <cellStyle name="Normal 4 7 2 2" xfId="537" xr:uid="{C7980F21-9210-47B7-B9C7-74C2D8D20836}"/>
    <cellStyle name="Normal 4 7 3" xfId="480" xr:uid="{76823166-A459-4179-93A5-BD14584940A5}"/>
    <cellStyle name="Normal 4 8" xfId="236" xr:uid="{E5A52676-F0D7-4FAA-BC1F-702982F67968}"/>
    <cellStyle name="Normal 4 8 2" xfId="415" xr:uid="{C13C43C4-A682-46CF-9955-466FB5FCC121}"/>
    <cellStyle name="Normal 4 8 2 2" xfId="539" xr:uid="{3E9137A5-09F2-4564-9F73-E742D7E4B210}"/>
    <cellStyle name="Normal 4 8 3" xfId="482" xr:uid="{45A08DE7-E4D2-4C98-848E-AED77A084994}"/>
    <cellStyle name="Normal 4 9" xfId="240" xr:uid="{3394F43E-F023-456C-A10C-4E9DCA6010B2}"/>
    <cellStyle name="Normal 4 9 2" xfId="419" xr:uid="{3EFF07B9-7C05-491A-86EB-72167D0EEECA}"/>
    <cellStyle name="Normal 4 9 2 2" xfId="541" xr:uid="{F272BC43-FC34-4D23-A405-26F0F3C7A0D7}"/>
    <cellStyle name="Normal 4 9 3" xfId="484" xr:uid="{D81ACF4E-1405-4BCD-B4B9-FDEB7723CF8D}"/>
    <cellStyle name="Normal 5" xfId="165" xr:uid="{3C50314D-82CB-4FA4-9A87-F11E358A72F0}"/>
    <cellStyle name="Normal 5 2" xfId="371" xr:uid="{4D987EC0-3729-4E62-9EBA-EDFEAEBA0411}"/>
    <cellStyle name="Normal 5 3" xfId="604" xr:uid="{6EA0ECD0-A6C9-4B18-954C-31610DF7D18F}"/>
    <cellStyle name="Normal 6" xfId="98" xr:uid="{B35C9FE7-730F-4B52-BE9E-13A6F0056402}"/>
    <cellStyle name="Normal 6 10" xfId="243" xr:uid="{64E123AD-3F47-4F42-8F64-4F271592E8F5}"/>
    <cellStyle name="Normal 6 10 2" xfId="422" xr:uid="{F48A1033-75F0-4630-A2B8-45FF927EE406}"/>
    <cellStyle name="Normal 6 10 2 2" xfId="544" xr:uid="{2784A052-6BC0-4A5E-BE66-1CC628DDF444}"/>
    <cellStyle name="Normal 6 10 3" xfId="487" xr:uid="{D22C536E-EE9E-45E4-BFB5-72734E9B17DF}"/>
    <cellStyle name="Normal 6 11" xfId="245" xr:uid="{FC24E834-2A2B-4B9C-9453-C620C601A62A}"/>
    <cellStyle name="Normal 6 11 2" xfId="424" xr:uid="{249AD728-1C92-4999-A4AC-A4508A5B0EDE}"/>
    <cellStyle name="Normal 6 11 2 2" xfId="546" xr:uid="{8ED97DAA-A598-4C5A-9B83-40304125EA4D}"/>
    <cellStyle name="Normal 6 11 3" xfId="489" xr:uid="{97491436-D3D0-442C-88C8-482EC5B251A0}"/>
    <cellStyle name="Normal 6 12" xfId="247" xr:uid="{A1E24329-4A88-4186-A314-9CFE19A6E3C6}"/>
    <cellStyle name="Normal 6 12 2" xfId="426" xr:uid="{9DA1FA66-8480-4FD6-9C7D-1C8F34723E80}"/>
    <cellStyle name="Normal 6 12 2 2" xfId="548" xr:uid="{DEEF0320-98DB-4C00-AC5E-8B6F4CD9D9D5}"/>
    <cellStyle name="Normal 6 12 3" xfId="491" xr:uid="{4064793C-ED74-41FE-A234-B591B5610488}"/>
    <cellStyle name="Normal 6 13" xfId="278" xr:uid="{009AFDEC-22A7-4336-9423-01A007DB9D8D}"/>
    <cellStyle name="Normal 6 13 2" xfId="428" xr:uid="{BB4BC8F5-EB72-44B8-9113-233D79E532FB}"/>
    <cellStyle name="Normal 6 13 2 2" xfId="550" xr:uid="{316B40FF-D5CC-4C85-9C25-64559A0196F3}"/>
    <cellStyle name="Normal 6 13 3" xfId="493" xr:uid="{2C1D93D8-5D3B-41A6-BEB2-DC128D4D5C42}"/>
    <cellStyle name="Normal 6 14" xfId="294" xr:uid="{599DF2FD-893D-4D44-8F00-DEB4C7808741}"/>
    <cellStyle name="Normal 6 14 2" xfId="432" xr:uid="{31D3A9CA-1B4C-4440-8851-72BE0D7EF47A}"/>
    <cellStyle name="Normal 6 14 2 2" xfId="552" xr:uid="{21614966-AF7A-4A45-A34C-0097FCA23F5D}"/>
    <cellStyle name="Normal 6 14 3" xfId="495" xr:uid="{F6D488D5-6822-47BE-9B3C-99BA009A267A}"/>
    <cellStyle name="Normal 6 15" xfId="358" xr:uid="{5F2E733F-7BF4-4E67-A6A1-A9FED8588957}"/>
    <cellStyle name="Normal 6 15 2" xfId="448" xr:uid="{6BC47527-BA15-481B-B6F5-1FF6B7AA5719}"/>
    <cellStyle name="Normal 6 15 2 2" xfId="568" xr:uid="{56080393-5664-4985-9378-06C0CD60A441}"/>
    <cellStyle name="Normal 6 15 3" xfId="511" xr:uid="{064E2EA9-54E9-427C-9C3A-CD4DCDA502E1}"/>
    <cellStyle name="Normal 6 16" xfId="374" xr:uid="{ADCBA236-459C-423F-99AE-52FB2C68A81B}"/>
    <cellStyle name="Normal 6 16 2" xfId="451" xr:uid="{BB78A56C-EA62-4A87-AF45-C67CF58BFAB6}"/>
    <cellStyle name="Normal 6 16 2 2" xfId="571" xr:uid="{DABFFFA0-A823-4C72-94AB-E1BDBF8A7C63}"/>
    <cellStyle name="Normal 6 16 3" xfId="514" xr:uid="{1C68E434-CF03-4E2E-BB31-05E6A4ECB53D}"/>
    <cellStyle name="Normal 6 17" xfId="378" xr:uid="{76FB8795-178B-4DEF-8FAC-8BE8C17272AF}"/>
    <cellStyle name="Normal 6 17 2" xfId="455" xr:uid="{257AFFD9-6F63-46AD-893C-D6A158BA8B36}"/>
    <cellStyle name="Normal 6 17 2 2" xfId="573" xr:uid="{59812FF9-9C2F-430C-BB2B-B5CFC8692C51}"/>
    <cellStyle name="Normal 6 17 3" xfId="516" xr:uid="{53E5C4C8-3C21-4603-ABA8-EFEFA534FB21}"/>
    <cellStyle name="Normal 6 18" xfId="379" xr:uid="{B212EDEF-73CF-4D94-8B79-F654A94FBBF8}"/>
    <cellStyle name="Normal 6 18 2" xfId="517" xr:uid="{78058C0A-37AA-4852-98A3-625C2BBA81C1}"/>
    <cellStyle name="Normal 6 19" xfId="459" xr:uid="{53C5C379-DC21-458A-A691-C58A05037B45}"/>
    <cellStyle name="Normal 6 19 2" xfId="577" xr:uid="{F3CB1B3A-AEE1-4B31-AEAE-3638855EA8C6}"/>
    <cellStyle name="Normal 6 2" xfId="157" xr:uid="{52DB02C8-7C32-48FE-BB44-ECA0575AC260}"/>
    <cellStyle name="Normal 6 2 2" xfId="164" xr:uid="{43088A28-4B24-4906-9250-CBF8D42C240B}"/>
    <cellStyle name="Normal 6 2 2 2" xfId="191" xr:uid="{C5F33D6B-FA03-4717-93F2-519EFFA1279B}"/>
    <cellStyle name="Normal 6 2 2 2 2" xfId="394" xr:uid="{4296695D-FA43-430B-8895-5253B76FB36A}"/>
    <cellStyle name="Normal 6 2 2 2 2 2" xfId="532" xr:uid="{F367E842-6E97-403C-9483-205926BFAB26}"/>
    <cellStyle name="Normal 6 2 2 2 3" xfId="475" xr:uid="{3F5EBDCB-69EA-4F9F-8D14-A9829004AF70}"/>
    <cellStyle name="Normal 6 2 2 3" xfId="386" xr:uid="{11A4F0E1-A123-4E3E-85FD-1BF1F4C96A05}"/>
    <cellStyle name="Normal 6 2 2 3 2" xfId="524" xr:uid="{B62A1CAF-5BEE-4FDF-BAE0-0C47CCA15C17}"/>
    <cellStyle name="Normal 6 2 2 4" xfId="467" xr:uid="{AF69AB82-2335-4F6E-B650-D6F6206A0690}"/>
    <cellStyle name="Normal 6 2 3" xfId="186" xr:uid="{DFA223AA-F825-4515-B908-31272CDFC221}"/>
    <cellStyle name="Normal 6 2 3 2" xfId="390" xr:uid="{E73CDA31-E74B-42BE-9580-4981235E93D0}"/>
    <cellStyle name="Normal 6 2 3 2 2" xfId="528" xr:uid="{43B30E28-84B4-44E1-954C-0E796EA68652}"/>
    <cellStyle name="Normal 6 2 3 3" xfId="471" xr:uid="{A7F688F3-02E7-4FEF-8554-487081A776E1}"/>
    <cellStyle name="Normal 6 2 4" xfId="382" xr:uid="{D9E2923F-B011-4BF1-9659-3985129953D2}"/>
    <cellStyle name="Normal 6 2 4 2" xfId="520" xr:uid="{A0A82740-B89B-41B0-822F-8F13BE24D5F7}"/>
    <cellStyle name="Normal 6 2 5" xfId="463" xr:uid="{DD68C1AB-5A05-4E22-AAFE-12967E63F20B}"/>
    <cellStyle name="Normal 6 20" xfId="460" xr:uid="{A6E937A5-53E9-4939-BCD8-D1C7C0B6ED96}"/>
    <cellStyle name="Normal 6 21" xfId="579" xr:uid="{0B7DD028-F201-4FEC-A104-7AFF33129409}"/>
    <cellStyle name="Normal 6 3" xfId="160" xr:uid="{AA71B3AD-B469-43A8-B20C-7F3C1FEC612F}"/>
    <cellStyle name="Normal 6 3 2" xfId="188" xr:uid="{6351112B-BCC2-403E-909B-FDA2FF356EE6}"/>
    <cellStyle name="Normal 6 3 2 2" xfId="391" xr:uid="{DD5578BC-F625-4EE3-BBD9-9E9B02BAEA9F}"/>
    <cellStyle name="Normal 6 3 2 2 2" xfId="529" xr:uid="{08991092-B4E0-48FF-BB54-DE5DCDF3875C}"/>
    <cellStyle name="Normal 6 3 2 3" xfId="472" xr:uid="{3C805F76-5FB2-4269-B501-05EF26A16739}"/>
    <cellStyle name="Normal 6 3 3" xfId="383" xr:uid="{2E06BEA7-7C69-492D-BB2E-C9447058BF8E}"/>
    <cellStyle name="Normal 6 3 3 2" xfId="521" xr:uid="{3C380E24-0FCB-460C-ACCB-375A13FAD845}"/>
    <cellStyle name="Normal 6 3 4" xfId="464" xr:uid="{E80DA477-26FE-486E-8A4B-9B147DF47B37}"/>
    <cellStyle name="Normal 6 4" xfId="209" xr:uid="{C9B11BD6-D111-4FF1-B322-9423097E0631}"/>
    <cellStyle name="Normal 6 4 2" xfId="396" xr:uid="{59DF8103-5D02-4923-89E3-98DF2E81281A}"/>
    <cellStyle name="Normal 6 4 2 2" xfId="534" xr:uid="{B1E6ED58-A43F-42E6-AF84-F9EB8A9BD33A}"/>
    <cellStyle name="Normal 6 4 3" xfId="477" xr:uid="{FB9EC09F-98A1-4F63-B450-CECEE94A1906}"/>
    <cellStyle name="Normal 6 5" xfId="177" xr:uid="{252DAB4D-E8FF-407F-9EA0-C7A5C039C245}"/>
    <cellStyle name="Normal 6 5 2" xfId="387" xr:uid="{CFA02BEF-5B22-4BBA-9C6C-54C32F69F019}"/>
    <cellStyle name="Normal 6 5 2 2" xfId="525" xr:uid="{87E18523-C02A-47F9-874E-A6F8C084BC29}"/>
    <cellStyle name="Normal 6 5 3" xfId="468" xr:uid="{AB08B6F3-3A3C-43FA-AE61-4C00105414DF}"/>
    <cellStyle name="Normal 6 6" xfId="227" xr:uid="{23EDD410-D8AA-4DF4-BEA1-7DA2A0C02D38}"/>
    <cellStyle name="Normal 6 6 2" xfId="406" xr:uid="{50156B35-CF2D-4727-8523-58728796EE49}"/>
    <cellStyle name="Normal 6 6 2 2" xfId="536" xr:uid="{811DF56A-F6E5-4690-A39F-AE2ED72CCFE8}"/>
    <cellStyle name="Normal 6 6 3" xfId="479" xr:uid="{31687EF2-F0EE-4C11-B4BF-9DC1D24667AC}"/>
    <cellStyle name="Normal 6 7" xfId="231" xr:uid="{24A811BC-922F-4738-B764-A47BA5988558}"/>
    <cellStyle name="Normal 6 7 2" xfId="410" xr:uid="{82254332-2F47-4157-A74D-E69F1DA1CDB8}"/>
    <cellStyle name="Normal 6 7 2 2" xfId="538" xr:uid="{D12A9D1D-0FAC-4972-A5CE-A3980A6F960F}"/>
    <cellStyle name="Normal 6 7 3" xfId="481" xr:uid="{4DCB1327-E9B9-4606-8698-36C3BC9CA0E9}"/>
    <cellStyle name="Normal 6 8" xfId="237" xr:uid="{B04C367B-384E-4B4E-BFE4-AECB308772F3}"/>
    <cellStyle name="Normal 6 8 2" xfId="416" xr:uid="{5F420A95-D63D-41CD-96AD-C3C7F4D9D975}"/>
    <cellStyle name="Normal 6 8 2 2" xfId="540" xr:uid="{79ED5FE4-630F-49B2-8768-B9EB24E31D6F}"/>
    <cellStyle name="Normal 6 8 3" xfId="483" xr:uid="{C9F8E370-80AE-4E4B-B4B6-33B4C0E3383A}"/>
    <cellStyle name="Normal 6 9" xfId="241" xr:uid="{4BDFE056-65CF-4098-B3F3-D9EED0EFE97D}"/>
    <cellStyle name="Normal 6 9 2" xfId="420" xr:uid="{38DC966A-29E4-44D7-9675-7ABF7D1380CE}"/>
    <cellStyle name="Normal 6 9 2 2" xfId="542" xr:uid="{49500365-7E59-45EA-BC1F-70BBC85238FF}"/>
    <cellStyle name="Normal 6 9 3" xfId="485" xr:uid="{D788A49D-ACC2-4536-86E8-371548742940}"/>
    <cellStyle name="Normal 7" xfId="295" xr:uid="{119C7F42-C96D-4B74-BA1D-6E2F1C7B2E65}"/>
    <cellStyle name="Normal 7 2" xfId="433" xr:uid="{D6F2B71C-1631-4CBB-B558-1B42412B32A4}"/>
    <cellStyle name="Normal 7 2 2" xfId="553" xr:uid="{78179AB0-C633-44E1-8CDA-37C317586B80}"/>
    <cellStyle name="Normal 7 3" xfId="496" xr:uid="{392DA629-9651-4654-96D5-2D539344D638}"/>
    <cellStyle name="Normal 8" xfId="1" xr:uid="{0CAFB268-1C6F-4F53-BA05-01A96024ECBF}"/>
    <cellStyle name="Nota" xfId="279" xr:uid="{83120851-3F62-403E-94E9-39E4D0E88BAF}"/>
    <cellStyle name="Note 2" xfId="210" xr:uid="{4547F3D9-4936-4485-93BE-464B6C0EF1DE}"/>
    <cellStyle name="Note 3" xfId="172" xr:uid="{C4E6F83E-28DA-4ED2-B401-D830F2828171}"/>
    <cellStyle name="Note 4" xfId="70" xr:uid="{DB84E3DD-ACE8-4357-8F41-5611EE10177A}"/>
    <cellStyle name="Output" xfId="71" xr:uid="{5059D1C2-47A0-472F-A7CB-E750B6A4EFC2}"/>
    <cellStyle name="Output 2" xfId="211" xr:uid="{A363F527-61E8-40D8-ABE3-B0C0B093C933}"/>
    <cellStyle name="Output 2 2" xfId="280" xr:uid="{269E9D8A-83B2-44A4-A58E-AA20AE8AE27B}"/>
    <cellStyle name="Output 3" xfId="173" xr:uid="{A4B26E2C-38E8-40AE-B965-2F2438DF3704}"/>
    <cellStyle name="para" xfId="72" xr:uid="{CD711BD1-DCD1-45FD-8AE0-858809D70298}"/>
    <cellStyle name="para 2" xfId="158" xr:uid="{397BB4B1-8A80-44B4-87EA-C7EE16DA5145}"/>
    <cellStyle name="para 3" xfId="605" xr:uid="{210CFDF5-07A4-4BF7-9CA7-2A3E43886634}"/>
    <cellStyle name="Percent 2" xfId="360" xr:uid="{BEC43EE3-71B6-4B15-9E91-E70546908096}"/>
    <cellStyle name="Pourcentage 2" xfId="162" xr:uid="{40E14E21-14B1-4F21-9305-2EC45871D865}"/>
    <cellStyle name="Pourcentage 2 2" xfId="606" xr:uid="{A92274BF-0F15-4E40-9C3B-684EEB443934}"/>
    <cellStyle name="Pourcentage 3" xfId="146" xr:uid="{A0964FDA-9178-492D-BCDA-449A0BB4C84B}"/>
    <cellStyle name="Satisfaisant 2" xfId="135" xr:uid="{B288BA2A-4ECA-409D-AE83-3C116E615D95}"/>
    <cellStyle name="Satisfaisant 3" xfId="73" xr:uid="{707587A6-C129-4DEA-AD71-0FCBE6455CFC}"/>
    <cellStyle name="sect" xfId="74" xr:uid="{51A9D4A9-41FB-4991-8040-BB9083EBFADD}"/>
    <cellStyle name="sect1" xfId="75" xr:uid="{DD4C8151-B752-4F1D-84EF-97AAA406DE38}"/>
    <cellStyle name="sect2" xfId="76" xr:uid="{1B2E37A2-D87D-4F9E-8F78-272ABD09966E}"/>
    <cellStyle name="sect3" xfId="77" xr:uid="{20DB29BF-3CFD-4C29-B95E-B910105DF91B}"/>
    <cellStyle name="sect4" xfId="78" xr:uid="{241B1119-8C08-451B-9715-07593D59352E}"/>
    <cellStyle name="sect4 2" xfId="607" xr:uid="{EEEE510D-8A8F-4D7A-8EB0-253BD0A1DA8C}"/>
    <cellStyle name="sect5" xfId="79" xr:uid="{6A0E0710-BFAE-40A7-86B9-B633E9BBA71F}"/>
    <cellStyle name="sect5 2" xfId="608" xr:uid="{31BD6838-2C9D-4791-AC91-3C77C87E69DD}"/>
    <cellStyle name="sect6" xfId="80" xr:uid="{E470C77B-F857-4916-B495-46685769DB69}"/>
    <cellStyle name="sect6 2" xfId="609" xr:uid="{75CA5A58-132B-453D-82AC-BF21EF83AAF1}"/>
    <cellStyle name="sect7" xfId="81" xr:uid="{31F434B8-FACE-4795-9616-BBFDB10D6B09}"/>
    <cellStyle name="sect7 2" xfId="610" xr:uid="{C14710AA-ECF6-4429-89ED-5F6B33D4CE0D}"/>
    <cellStyle name="sect8" xfId="82" xr:uid="{4AEADD2D-DF78-4827-A89D-EF9E736DB5F5}"/>
    <cellStyle name="sect8 2" xfId="611" xr:uid="{A4EE754D-A733-4368-B941-9950BDFA3447}"/>
    <cellStyle name="sect9" xfId="83" xr:uid="{1441E5AA-C63A-4BE9-ABA9-3387163D83BD}"/>
    <cellStyle name="sect9 2" xfId="612" xr:uid="{21FDDBE0-F553-410B-840E-BEDD910A0EF9}"/>
    <cellStyle name="Sortie 2" xfId="136" xr:uid="{FADF1A51-DD66-4F84-9A35-00884274F188}"/>
    <cellStyle name="Sortie 2 2" xfId="213" xr:uid="{AA1910A4-8D33-42F1-89B5-28938BBA5D08}"/>
    <cellStyle name="Sortie 2 3" xfId="182" xr:uid="{C5714609-589A-42F1-86D7-085264F126AB}"/>
    <cellStyle name="Sortie 3" xfId="212" xr:uid="{9A55DD75-82EA-440D-A002-BE7C7625DF75}"/>
    <cellStyle name="Sortie 4" xfId="174" xr:uid="{A40EB0B6-D2BE-4A5E-B557-EFEF23241FCE}"/>
    <cellStyle name="Sortie 5" xfId="84" xr:uid="{2A3C6F3C-17C0-4B08-89CC-DF06A2B0C49B}"/>
    <cellStyle name="Style 1" xfId="85" xr:uid="{14C36306-1194-411A-BA66-133B1FB74EC4}"/>
    <cellStyle name="Style 1 2" xfId="613" xr:uid="{7D773038-018A-41D7-BF1A-BE352CCBA582}"/>
    <cellStyle name="tableTitle" xfId="86" xr:uid="{A851FD92-311C-4EDA-BB52-E8006192D4A4}"/>
    <cellStyle name="tableTitle 2" xfId="214" xr:uid="{DD3A4715-F5AF-4917-8087-6F5AB2AD14E8}"/>
    <cellStyle name="tableTitle 3" xfId="175" xr:uid="{A8DC01B0-38CF-43B8-BCC9-9276FBBFF986}"/>
    <cellStyle name="Testo avviso" xfId="281" xr:uid="{75396508-323A-492F-970C-CC28AC91E330}"/>
    <cellStyle name="Testo descrittivo" xfId="282" xr:uid="{CA5A9CDE-79C7-490A-8C28-CB11221ADB44}"/>
    <cellStyle name="Texte explicatif 2" xfId="137" xr:uid="{F16BC464-0FA9-4AAD-B869-06AE6C3526D3}"/>
    <cellStyle name="Texte explicatif 3" xfId="87" xr:uid="{1B84C859-05CF-43F8-B4D9-0DAD0A33BC69}"/>
    <cellStyle name="Title" xfId="88" xr:uid="{7BE7360A-EB6B-4DF2-8706-DE61CD61BBFE}"/>
    <cellStyle name="Title 2" xfId="351" xr:uid="{E63FCB76-935E-4C4B-BF3D-EB53644A5921}"/>
    <cellStyle name="Title 3" xfId="370" xr:uid="{BCE6CCBD-65CE-4FBA-BD36-838CACDF7D71}"/>
    <cellStyle name="Titolo" xfId="283" xr:uid="{83EDA0A5-4A29-4517-A2AB-56990C17ADF2}"/>
    <cellStyle name="Titolo 1" xfId="284" xr:uid="{5FF47B5C-5D43-43EA-941B-8D0D6E50D4E1}"/>
    <cellStyle name="Titolo 2" xfId="285" xr:uid="{DAA5F215-F37E-43B8-AEA0-4F178E0D4738}"/>
    <cellStyle name="Titolo 3" xfId="286" xr:uid="{A1385B5B-7911-4F93-B6CC-9220E9A28433}"/>
    <cellStyle name="Titolo 4" xfId="287" xr:uid="{A3A60D0F-2503-493D-B8E0-3B6708E4571B}"/>
    <cellStyle name="Titre 2" xfId="138" xr:uid="{1FE44420-FD03-4DF9-A101-F8FC424F285E}"/>
    <cellStyle name="Titre 3" xfId="89" xr:uid="{4154F0BE-80D3-4472-A691-5A192A116D60}"/>
    <cellStyle name="Titre 1 2" xfId="139" xr:uid="{5818EC22-4CE8-4F86-BB05-7587A5EB4127}"/>
    <cellStyle name="Titre 1 3" xfId="90" xr:uid="{377EC21E-5C0B-43D0-B698-5D03FAD3C428}"/>
    <cellStyle name="Titre 2 2" xfId="140" xr:uid="{B784F9C5-205C-4268-AD3C-51CACC216D96}"/>
    <cellStyle name="Titre 2 3" xfId="91" xr:uid="{64DDDA1C-0968-4920-A6EA-A9CA9A73C873}"/>
    <cellStyle name="Titre 3 2" xfId="141" xr:uid="{DE70B1BC-F0C7-4F12-A62E-66670C07CDB0}"/>
    <cellStyle name="Titre 3 3" xfId="92" xr:uid="{09D52B2B-D02A-41B8-B4F1-CA5A1A80B3D8}"/>
    <cellStyle name="Titre 4 2" xfId="142" xr:uid="{9EC0736E-3FD0-4650-96BD-6EA5E5C96249}"/>
    <cellStyle name="Titre 4 3" xfId="93" xr:uid="{1C874FE3-0A31-4E75-969D-0A13B7EF2F72}"/>
    <cellStyle name="Total 2" xfId="143" xr:uid="{88B4B1CE-6524-4A78-A89D-2EDB57CE0857}"/>
    <cellStyle name="Total 2 2" xfId="216" xr:uid="{D7B5AE3B-8285-49F9-98BB-AD3A77919FC1}"/>
    <cellStyle name="Total 2 3" xfId="183" xr:uid="{B68C6114-016C-43A9-9759-A99D968749D3}"/>
    <cellStyle name="Total 3" xfId="159" xr:uid="{AC529D1C-D3B1-4445-84B9-AB47CDA2484B}"/>
    <cellStyle name="Total 3 2" xfId="217" xr:uid="{B6D0F4F9-72BD-4A28-B82E-08BA49CA01E1}"/>
    <cellStyle name="Total 3 3" xfId="187" xr:uid="{4A38F863-ECEB-4934-A497-5F2CAD703E77}"/>
    <cellStyle name="Total 4" xfId="215" xr:uid="{7176DD63-CBCD-44D5-B4B1-7DB59CDA019E}"/>
    <cellStyle name="Total 5" xfId="176" xr:uid="{B425E4DD-8F1F-48AD-B4E6-CD985D23FE0F}"/>
    <cellStyle name="Total 6" xfId="301" xr:uid="{0F72DEFF-C425-4D86-80DF-63DD3ED7636F}"/>
    <cellStyle name="Total 7" xfId="94" xr:uid="{92F02EDE-3174-48F4-93A4-B627D3B3E011}"/>
    <cellStyle name="Totale" xfId="288" xr:uid="{23768BAD-251C-40B4-8863-CB94BD832713}"/>
    <cellStyle name="Valore non valido" xfId="289" xr:uid="{266DEC9A-E702-46D7-871D-F1270DDB7949}"/>
    <cellStyle name="Valore valido" xfId="290" xr:uid="{387BA1B5-FC9B-47A0-A9E4-DE8F1D846FD2}"/>
    <cellStyle name="Vérification 2" xfId="144" xr:uid="{E80A500D-8B58-4D3D-9995-F73345A70B83}"/>
    <cellStyle name="Vérification 3" xfId="95" xr:uid="{56AB88E3-1BC9-4AA0-92FB-EC03AD69AE78}"/>
    <cellStyle name="Warning Text" xfId="96" xr:uid="{102FFB31-4E29-4AA3-8A2D-8C35081C0301}"/>
    <cellStyle name="Warning Text 2" xfId="357" xr:uid="{E836C26F-5737-4007-BD0F-B07D99F828C9}"/>
    <cellStyle name="標準_SE640766-DocReg-Rashidiya - Rev A" xfId="97" xr:uid="{54CF2F9F-02ED-4848-BBF4-97F77147265F}"/>
  </cellStyles>
  <dxfs count="9">
    <dxf>
      <fill>
        <patternFill>
          <bgColor rgb="FF83DBA0"/>
        </patternFill>
      </fill>
    </dxf>
    <dxf>
      <fill>
        <patternFill>
          <bgColor rgb="FF83DBA0"/>
        </patternFill>
      </fill>
    </dxf>
    <dxf>
      <fill>
        <patternFill>
          <bgColor rgb="FFFFC000"/>
        </patternFill>
      </fill>
    </dxf>
    <dxf>
      <fill>
        <patternFill>
          <bgColor rgb="FFFF0000"/>
        </patternFill>
      </fill>
    </dxf>
    <dxf>
      <fill>
        <patternFill>
          <bgColor rgb="FF66FF99"/>
        </patternFill>
      </fill>
    </dxf>
    <dxf>
      <fill>
        <patternFill>
          <bgColor rgb="FF8FCF8F"/>
        </patternFill>
      </fill>
    </dxf>
    <dxf>
      <fill>
        <patternFill>
          <bgColor rgb="FF83DBA0"/>
        </patternFill>
      </fill>
    </dxf>
    <dxf>
      <fill>
        <patternFill>
          <bgColor rgb="FF8FCF8F"/>
        </patternFill>
      </fill>
    </dxf>
    <dxf>
      <fill>
        <patternFill>
          <bgColor rgb="FF83DBA0"/>
        </patternFill>
      </fill>
    </dxf>
  </dxfs>
  <tableStyles count="0" defaultTableStyle="TableStyleMedium2" defaultPivotStyle="PivotStyleLight16"/>
  <colors>
    <mruColors>
      <color rgb="FFFF99FF"/>
      <color rgb="FF66FF99"/>
      <color rgb="FF8FCF8F"/>
      <color rgb="FF83DB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FR\CR\PGR_RS\PROJET\MF19\07%20-%20BORDEREAUX\MF19_Bilan_envo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an envois MF19"/>
      <sheetName val="Livrables MF19 - PPD"/>
      <sheetName val="pour import PPD"/>
      <sheetName val="BE MF19 _retard resoumission"/>
      <sheetName val="Réf externe_Métier"/>
    </sheetNames>
    <sheetDataSet>
      <sheetData sheetId="0"/>
      <sheetData sheetId="1">
        <row r="1">
          <cell r="A1" t="str">
            <v>reference AT-BT</v>
          </cell>
          <cell r="B1" t="str">
            <v>Reference_JS0</v>
          </cell>
          <cell r="C1" t="str">
            <v>Nr Livrable</v>
          </cell>
          <cell r="D1" t="str">
            <v>Index</v>
          </cell>
          <cell r="E1" t="str">
            <v>Livrable</v>
          </cell>
          <cell r="F1" t="str">
            <v>rev</v>
          </cell>
          <cell r="G1" t="str">
            <v>Titre</v>
          </cell>
          <cell r="H1" t="str">
            <v>Reference RATP</v>
          </cell>
          <cell r="I1" t="str">
            <v>ABS</v>
          </cell>
          <cell r="J1" t="str">
            <v>PBS</v>
          </cell>
          <cell r="K1" t="str">
            <v>Doc Type</v>
          </cell>
          <cell r="L1" t="str">
            <v>Service</v>
          </cell>
          <cell r="M1" t="str">
            <v>Domaine</v>
          </cell>
          <cell r="N1" t="str">
            <v>Type Dossier</v>
          </cell>
          <cell r="O1" t="str">
            <v>Catégorie</v>
          </cell>
          <cell r="P1" t="str">
            <v>Tranches concernées</v>
          </cell>
          <cell r="Q1" t="str">
            <v>effectivité dernier envoi</v>
          </cell>
          <cell r="R1" t="str">
            <v>Site Emetteur</v>
          </cell>
          <cell r="S1" t="str">
            <v>Leader technique</v>
          </cell>
          <cell r="T1" t="str">
            <v>Co editeur</v>
          </cell>
          <cell r="U1" t="str">
            <v>Responsable</v>
          </cell>
          <cell r="V1" t="str">
            <v>Fournisseur</v>
          </cell>
          <cell r="W1" t="str">
            <v>Doc confidentiel</v>
          </cell>
          <cell r="X1" t="str">
            <v>Type Document</v>
          </cell>
          <cell r="Y1" t="str">
            <v>Fourniture Natif</v>
          </cell>
          <cell r="Z1" t="str">
            <v>RTS doc</v>
          </cell>
          <cell r="AA1" t="str">
            <v>Poste</v>
          </cell>
          <cell r="AB1" t="str">
            <v>Domaine RATP</v>
          </cell>
          <cell r="AC1" t="str">
            <v>Métier</v>
          </cell>
          <cell r="AD1" t="str">
            <v>N° MF19</v>
          </cell>
          <cell r="AE1" t="str">
            <v>Nom</v>
          </cell>
          <cell r="AF1" t="str">
            <v>§</v>
          </cell>
          <cell r="AG1" t="str">
            <v>Catégorie RATP</v>
          </cell>
          <cell r="AH1" t="str">
            <v>Règle de répartition</v>
          </cell>
          <cell r="AI1" t="str">
            <v>Quantité estimée de documents</v>
          </cell>
          <cell r="AJ1" t="str">
            <v>JS0</v>
          </cell>
          <cell r="AK1" t="str">
            <v>JS0
+4MOIS</v>
          </cell>
          <cell r="AL1" t="str">
            <v>JS1</v>
          </cell>
          <cell r="AM1" t="str">
            <v>JS2
-3MOIS</v>
          </cell>
          <cell r="AN1" t="str">
            <v>JS2</v>
          </cell>
          <cell r="AO1" t="str">
            <v>JS2
+3MOIS</v>
          </cell>
          <cell r="AP1" t="str">
            <v>JD1</v>
          </cell>
          <cell r="AQ1" t="str">
            <v>JD2.1</v>
          </cell>
          <cell r="AR1" t="str">
            <v>JD1 +5mois</v>
          </cell>
          <cell r="AS1" t="str">
            <v>JP1.1</v>
          </cell>
          <cell r="AT1" t="str">
            <v>JP2.1.T1</v>
          </cell>
          <cell r="AU1" t="str">
            <v>JD2.2</v>
          </cell>
          <cell r="AV1" t="str">
            <v>JP2.1.T2</v>
          </cell>
          <cell r="AW1" t="str">
            <v>JA1</v>
          </cell>
          <cell r="AX1" t="str">
            <v>JP3.T1</v>
          </cell>
          <cell r="AY1" t="str">
            <v>JP1.2</v>
          </cell>
          <cell r="AZ1" t="str">
            <v>JP2.1.Ti</v>
          </cell>
          <cell r="BA1" t="str">
            <v>JP2.2</v>
          </cell>
          <cell r="BB1" t="str">
            <v>JP3.Ti</v>
          </cell>
          <cell r="BC1" t="str">
            <v>JU1.1</v>
          </cell>
          <cell r="BD1" t="str">
            <v>JD2.2TL</v>
          </cell>
          <cell r="BE1" t="str">
            <v>JU1.2</v>
          </cell>
          <cell r="BF1" t="str">
            <v>JU2.T1</v>
          </cell>
          <cell r="BG1" t="str">
            <v>JU2.Ti</v>
          </cell>
          <cell r="BH1" t="str">
            <v>date prev JS0</v>
          </cell>
          <cell r="BI1" t="str">
            <v>date prev JS0+4</v>
          </cell>
          <cell r="BJ1" t="str">
            <v>date prev JS1</v>
          </cell>
          <cell r="BK1" t="str">
            <v>date prev JS2-3</v>
          </cell>
          <cell r="BL1" t="str">
            <v>date prev JS2</v>
          </cell>
          <cell r="BM1" t="str">
            <v>date prev JS2+3</v>
          </cell>
          <cell r="BN1" t="str">
            <v>date prev JD1</v>
          </cell>
          <cell r="BO1" t="str">
            <v>date prev JD2.1</v>
          </cell>
          <cell r="BP1" t="str">
            <v>date prev JD1+5</v>
          </cell>
          <cell r="BQ1" t="str">
            <v>date prev JP1.1</v>
          </cell>
          <cell r="BR1" t="str">
            <v>date prev JP2.1.T1</v>
          </cell>
          <cell r="BS1" t="str">
            <v>date prev JD2.2</v>
          </cell>
          <cell r="BT1" t="str">
            <v>date prev JP2.1.T2</v>
          </cell>
          <cell r="BU1" t="str">
            <v>date prev JA1</v>
          </cell>
          <cell r="BV1" t="str">
            <v>date prev JP3.T1</v>
          </cell>
          <cell r="BW1" t="str">
            <v>date prev JP1.2</v>
          </cell>
          <cell r="BX1" t="str">
            <v>date prev JP2.1.Ti</v>
          </cell>
          <cell r="BY1" t="str">
            <v>date prev JP2.2</v>
          </cell>
          <cell r="BZ1" t="str">
            <v>date prev JP3.Ti</v>
          </cell>
          <cell r="CA1" t="str">
            <v>date prev JU1.1</v>
          </cell>
          <cell r="CB1" t="str">
            <v>date prev JD2.2TL</v>
          </cell>
          <cell r="CC1" t="str">
            <v>date prev JU1.2</v>
          </cell>
          <cell r="CD1" t="str">
            <v>date prev JU2.T1</v>
          </cell>
          <cell r="CE1" t="str">
            <v>date prev JU2.Ti</v>
          </cell>
          <cell r="CF1" t="str">
            <v>Référence PDM de la doc FNR</v>
          </cell>
          <cell r="CG1" t="str">
            <v>Commentaire BT</v>
          </cell>
          <cell r="CH1" t="str">
            <v>Bordereau</v>
          </cell>
          <cell r="CI1" t="str">
            <v>Statut
RATP</v>
          </cell>
        </row>
        <row r="2">
          <cell r="A2" t="str">
            <v>ADD0003308400</v>
          </cell>
          <cell r="B2" t="str">
            <v>Ligne_1_PPD</v>
          </cell>
          <cell r="C2">
            <v>1</v>
          </cell>
          <cell r="E2" t="str">
            <v>Plan de management Projet (PM)</v>
          </cell>
          <cell r="F2" t="str">
            <v>B</v>
          </cell>
          <cell r="G2" t="str">
            <v>PLAN DE MANAGEMENT PROJET-PMP</v>
          </cell>
          <cell r="I2" t="str">
            <v>M000</v>
          </cell>
          <cell r="J2" t="str">
            <v>AA</v>
          </cell>
          <cell r="K2" t="str">
            <v>D00079</v>
          </cell>
          <cell r="M2" t="str">
            <v>M-00-60-PROJET</v>
          </cell>
          <cell r="N2" t="str">
            <v>DM</v>
          </cell>
          <cell r="O2" t="str">
            <v>PMN_PLAN MANAGMT</v>
          </cell>
          <cell r="Q2">
            <v>0</v>
          </cell>
          <cell r="R2" t="str">
            <v>VPF</v>
          </cell>
          <cell r="S2" t="str">
            <v>AT</v>
          </cell>
          <cell r="T2" t="str">
            <v>BT</v>
          </cell>
          <cell r="U2" t="str">
            <v>T.BONNEFOUS</v>
          </cell>
          <cell r="V2" t="str">
            <v>ALSTOM</v>
          </cell>
          <cell r="W2" t="str">
            <v>N</v>
          </cell>
          <cell r="X2" t="str">
            <v>Contractuel Management</v>
          </cell>
          <cell r="Z2" t="str">
            <v>RTS 178 JS2 RP11 22/07/2020</v>
          </cell>
          <cell r="AA2" t="str">
            <v>E</v>
          </cell>
          <cell r="AB2" t="str">
            <v>Projet</v>
          </cell>
          <cell r="AC2" t="str">
            <v>RP11/CA</v>
          </cell>
          <cell r="AD2" t="str">
            <v>SM ET.4-10639</v>
          </cell>
          <cell r="AE2" t="str">
            <v>Spécification de management MF19</v>
          </cell>
          <cell r="AF2" t="str">
            <v>1.2</v>
          </cell>
          <cell r="AI2">
            <v>1</v>
          </cell>
          <cell r="AJ2" t="str">
            <v>FP</v>
          </cell>
          <cell r="AL2" t="str">
            <v>FD</v>
          </cell>
          <cell r="BJ2">
            <v>43987</v>
          </cell>
          <cell r="CH2" t="str">
            <v>MF19_BORD_AT_00009</v>
          </cell>
          <cell r="CI2" t="str">
            <v>A</v>
          </cell>
          <cell r="CJ2" t="str">
            <v>FD</v>
          </cell>
        </row>
        <row r="3">
          <cell r="A3" t="str">
            <v>ADD0003308402</v>
          </cell>
          <cell r="B3" t="str">
            <v>Ligne_2_PPD</v>
          </cell>
          <cell r="C3">
            <v>2</v>
          </cell>
          <cell r="E3" t="str">
            <v>Plan de management de la Qualité projet (PMQP)</v>
          </cell>
          <cell r="F3" t="str">
            <v>C</v>
          </cell>
          <cell r="G3" t="str">
            <v>PLAN DE MANAGEMENT DE LA QUALITE GROUPEMENT-PMQG</v>
          </cell>
          <cell r="I3" t="str">
            <v>M000</v>
          </cell>
          <cell r="J3" t="str">
            <v>AA</v>
          </cell>
          <cell r="K3" t="str">
            <v>D00078</v>
          </cell>
          <cell r="M3" t="str">
            <v>M-09_ASSURANCE_QUALITE</v>
          </cell>
          <cell r="N3" t="str">
            <v>DM</v>
          </cell>
          <cell r="O3" t="str">
            <v>PMN_PLAN MANAGMT</v>
          </cell>
          <cell r="Q3">
            <v>0</v>
          </cell>
          <cell r="R3" t="str">
            <v>VPF</v>
          </cell>
          <cell r="S3" t="str">
            <v>AT</v>
          </cell>
          <cell r="T3" t="str">
            <v>BT</v>
          </cell>
          <cell r="U3" t="str">
            <v>L.FREMY</v>
          </cell>
          <cell r="V3" t="str">
            <v>ALSTOM</v>
          </cell>
          <cell r="W3" t="str">
            <v>N</v>
          </cell>
          <cell r="X3" t="str">
            <v>Contractuel Management</v>
          </cell>
          <cell r="AA3" t="str">
            <v>E</v>
          </cell>
          <cell r="AB3" t="str">
            <v>Projet</v>
          </cell>
          <cell r="AC3" t="str">
            <v>RP11/CA</v>
          </cell>
          <cell r="AD3" t="str">
            <v>SM ET.4-10639</v>
          </cell>
          <cell r="AE3" t="str">
            <v>Spécification de management MF19</v>
          </cell>
          <cell r="AF3" t="str">
            <v>9.1</v>
          </cell>
          <cell r="AI3">
            <v>1</v>
          </cell>
          <cell r="AJ3" t="str">
            <v>FP</v>
          </cell>
          <cell r="AL3" t="str">
            <v>FD</v>
          </cell>
          <cell r="BJ3">
            <v>44005</v>
          </cell>
          <cell r="CH3" t="str">
            <v>MF19_BORD_AT_00012</v>
          </cell>
          <cell r="CI3" t="str">
            <v>A</v>
          </cell>
          <cell r="CJ3" t="str">
            <v>FD</v>
          </cell>
        </row>
        <row r="4">
          <cell r="B4" t="str">
            <v>Ligne_3_PPD</v>
          </cell>
          <cell r="C4">
            <v>3</v>
          </cell>
          <cell r="E4" t="str">
            <v>Plan de gestion de la configuration documentaire</v>
          </cell>
          <cell r="G4" t="str">
            <v>renvoi au plan de management de la documentation 335</v>
          </cell>
          <cell r="R4" t="str">
            <v>NA</v>
          </cell>
          <cell r="S4" t="str">
            <v>AT</v>
          </cell>
          <cell r="T4" t="str">
            <v>NA</v>
          </cell>
          <cell r="U4" t="str">
            <v>O.DUQUESNOY</v>
          </cell>
          <cell r="AA4" t="str">
            <v>E</v>
          </cell>
          <cell r="AB4" t="str">
            <v>Projet</v>
          </cell>
          <cell r="AC4" t="str">
            <v>RP11/CA</v>
          </cell>
          <cell r="AD4" t="str">
            <v>SM ET.4-10639</v>
          </cell>
          <cell r="AE4" t="str">
            <v>Spécification de management MF19</v>
          </cell>
          <cell r="AF4" t="str">
            <v>10.5.4</v>
          </cell>
          <cell r="AI4" t="str">
            <v>RENVOI</v>
          </cell>
          <cell r="AL4" t="str">
            <v>FD</v>
          </cell>
          <cell r="CH4" t="e">
            <v>#N/A</v>
          </cell>
          <cell r="CI4" t="e">
            <v>#N/A</v>
          </cell>
          <cell r="CJ4" t="e">
            <v>#N/A</v>
          </cell>
        </row>
        <row r="5">
          <cell r="B5" t="str">
            <v>Ligne_4_PPD</v>
          </cell>
          <cell r="C5">
            <v>4</v>
          </cell>
          <cell r="E5" t="str">
            <v>Plan de management des risques du projet MF19</v>
          </cell>
          <cell r="G5" t="str">
            <v>renvoi au PMP 1</v>
          </cell>
          <cell r="R5" t="str">
            <v>NA</v>
          </cell>
          <cell r="S5" t="str">
            <v>AT</v>
          </cell>
          <cell r="T5" t="str">
            <v>NA</v>
          </cell>
          <cell r="U5" t="str">
            <v>T.BONNEFOUS</v>
          </cell>
          <cell r="AA5" t="str">
            <v>E</v>
          </cell>
          <cell r="AB5" t="str">
            <v>Projet</v>
          </cell>
          <cell r="AC5" t="str">
            <v>RP11/CA</v>
          </cell>
          <cell r="AD5" t="str">
            <v>SM ET.4-10639</v>
          </cell>
          <cell r="AE5" t="str">
            <v>Spécification de management MF19</v>
          </cell>
          <cell r="AF5" t="str">
            <v>11.2</v>
          </cell>
          <cell r="AI5" t="str">
            <v>RENVOI</v>
          </cell>
          <cell r="AL5" t="str">
            <v>FD</v>
          </cell>
          <cell r="CH5" t="e">
            <v>#N/A</v>
          </cell>
          <cell r="CI5" t="e">
            <v>#N/A</v>
          </cell>
          <cell r="CJ5" t="e">
            <v>#N/A</v>
          </cell>
        </row>
        <row r="6">
          <cell r="A6" t="str">
            <v>ADD0003308438</v>
          </cell>
          <cell r="B6" t="str">
            <v>Ligne_5_PPD</v>
          </cell>
          <cell r="C6">
            <v>5</v>
          </cell>
          <cell r="E6" t="str">
            <v>Suivi de la documentation MF19</v>
          </cell>
          <cell r="F6" t="str">
            <v>B</v>
          </cell>
          <cell r="G6" t="str">
            <v>SUIVI DE LA DOCUMENTATION MF19-PPD</v>
          </cell>
          <cell r="I6" t="str">
            <v>M000</v>
          </cell>
          <cell r="J6" t="str">
            <v>AA</v>
          </cell>
          <cell r="K6" t="str">
            <v>D00022</v>
          </cell>
          <cell r="M6" t="str">
            <v>M-10_GESTION_DE_LA_DOCUMENTATION</v>
          </cell>
          <cell r="N6" t="str">
            <v>DM</v>
          </cell>
          <cell r="O6" t="str">
            <v>PMN_PLAN MANAGMT</v>
          </cell>
          <cell r="Q6">
            <v>0</v>
          </cell>
          <cell r="R6" t="str">
            <v>VPF</v>
          </cell>
          <cell r="S6" t="str">
            <v>AT</v>
          </cell>
          <cell r="T6" t="str">
            <v>BT</v>
          </cell>
          <cell r="U6" t="str">
            <v>O.DUQUESNOY</v>
          </cell>
          <cell r="V6" t="str">
            <v>ALSTOM</v>
          </cell>
          <cell r="W6" t="str">
            <v>N</v>
          </cell>
          <cell r="X6" t="str">
            <v>Contractuel Management</v>
          </cell>
          <cell r="Z6" t="str">
            <v>RTS 178 JS2 RP11 22/07/2020</v>
          </cell>
          <cell r="AA6" t="str">
            <v>E</v>
          </cell>
          <cell r="AB6" t="str">
            <v>Projet</v>
          </cell>
          <cell r="AC6" t="str">
            <v>RP11/CA</v>
          </cell>
          <cell r="AD6" t="str">
            <v>SM ET.4-10639</v>
          </cell>
          <cell r="AE6" t="str">
            <v>Spécification de management MF19</v>
          </cell>
          <cell r="AF6" t="str">
            <v>10.2</v>
          </cell>
          <cell r="AI6">
            <v>1</v>
          </cell>
          <cell r="AJ6" t="str">
            <v>FP</v>
          </cell>
          <cell r="AL6" t="str">
            <v>FD</v>
          </cell>
          <cell r="AN6" t="str">
            <v>Maj</v>
          </cell>
          <cell r="AP6" t="str">
            <v>Maj</v>
          </cell>
          <cell r="AQ6" t="str">
            <v>Maj</v>
          </cell>
          <cell r="AS6" t="str">
            <v>Maj</v>
          </cell>
          <cell r="AU6" t="str">
            <v>Maj</v>
          </cell>
          <cell r="AW6" t="str">
            <v>Maj</v>
          </cell>
          <cell r="AY6" t="str">
            <v>Maj</v>
          </cell>
          <cell r="AZ6" t="str">
            <v>Maj</v>
          </cell>
          <cell r="BA6" t="str">
            <v>Maj</v>
          </cell>
          <cell r="BB6" t="str">
            <v>Maj</v>
          </cell>
          <cell r="BC6" t="str">
            <v>Maj</v>
          </cell>
          <cell r="BE6" t="str">
            <v>Maj</v>
          </cell>
          <cell r="BG6" t="str">
            <v>Maj</v>
          </cell>
          <cell r="BJ6">
            <v>44022</v>
          </cell>
          <cell r="CH6" t="str">
            <v>MF19_BORD_AT_00030</v>
          </cell>
          <cell r="CI6" t="str">
            <v>AR</v>
          </cell>
          <cell r="CJ6" t="str">
            <v>FD</v>
          </cell>
        </row>
        <row r="7">
          <cell r="A7" t="str">
            <v>ADD0003308487</v>
          </cell>
          <cell r="B7" t="str">
            <v>Ligne_6_PPD</v>
          </cell>
          <cell r="C7">
            <v>6</v>
          </cell>
          <cell r="E7" t="str">
            <v>Liste des essais envisagés (plan de validation)</v>
          </cell>
          <cell r="F7" t="str">
            <v>A</v>
          </cell>
          <cell r="G7" t="str">
            <v>PLAN DE VALIDATION</v>
          </cell>
          <cell r="I7" t="str">
            <v>T100</v>
          </cell>
          <cell r="J7" t="str">
            <v>AA</v>
          </cell>
          <cell r="K7" t="str">
            <v>D00036</v>
          </cell>
          <cell r="M7" t="str">
            <v>000_TRANSVERSAL_TRAIN</v>
          </cell>
          <cell r="N7" t="str">
            <v>DJD</v>
          </cell>
          <cell r="O7" t="str">
            <v>PRT_PROG. ESSAIS DE TYPE</v>
          </cell>
          <cell r="Q7">
            <v>0</v>
          </cell>
          <cell r="R7" t="str">
            <v>VPF</v>
          </cell>
          <cell r="S7" t="str">
            <v>AT</v>
          </cell>
          <cell r="T7" t="str">
            <v>BT</v>
          </cell>
          <cell r="U7" t="str">
            <v>C.DUGIMONT</v>
          </cell>
          <cell r="V7" t="str">
            <v xml:space="preserve">ALSTOM </v>
          </cell>
          <cell r="W7" t="str">
            <v>N</v>
          </cell>
          <cell r="X7" t="str">
            <v>Document contractuel FD</v>
          </cell>
          <cell r="AA7" t="str">
            <v>E</v>
          </cell>
          <cell r="AB7" t="str">
            <v>Projet</v>
          </cell>
          <cell r="AC7" t="str">
            <v>RP11/CA</v>
          </cell>
          <cell r="AD7" t="str">
            <v>SM ET.4-10639</v>
          </cell>
          <cell r="AE7" t="str">
            <v>Spécification de management MF19</v>
          </cell>
          <cell r="AF7" t="str">
            <v>2.2.1.2</v>
          </cell>
          <cell r="AI7">
            <v>1</v>
          </cell>
          <cell r="AL7" t="str">
            <v>FD</v>
          </cell>
          <cell r="AN7" t="str">
            <v>Maj</v>
          </cell>
          <cell r="BJ7">
            <v>44022</v>
          </cell>
          <cell r="CH7" t="str">
            <v>MF19_BORD_AT_00040</v>
          </cell>
          <cell r="CI7" t="str">
            <v>-</v>
          </cell>
          <cell r="CJ7" t="str">
            <v>Maj</v>
          </cell>
        </row>
        <row r="8">
          <cell r="B8" t="str">
            <v>Ligne_7_PPD</v>
          </cell>
          <cell r="C8">
            <v>7</v>
          </cell>
          <cell r="E8" t="str">
            <v xml:space="preserve">Liste des IPA envisagées </v>
          </cell>
          <cell r="G8" t="str">
            <v>renvoi vers la LCPF</v>
          </cell>
          <cell r="R8" t="str">
            <v>NA</v>
          </cell>
          <cell r="S8" t="str">
            <v>ABT</v>
          </cell>
          <cell r="T8" t="str">
            <v>NA</v>
          </cell>
          <cell r="U8" t="str">
            <v>NA</v>
          </cell>
          <cell r="AA8" t="str">
            <v>E</v>
          </cell>
          <cell r="AB8" t="str">
            <v>Qualité</v>
          </cell>
          <cell r="AC8" t="str">
            <v>EAQ</v>
          </cell>
          <cell r="AD8" t="str">
            <v>SM ET.4-10639</v>
          </cell>
          <cell r="AE8" t="str">
            <v>Spécification de management MF19</v>
          </cell>
          <cell r="AF8" t="str">
            <v>2.2.1.2</v>
          </cell>
          <cell r="AI8" t="str">
            <v>RENVOI</v>
          </cell>
          <cell r="AL8" t="str">
            <v>FD</v>
          </cell>
          <cell r="CH8" t="e">
            <v>#N/A</v>
          </cell>
          <cell r="CI8" t="e">
            <v>#N/A</v>
          </cell>
          <cell r="CJ8" t="e">
            <v>#N/A</v>
          </cell>
        </row>
        <row r="9">
          <cell r="A9" t="str">
            <v>ADD0003308514</v>
          </cell>
          <cell r="B9" t="str">
            <v>Ligne_8_PPD</v>
          </cell>
          <cell r="C9">
            <v>8</v>
          </cell>
          <cell r="E9" t="str">
            <v>Organigramme des Tâches (peut être intégré au plan de management)</v>
          </cell>
          <cell r="F9" t="str">
            <v>A</v>
          </cell>
          <cell r="G9" t="str">
            <v>ORGANIGRAMME DES TACHES</v>
          </cell>
          <cell r="I9" t="str">
            <v>D000</v>
          </cell>
          <cell r="J9" t="str">
            <v>AA</v>
          </cell>
          <cell r="K9" t="str">
            <v>D00079</v>
          </cell>
          <cell r="M9" t="str">
            <v>M-02_ORGANIGRAMME_DES_TACHES_ARBORESCENCE</v>
          </cell>
          <cell r="N9" t="str">
            <v>DM</v>
          </cell>
          <cell r="O9" t="str">
            <v>PMN_PLAN MANAGMT</v>
          </cell>
          <cell r="Q9">
            <v>0</v>
          </cell>
          <cell r="R9" t="str">
            <v>VPF</v>
          </cell>
          <cell r="S9" t="str">
            <v>AT</v>
          </cell>
          <cell r="T9" t="str">
            <v>BT</v>
          </cell>
          <cell r="U9" t="str">
            <v>H.EL-BOUSSAIRI</v>
          </cell>
          <cell r="V9" t="str">
            <v>ALSTOM</v>
          </cell>
          <cell r="W9" t="str">
            <v>N</v>
          </cell>
          <cell r="X9" t="str">
            <v>Contractuel Management</v>
          </cell>
          <cell r="AA9" t="str">
            <v>E</v>
          </cell>
          <cell r="AB9" t="str">
            <v>Projet</v>
          </cell>
          <cell r="AC9" t="str">
            <v>RP11/CA</v>
          </cell>
          <cell r="AD9" t="str">
            <v>SM ET.4-10639</v>
          </cell>
          <cell r="AE9" t="str">
            <v>Spécification de management MF19</v>
          </cell>
          <cell r="AF9" t="str">
            <v>3.4</v>
          </cell>
          <cell r="AI9">
            <v>1</v>
          </cell>
          <cell r="AL9" t="str">
            <v>FD</v>
          </cell>
          <cell r="BJ9">
            <v>44011</v>
          </cell>
          <cell r="CH9" t="str">
            <v>MF19_BORD_AT_00026</v>
          </cell>
          <cell r="CI9" t="str">
            <v>A</v>
          </cell>
          <cell r="CJ9" t="str">
            <v>FD</v>
          </cell>
        </row>
        <row r="10">
          <cell r="A10">
            <v>100438801</v>
          </cell>
          <cell r="B10" t="str">
            <v>Ligne_9_PPD</v>
          </cell>
          <cell r="C10">
            <v>9</v>
          </cell>
          <cell r="E10" t="str">
            <v>Les orientations techniques retenues au niveau système et sous-système :
Les informations données décrivent l’architecture générale, les architectures spécifiques et les solutions proposées. Le dossier comprend au minimum : la composition motrice/remorque</v>
          </cell>
          <cell r="F10" t="str">
            <v>E</v>
          </cell>
          <cell r="G10" t="str">
            <v>ORGANE DU ROULEMENT</v>
          </cell>
          <cell r="M10" t="str">
            <v>100_ROULEMENT</v>
          </cell>
          <cell r="N10" t="str">
            <v>DS</v>
          </cell>
          <cell r="O10" t="str">
            <v>SP_SPECIF</v>
          </cell>
          <cell r="Q10">
            <v>0</v>
          </cell>
          <cell r="R10" t="str">
            <v>BT</v>
          </cell>
          <cell r="S10" t="str">
            <v>BT</v>
          </cell>
          <cell r="T10" t="str">
            <v>EX</v>
          </cell>
          <cell r="U10" t="str">
            <v>Dominique Morel</v>
          </cell>
          <cell r="V10" t="str">
            <v>BOMBARDIER</v>
          </cell>
          <cell r="W10" t="str">
            <v>N</v>
          </cell>
          <cell r="X10" t="str">
            <v>Document contractuel FD</v>
          </cell>
          <cell r="AA10" t="str">
            <v>E</v>
          </cell>
          <cell r="AB10" t="str">
            <v>Mécanique</v>
          </cell>
          <cell r="AC10" t="str">
            <v>EMR</v>
          </cell>
          <cell r="AD10" t="str">
            <v>SF EM.4-40092</v>
          </cell>
          <cell r="AE10" t="str">
            <v xml:space="preserve">Roulement
</v>
          </cell>
          <cell r="AF10" t="str">
            <v xml:space="preserve">3
</v>
          </cell>
          <cell r="AI10">
            <v>1</v>
          </cell>
          <cell r="AJ10" t="str">
            <v>FP</v>
          </cell>
          <cell r="AL10" t="str">
            <v>FD</v>
          </cell>
          <cell r="BJ10">
            <v>43980</v>
          </cell>
          <cell r="CH10" t="str">
            <v>MF19_BORD_BT_00035</v>
          </cell>
          <cell r="CI10" t="str">
            <v>-</v>
          </cell>
          <cell r="CJ10" t="str">
            <v>FD</v>
          </cell>
        </row>
        <row r="11">
          <cell r="B11" t="str">
            <v>Ligne_10_PPD</v>
          </cell>
          <cell r="C11">
            <v>10</v>
          </cell>
          <cell r="E11" t="str">
            <v xml:space="preserve">La note de calcul de la fonction guidage assurant la maîtrise du risque de déraillement, de l'endommagement de l'infrastructure et du respect du gabarit, au niveau roulement </v>
          </cell>
          <cell r="G11" t="str">
            <v>LIVRABLE</v>
          </cell>
          <cell r="R11" t="str">
            <v>NA</v>
          </cell>
          <cell r="S11" t="str">
            <v>BT</v>
          </cell>
          <cell r="T11" t="str">
            <v>NA</v>
          </cell>
          <cell r="U11" t="str">
            <v>Bogie</v>
          </cell>
          <cell r="AA11" t="str">
            <v>E</v>
          </cell>
          <cell r="AB11" t="str">
            <v>Mécanique</v>
          </cell>
          <cell r="AC11" t="str">
            <v>EMR</v>
          </cell>
          <cell r="AD11" t="str">
            <v>SF EM.4-40092</v>
          </cell>
          <cell r="AE11" t="str">
            <v xml:space="preserve">Roulement
</v>
          </cell>
          <cell r="AF11" t="str">
            <v xml:space="preserve">3
</v>
          </cell>
          <cell r="AI11" t="str">
            <v>LIVRABLE</v>
          </cell>
          <cell r="AL11" t="str">
            <v>FD</v>
          </cell>
          <cell r="CH11" t="e">
            <v>#N/A</v>
          </cell>
          <cell r="CI11" t="e">
            <v>#N/A</v>
          </cell>
          <cell r="CJ11" t="e">
            <v>#N/A</v>
          </cell>
        </row>
        <row r="12">
          <cell r="A12">
            <v>100447608</v>
          </cell>
          <cell r="B12" t="str">
            <v>Ligne_10.1_PPD</v>
          </cell>
          <cell r="C12" t="str">
            <v>10.1</v>
          </cell>
          <cell r="E12" t="str">
            <v xml:space="preserve">La note de calcul de la fonction guidage assurant la maîtrise du risque de déraillement, de l'endommagement de l'infrastructure et du respect du gabarit, au niveau roulement </v>
          </cell>
          <cell r="F12" t="str">
            <v>A</v>
          </cell>
          <cell r="G12" t="str">
            <v>MODELISATION ET DONNEES D ENTREE</v>
          </cell>
          <cell r="M12" t="str">
            <v>F-01_ROULEMENT</v>
          </cell>
          <cell r="N12" t="str">
            <v>DJD</v>
          </cell>
          <cell r="O12" t="str">
            <v>NC_NOTE DE CALCUL</v>
          </cell>
          <cell r="Q12">
            <v>0</v>
          </cell>
          <cell r="R12" t="str">
            <v>BT</v>
          </cell>
          <cell r="S12" t="str">
            <v>BT</v>
          </cell>
          <cell r="T12" t="str">
            <v>EX</v>
          </cell>
          <cell r="U12" t="str">
            <v>Johannes Picht</v>
          </cell>
          <cell r="V12" t="str">
            <v>BOMBARDIER</v>
          </cell>
          <cell r="W12" t="str">
            <v>N</v>
          </cell>
          <cell r="X12" t="str">
            <v>Document contractuel FP</v>
          </cell>
          <cell r="Z12" t="str">
            <v>RTS 188 JS2 EMR 03/09/2020</v>
          </cell>
          <cell r="AA12" t="str">
            <v>E</v>
          </cell>
          <cell r="AB12" t="str">
            <v>Mécanique</v>
          </cell>
          <cell r="AC12" t="str">
            <v>EMR</v>
          </cell>
          <cell r="AD12" t="str">
            <v>SF EM.4-40092</v>
          </cell>
          <cell r="AE12" t="str">
            <v xml:space="preserve">Roulement
</v>
          </cell>
          <cell r="AF12" t="str">
            <v xml:space="preserve">3
</v>
          </cell>
          <cell r="AI12">
            <v>1</v>
          </cell>
          <cell r="AL12" t="str">
            <v>FP</v>
          </cell>
          <cell r="AN12" t="str">
            <v>FP</v>
          </cell>
          <cell r="AO12" t="str">
            <v>FD</v>
          </cell>
          <cell r="BJ12">
            <v>44022</v>
          </cell>
          <cell r="CH12" t="str">
            <v>MF19_BORD_BT_00014</v>
          </cell>
          <cell r="CI12" t="str">
            <v>AR</v>
          </cell>
          <cell r="CJ12" t="str">
            <v>FP</v>
          </cell>
        </row>
        <row r="13">
          <cell r="A13">
            <v>100447609</v>
          </cell>
          <cell r="B13" t="str">
            <v>Ligne_10.2_PPD</v>
          </cell>
          <cell r="C13" t="str">
            <v>10.2</v>
          </cell>
          <cell r="E13" t="str">
            <v xml:space="preserve">La note de calcul de la fonction guidage assurant la maîtrise du risque de déraillement, de l'endommagement de l'infrastructure et du respect du gabarit, au niveau roulement </v>
          </cell>
          <cell r="F13" t="str">
            <v>A</v>
          </cell>
          <cell r="G13" t="str">
            <v>SECURITE CONTRE LE DERAILLEMENT</v>
          </cell>
          <cell r="M13" t="str">
            <v>F-01_ROULEMENT</v>
          </cell>
          <cell r="N13" t="str">
            <v>DJD</v>
          </cell>
          <cell r="O13" t="str">
            <v>NC_NOTE DE CALCUL</v>
          </cell>
          <cell r="Q13">
            <v>0</v>
          </cell>
          <cell r="R13" t="str">
            <v>BT</v>
          </cell>
          <cell r="S13" t="str">
            <v>BT</v>
          </cell>
          <cell r="T13" t="str">
            <v>EX</v>
          </cell>
          <cell r="U13" t="str">
            <v>Johannes Picht</v>
          </cell>
          <cell r="V13" t="str">
            <v>BOMBARDIER</v>
          </cell>
          <cell r="W13" t="str">
            <v>N</v>
          </cell>
          <cell r="X13" t="str">
            <v>Document contractuel FP</v>
          </cell>
          <cell r="Z13" t="str">
            <v>RTS 188 JS2 EMR 03/09/2020</v>
          </cell>
          <cell r="AA13" t="str">
            <v>E</v>
          </cell>
          <cell r="AB13" t="str">
            <v>Mécanique</v>
          </cell>
          <cell r="AC13" t="str">
            <v>EMR</v>
          </cell>
          <cell r="AD13" t="str">
            <v>SF EM.4-40092</v>
          </cell>
          <cell r="AE13" t="str">
            <v xml:space="preserve">Roulement
</v>
          </cell>
          <cell r="AF13" t="str">
            <v xml:space="preserve">3
</v>
          </cell>
          <cell r="AI13">
            <v>1</v>
          </cell>
          <cell r="AL13" t="str">
            <v>FP</v>
          </cell>
          <cell r="AN13" t="str">
            <v>FP</v>
          </cell>
          <cell r="AO13" t="str">
            <v>FD</v>
          </cell>
          <cell r="BJ13">
            <v>44022</v>
          </cell>
          <cell r="CH13" t="str">
            <v>MF19_BORD_BT_00014</v>
          </cell>
          <cell r="CI13" t="str">
            <v>AR</v>
          </cell>
          <cell r="CJ13" t="str">
            <v>FP</v>
          </cell>
        </row>
        <row r="14">
          <cell r="A14">
            <v>100447126</v>
          </cell>
          <cell r="B14" t="str">
            <v>Ligne_11_PPD</v>
          </cell>
          <cell r="C14">
            <v>11</v>
          </cell>
          <cell r="E14" t="str">
            <v>Architecture générale du roulement comprenant au moins le châssis, les suspensions, la liaison caisse/bogie, la transmission, le pont, les pneumatiques porteurs et guideurs, les roues fer ainsi que les frotteurs positifs, négatifs et masse</v>
          </cell>
          <cell r="F14" t="str">
            <v>A</v>
          </cell>
          <cell r="G14" t="str">
            <v>DOCUMENT CHAPEAU DES SPECIFICATIONS TECHNIQUES</v>
          </cell>
          <cell r="M14" t="str">
            <v>F-01_ROULEMENT</v>
          </cell>
          <cell r="N14" t="str">
            <v>DS</v>
          </cell>
          <cell r="O14" t="str">
            <v>SP_SPECIF</v>
          </cell>
          <cell r="Q14">
            <v>0</v>
          </cell>
          <cell r="R14" t="str">
            <v>BT</v>
          </cell>
          <cell r="S14" t="str">
            <v>BT</v>
          </cell>
          <cell r="T14" t="str">
            <v>EX</v>
          </cell>
          <cell r="U14" t="str">
            <v>Karen Chmielinski</v>
          </cell>
          <cell r="V14" t="str">
            <v>BOMBARDIER</v>
          </cell>
          <cell r="W14" t="str">
            <v>N</v>
          </cell>
          <cell r="X14" t="str">
            <v>Document contractuel FP</v>
          </cell>
          <cell r="Z14" t="str">
            <v>RTS 188 JS2 EMR 03/09/2020</v>
          </cell>
          <cell r="AA14" t="str">
            <v>E</v>
          </cell>
          <cell r="AB14" t="str">
            <v>Mécanique</v>
          </cell>
          <cell r="AC14" t="str">
            <v>EMR</v>
          </cell>
          <cell r="AD14" t="str">
            <v>SF EM.4-40092</v>
          </cell>
          <cell r="AE14" t="str">
            <v>Roulement</v>
          </cell>
          <cell r="AF14">
            <v>3</v>
          </cell>
          <cell r="AI14">
            <v>1</v>
          </cell>
          <cell r="AL14" t="str">
            <v>FP</v>
          </cell>
          <cell r="AM14" t="str">
            <v>FP</v>
          </cell>
          <cell r="AN14" t="str">
            <v>FP</v>
          </cell>
          <cell r="AO14" t="str">
            <v>FD</v>
          </cell>
          <cell r="BJ14">
            <v>44022</v>
          </cell>
          <cell r="BK14">
            <v>44173</v>
          </cell>
          <cell r="CH14" t="str">
            <v>MF19_BORD_BT_00009</v>
          </cell>
          <cell r="CI14" t="str">
            <v>AR</v>
          </cell>
          <cell r="CJ14" t="str">
            <v>FP</v>
          </cell>
        </row>
        <row r="15">
          <cell r="B15" t="str">
            <v>Ligne_11.1_PPD</v>
          </cell>
          <cell r="C15" t="str">
            <v>11.1</v>
          </cell>
          <cell r="E15" t="str">
            <v>Architecture générale du roulement comprenant au moins le châssis, les suspensions, la liaison caisse/bogie, la transmission, le pont, les pneumatiques porteurs et guideurs, les roues fer ainsi que les frotteurs positifs, négatifs et masse</v>
          </cell>
          <cell r="G15" t="str">
            <v>SPECIFICATION TECHNIQUE DE CHARGE DE CHASSIS</v>
          </cell>
          <cell r="R15" t="str">
            <v>BT</v>
          </cell>
          <cell r="S15" t="str">
            <v>BT</v>
          </cell>
          <cell r="T15" t="str">
            <v>EX</v>
          </cell>
          <cell r="U15" t="str">
            <v>César Roudière</v>
          </cell>
          <cell r="V15" t="str">
            <v>BOMBARDIER</v>
          </cell>
          <cell r="X15" t="str">
            <v>Contractuel Produit</v>
          </cell>
          <cell r="Z15" t="str">
            <v>RTS 188 JS2 EMR 03/09/2020</v>
          </cell>
          <cell r="AA15" t="str">
            <v>E</v>
          </cell>
          <cell r="AB15" t="str">
            <v>Mécanique</v>
          </cell>
          <cell r="AC15" t="str">
            <v>EMR</v>
          </cell>
          <cell r="AD15" t="str">
            <v>SF EM.4-40092</v>
          </cell>
          <cell r="AE15" t="str">
            <v>Roulement</v>
          </cell>
          <cell r="AF15">
            <v>3</v>
          </cell>
          <cell r="AI15">
            <v>1</v>
          </cell>
          <cell r="AM15" t="str">
            <v>FP</v>
          </cell>
          <cell r="AO15" t="str">
            <v>FD</v>
          </cell>
          <cell r="BK15">
            <v>44182</v>
          </cell>
          <cell r="CH15" t="e">
            <v>#N/A</v>
          </cell>
          <cell r="CI15" t="e">
            <v>#N/A</v>
          </cell>
          <cell r="CJ15" t="e">
            <v>#N/A</v>
          </cell>
        </row>
        <row r="16">
          <cell r="B16" t="str">
            <v>Ligne_11.2_PPD</v>
          </cell>
          <cell r="C16" t="str">
            <v>11.2</v>
          </cell>
          <cell r="E16" t="str">
            <v>Architecture générale du roulement comprenant au moins le châssis, les suspensions, la liaison caisse/bogie, la transmission, le pont, les pneumatiques porteurs et guideurs, les roues fer ainsi que les frotteurs positifs, négatifs et masse</v>
          </cell>
          <cell r="G16" t="str">
            <v>SPECIFICATION TECHNIQUE DE BUTEE PRIMAIRE</v>
          </cell>
          <cell r="R16" t="str">
            <v>BT</v>
          </cell>
          <cell r="S16" t="str">
            <v>BT</v>
          </cell>
          <cell r="T16" t="str">
            <v>EX</v>
          </cell>
          <cell r="U16" t="str">
            <v>Christophe Mas</v>
          </cell>
          <cell r="V16" t="str">
            <v>BOMBARDIER</v>
          </cell>
          <cell r="X16" t="str">
            <v>Contractuel Produit</v>
          </cell>
          <cell r="Z16" t="str">
            <v>RTS 188 JS2 EMR 03/09/2020</v>
          </cell>
          <cell r="AA16" t="str">
            <v>E</v>
          </cell>
          <cell r="AB16" t="str">
            <v>Mécanique</v>
          </cell>
          <cell r="AC16" t="str">
            <v>EMR</v>
          </cell>
          <cell r="AD16" t="str">
            <v>SF EM.4-40092</v>
          </cell>
          <cell r="AE16" t="str">
            <v>Roulement</v>
          </cell>
          <cell r="AF16">
            <v>3</v>
          </cell>
          <cell r="AI16">
            <v>1</v>
          </cell>
          <cell r="AM16" t="str">
            <v>FP</v>
          </cell>
          <cell r="AO16" t="str">
            <v>FD</v>
          </cell>
          <cell r="BK16">
            <v>44182</v>
          </cell>
          <cell r="CH16" t="e">
            <v>#N/A</v>
          </cell>
          <cell r="CI16" t="e">
            <v>#N/A</v>
          </cell>
          <cell r="CJ16" t="e">
            <v>#N/A</v>
          </cell>
        </row>
        <row r="17">
          <cell r="B17" t="str">
            <v>Ligne_11.3_PPD</v>
          </cell>
          <cell r="C17" t="str">
            <v>11.3</v>
          </cell>
          <cell r="E17" t="str">
            <v>Architecture générale du roulement comprenant au moins le châssis, les suspensions, la liaison caisse/bogie, la transmission, le pont, les pneumatiques porteurs et guideurs, les roues fer ainsi que les frotteurs positifs, négatifs et masse</v>
          </cell>
          <cell r="G17" t="str">
            <v>SPECIFICATION TECHNIQUE DE LA BROSSE A NEIGE --&gt; sera intégrée à la STB frotteur 3ième rail, item 62.1.33</v>
          </cell>
          <cell r="R17" t="str">
            <v>NA</v>
          </cell>
          <cell r="S17" t="str">
            <v>BT</v>
          </cell>
          <cell r="T17" t="str">
            <v>NA</v>
          </cell>
          <cell r="U17" t="str">
            <v>Bogie</v>
          </cell>
          <cell r="Z17" t="str">
            <v>RTS 188 JS2 EMR 03/09/2020</v>
          </cell>
          <cell r="AA17" t="str">
            <v>E</v>
          </cell>
          <cell r="AB17" t="str">
            <v>Mécanique</v>
          </cell>
          <cell r="AC17" t="str">
            <v>EMR</v>
          </cell>
          <cell r="AD17" t="str">
            <v>SF EM.4-40092</v>
          </cell>
          <cell r="AE17" t="str">
            <v>Roulement</v>
          </cell>
          <cell r="AF17">
            <v>3</v>
          </cell>
          <cell r="AI17" t="str">
            <v>RENVOI</v>
          </cell>
          <cell r="AO17" t="str">
            <v>FP</v>
          </cell>
          <cell r="CH17" t="e">
            <v>#N/A</v>
          </cell>
          <cell r="CI17" t="e">
            <v>#N/A</v>
          </cell>
          <cell r="CJ17" t="e">
            <v>#N/A</v>
          </cell>
        </row>
        <row r="18">
          <cell r="A18">
            <v>100443537</v>
          </cell>
          <cell r="B18" t="str">
            <v>Ligne_11.4_PPD</v>
          </cell>
          <cell r="C18" t="str">
            <v>11.4</v>
          </cell>
          <cell r="E18" t="str">
            <v>Architecture générale du roulement comprenant au moins le châssis, les suspensions, la liaison caisse/bogie, la transmission, le pont, les pneumatiques porteurs et guideurs, les roues fer ainsi que les frotteurs positifs, négatifs et masse</v>
          </cell>
          <cell r="F18" t="str">
            <v>A</v>
          </cell>
          <cell r="G18" t="str">
            <v>STB AMORTISSEUR TRANSVERSAL</v>
          </cell>
          <cell r="M18" t="str">
            <v>125_AMORTISSEURS</v>
          </cell>
          <cell r="N18" t="str">
            <v>DS</v>
          </cell>
          <cell r="O18" t="str">
            <v>SP_SPECIF</v>
          </cell>
          <cell r="Q18">
            <v>0</v>
          </cell>
          <cell r="R18" t="str">
            <v>BT</v>
          </cell>
          <cell r="S18" t="str">
            <v>BT</v>
          </cell>
          <cell r="T18" t="str">
            <v>EX</v>
          </cell>
          <cell r="U18" t="str">
            <v>Junlin Mo</v>
          </cell>
          <cell r="V18" t="str">
            <v>BOMBARDIER</v>
          </cell>
          <cell r="W18" t="str">
            <v>N</v>
          </cell>
          <cell r="X18" t="str">
            <v>Document contractuel FP</v>
          </cell>
          <cell r="Z18" t="str">
            <v>RTS 188 JS2 EMR 03/09/2020</v>
          </cell>
          <cell r="AA18" t="str">
            <v>E</v>
          </cell>
          <cell r="AB18" t="str">
            <v>Mécanique</v>
          </cell>
          <cell r="AC18" t="str">
            <v>EMR</v>
          </cell>
          <cell r="AD18" t="str">
            <v>SF EM.4-40092</v>
          </cell>
          <cell r="AE18" t="str">
            <v>Roulement</v>
          </cell>
          <cell r="AF18">
            <v>3</v>
          </cell>
          <cell r="AI18">
            <v>1</v>
          </cell>
          <cell r="AM18" t="str">
            <v>FP</v>
          </cell>
          <cell r="AO18" t="str">
            <v>FD</v>
          </cell>
          <cell r="BK18">
            <v>44182</v>
          </cell>
          <cell r="CH18" t="str">
            <v>MF19_BORD_BT_00028</v>
          </cell>
          <cell r="CI18" t="str">
            <v>-</v>
          </cell>
          <cell r="CJ18" t="str">
            <v>FP</v>
          </cell>
        </row>
        <row r="19">
          <cell r="B19" t="str">
            <v>Ligne_11.5_PPD</v>
          </cell>
          <cell r="C19" t="str">
            <v>11.5</v>
          </cell>
          <cell r="E19" t="str">
            <v>Architecture générale du roulement comprenant au moins le châssis, les suspensions, la liaison caisse/bogie, la transmission, le pont, les pneumatiques porteurs et guideurs, les roues fer ainsi que les frotteurs positifs, négatifs et masse</v>
          </cell>
          <cell r="G19" t="str">
            <v>SPECIFICATION TECHNIQUE DES VALVES NIVELLEMENT DIFFERENTIELLE ET SECURITE DE DECHARGE</v>
          </cell>
          <cell r="R19" t="str">
            <v>BT</v>
          </cell>
          <cell r="S19" t="str">
            <v>BT</v>
          </cell>
          <cell r="T19" t="str">
            <v>EX</v>
          </cell>
          <cell r="U19" t="str">
            <v>Willy Vittecoq</v>
          </cell>
          <cell r="V19" t="str">
            <v>BOMBARDIER</v>
          </cell>
          <cell r="X19" t="str">
            <v>Contractuel Produit</v>
          </cell>
          <cell r="Z19" t="str">
            <v>RTS 188 JS2 EMR 03/09/2020</v>
          </cell>
          <cell r="AA19" t="str">
            <v>E</v>
          </cell>
          <cell r="AB19" t="str">
            <v>Mécanique</v>
          </cell>
          <cell r="AC19" t="str">
            <v>EMR</v>
          </cell>
          <cell r="AD19" t="str">
            <v>SF EM.4-40092</v>
          </cell>
          <cell r="AE19" t="str">
            <v>Roulement</v>
          </cell>
          <cell r="AF19">
            <v>3</v>
          </cell>
          <cell r="AI19">
            <v>1</v>
          </cell>
          <cell r="AM19" t="str">
            <v>FP</v>
          </cell>
          <cell r="AO19" t="str">
            <v>FD</v>
          </cell>
          <cell r="BK19">
            <v>44182</v>
          </cell>
          <cell r="CH19" t="e">
            <v>#N/A</v>
          </cell>
          <cell r="CI19" t="e">
            <v>#N/A</v>
          </cell>
          <cell r="CJ19" t="e">
            <v>#N/A</v>
          </cell>
        </row>
        <row r="20">
          <cell r="A20">
            <v>100445184</v>
          </cell>
          <cell r="B20" t="str">
            <v>Ligne_11.6_PPD</v>
          </cell>
          <cell r="C20" t="str">
            <v>11.6</v>
          </cell>
          <cell r="E20" t="str">
            <v>Architecture générale du roulement comprenant au moins le châssis, les suspensions, la liaison caisse/bogie, la transmission, le pont, les pneumatiques porteurs et guideurs, les roues fer ainsi que les frotteurs positifs, négatifs et masse</v>
          </cell>
          <cell r="F20" t="str">
            <v>A</v>
          </cell>
          <cell r="G20" t="str">
            <v>SPECIFICATION TECHNIQUE TRAVERSE CHARGE MOULEE</v>
          </cell>
          <cell r="M20" t="str">
            <v>F-01_ROULEMENT</v>
          </cell>
          <cell r="N20" t="str">
            <v>DS</v>
          </cell>
          <cell r="O20" t="str">
            <v>SP_SPECIF</v>
          </cell>
          <cell r="Q20">
            <v>0</v>
          </cell>
          <cell r="R20" t="str">
            <v>BT</v>
          </cell>
          <cell r="S20" t="str">
            <v>BT</v>
          </cell>
          <cell r="T20" t="str">
            <v>EX</v>
          </cell>
          <cell r="U20" t="str">
            <v>César Roudière</v>
          </cell>
          <cell r="V20" t="str">
            <v>BOMBARDIER</v>
          </cell>
          <cell r="W20" t="str">
            <v>N</v>
          </cell>
          <cell r="X20" t="str">
            <v>Document contractuel FP</v>
          </cell>
          <cell r="Z20" t="str">
            <v>RTS 188 JS2 EMR 03/09/2020</v>
          </cell>
          <cell r="AA20" t="str">
            <v>E</v>
          </cell>
          <cell r="AB20" t="str">
            <v>Mécanique</v>
          </cell>
          <cell r="AC20" t="str">
            <v>EMR</v>
          </cell>
          <cell r="AD20" t="str">
            <v>SF EM.4-40092</v>
          </cell>
          <cell r="AE20" t="str">
            <v>Roulement</v>
          </cell>
          <cell r="AF20">
            <v>3</v>
          </cell>
          <cell r="AI20">
            <v>1</v>
          </cell>
          <cell r="AM20" t="str">
            <v>FP</v>
          </cell>
          <cell r="AO20" t="str">
            <v>FD</v>
          </cell>
          <cell r="BK20">
            <v>44018</v>
          </cell>
          <cell r="CH20" t="str">
            <v>MF19_BORD_BT_00010</v>
          </cell>
          <cell r="CI20" t="str">
            <v>AR</v>
          </cell>
          <cell r="CJ20" t="str">
            <v>FP</v>
          </cell>
        </row>
        <row r="21">
          <cell r="A21">
            <v>100455463</v>
          </cell>
          <cell r="B21" t="str">
            <v>Ligne_11.7_PPD</v>
          </cell>
          <cell r="C21" t="str">
            <v>11.7</v>
          </cell>
          <cell r="E21" t="str">
            <v>Architecture générale du roulement comprenant au moins le châssis, les suspensions, la liaison caisse/bogie, la transmission, le pont, les pneumatiques porteurs et guideurs, les roues fer ainsi que les frotteurs positifs, négatifs et masse</v>
          </cell>
          <cell r="F21" t="str">
            <v>A</v>
          </cell>
          <cell r="G21" t="str">
            <v>SPECIFICATION TECHNIQUE BUTEES LATERALES</v>
          </cell>
          <cell r="R21" t="str">
            <v>BT</v>
          </cell>
          <cell r="S21" t="str">
            <v>BT</v>
          </cell>
          <cell r="T21" t="str">
            <v>EX</v>
          </cell>
          <cell r="U21" t="str">
            <v>Junlin Mo</v>
          </cell>
          <cell r="V21" t="str">
            <v>BOMBARDIER</v>
          </cell>
          <cell r="X21" t="str">
            <v>Contractuel Produit</v>
          </cell>
          <cell r="Z21" t="str">
            <v>RTS 188 JS2 EMR 03/09/2020</v>
          </cell>
          <cell r="AA21" t="str">
            <v>E</v>
          </cell>
          <cell r="AB21" t="str">
            <v>Mécanique</v>
          </cell>
          <cell r="AC21" t="str">
            <v>EMR</v>
          </cell>
          <cell r="AD21" t="str">
            <v>SF EM.4-40092</v>
          </cell>
          <cell r="AE21" t="str">
            <v>Roulement</v>
          </cell>
          <cell r="AF21">
            <v>3</v>
          </cell>
          <cell r="AI21">
            <v>1</v>
          </cell>
          <cell r="AM21" t="str">
            <v>FP</v>
          </cell>
          <cell r="AO21" t="str">
            <v>FD</v>
          </cell>
          <cell r="BK21">
            <v>44182</v>
          </cell>
          <cell r="CH21" t="str">
            <v>MF19_BORD_BT_00035</v>
          </cell>
          <cell r="CI21" t="str">
            <v>-</v>
          </cell>
          <cell r="CJ21" t="str">
            <v>FP</v>
          </cell>
        </row>
        <row r="22">
          <cell r="A22">
            <v>100449811</v>
          </cell>
          <cell r="B22" t="str">
            <v>Ligne_11.8_PPD</v>
          </cell>
          <cell r="C22" t="str">
            <v>11.8</v>
          </cell>
          <cell r="E22" t="str">
            <v>Architecture générale du roulement comprenant au moins le châssis, les suspensions, la liaison caisse/bogie, la transmission, le pont, les pneumatiques porteurs et guideurs, les roues fer ainsi que les frotteurs positifs, négatifs et masse</v>
          </cell>
          <cell r="F22" t="str">
            <v>A</v>
          </cell>
          <cell r="G22" t="str">
            <v xml:space="preserve">SPECIFICATION TECHNIQUE PEINTURE </v>
          </cell>
          <cell r="R22" t="str">
            <v>BT</v>
          </cell>
          <cell r="S22" t="str">
            <v>BT</v>
          </cell>
          <cell r="T22" t="str">
            <v>EX</v>
          </cell>
          <cell r="U22" t="str">
            <v>Junlin Mo</v>
          </cell>
          <cell r="V22" t="str">
            <v>BOMBARDIER</v>
          </cell>
          <cell r="X22" t="str">
            <v>Contractuel Produit</v>
          </cell>
          <cell r="Z22" t="str">
            <v>RTS 188 JS2 EMR 03/09/2020</v>
          </cell>
          <cell r="AA22" t="str">
            <v>E</v>
          </cell>
          <cell r="AB22" t="str">
            <v>Mécanique</v>
          </cell>
          <cell r="AC22" t="str">
            <v>EMR</v>
          </cell>
          <cell r="AD22" t="str">
            <v>SF EM.4-40092</v>
          </cell>
          <cell r="AE22" t="str">
            <v>Roulement</v>
          </cell>
          <cell r="AF22">
            <v>3</v>
          </cell>
          <cell r="AI22">
            <v>1</v>
          </cell>
          <cell r="AM22" t="str">
            <v>FP</v>
          </cell>
          <cell r="AO22" t="str">
            <v>FD</v>
          </cell>
          <cell r="BK22">
            <v>44182</v>
          </cell>
          <cell r="CH22" t="str">
            <v>MF19_BORD_BT_00035</v>
          </cell>
          <cell r="CI22" t="str">
            <v>-</v>
          </cell>
          <cell r="CJ22" t="str">
            <v>FP</v>
          </cell>
        </row>
        <row r="23">
          <cell r="B23" t="str">
            <v>Ligne_11.9_PPD</v>
          </cell>
          <cell r="C23" t="str">
            <v>11.9</v>
          </cell>
          <cell r="E23" t="str">
            <v>Architecture générale du roulement comprenant au moins le châssis, les suspensions, la liaison caisse/bogie, la transmission, le pont, les pneumatiques porteurs et guideurs, les roues fer ainsi que les frotteurs positifs, négatifs et masse</v>
          </cell>
          <cell r="G23" t="str">
            <v>SPECIFICATION TECHNIQUE DES ARTIBLOCS DE LIAISON DES DEMI CHASSIS</v>
          </cell>
          <cell r="R23" t="str">
            <v>BT</v>
          </cell>
          <cell r="S23" t="str">
            <v>BT</v>
          </cell>
          <cell r="T23" t="str">
            <v>EX</v>
          </cell>
          <cell r="U23" t="str">
            <v>Willy Vittecoq</v>
          </cell>
          <cell r="V23" t="str">
            <v>BOMBARDIER</v>
          </cell>
          <cell r="X23" t="str">
            <v>Contractuel Produit</v>
          </cell>
          <cell r="Z23" t="str">
            <v>RTS 188 JS2 EMR 03/09/2020</v>
          </cell>
          <cell r="AA23" t="str">
            <v>E</v>
          </cell>
          <cell r="AB23" t="str">
            <v>Mécanique</v>
          </cell>
          <cell r="AC23" t="str">
            <v>EMR</v>
          </cell>
          <cell r="AD23" t="str">
            <v>SF EM.4-40092</v>
          </cell>
          <cell r="AE23" t="str">
            <v>Roulement</v>
          </cell>
          <cell r="AF23">
            <v>3</v>
          </cell>
          <cell r="AI23">
            <v>1</v>
          </cell>
          <cell r="AM23" t="str">
            <v>FP</v>
          </cell>
          <cell r="AO23" t="str">
            <v>FD</v>
          </cell>
          <cell r="BK23">
            <v>44182</v>
          </cell>
          <cell r="CH23" t="e">
            <v>#N/A</v>
          </cell>
          <cell r="CI23" t="e">
            <v>#N/A</v>
          </cell>
          <cell r="CJ23" t="e">
            <v>#N/A</v>
          </cell>
        </row>
        <row r="24">
          <cell r="B24" t="str">
            <v>Ligne_11.10_PPD</v>
          </cell>
          <cell r="C24" t="str">
            <v>11.10</v>
          </cell>
          <cell r="E24" t="str">
            <v>Architecture générale du roulement comprenant au moins le châssis, les suspensions, la liaison caisse/bogie, la transmission, le pont, les pneumatiques porteurs et guideurs, les roues fer ainsi que les frotteurs positifs, négatifs et masse</v>
          </cell>
          <cell r="G24" t="str">
            <v>SPECIFICATION TECHNIQUE DES EQUIPEMENT EN BOUT D ESSIEU - RETOUR DE COURANT (RDC)</v>
          </cell>
          <cell r="R24" t="str">
            <v>BT</v>
          </cell>
          <cell r="S24" t="str">
            <v>BT</v>
          </cell>
          <cell r="T24" t="str">
            <v>EX</v>
          </cell>
          <cell r="U24" t="str">
            <v>Christophe Mas</v>
          </cell>
          <cell r="V24" t="str">
            <v>BOMBARDIER</v>
          </cell>
          <cell r="X24" t="str">
            <v>Contractuel Produit</v>
          </cell>
          <cell r="Z24" t="str">
            <v>RTS 188 JS2 EMR 03/09/2020</v>
          </cell>
          <cell r="AA24" t="str">
            <v>E</v>
          </cell>
          <cell r="AB24" t="str">
            <v>Mécanique</v>
          </cell>
          <cell r="AC24" t="str">
            <v>EMR</v>
          </cell>
          <cell r="AD24" t="str">
            <v>SF EM.4-40092</v>
          </cell>
          <cell r="AE24" t="str">
            <v>Roulement</v>
          </cell>
          <cell r="AF24">
            <v>3</v>
          </cell>
          <cell r="AI24">
            <v>1</v>
          </cell>
          <cell r="AM24" t="str">
            <v>FP</v>
          </cell>
          <cell r="AP24" t="str">
            <v>FD</v>
          </cell>
          <cell r="BK24">
            <v>44182</v>
          </cell>
          <cell r="CH24" t="e">
            <v>#N/A</v>
          </cell>
          <cell r="CI24" t="e">
            <v>#N/A</v>
          </cell>
          <cell r="CJ24" t="e">
            <v>#N/A</v>
          </cell>
        </row>
        <row r="25">
          <cell r="B25" t="str">
            <v>Ligne_11.11_PPD</v>
          </cell>
          <cell r="C25" t="str">
            <v>11.11</v>
          </cell>
          <cell r="E25" t="str">
            <v>Architecture générale du roulement comprenant au moins le châssis, les suspensions, la liaison caisse/bogie, la transmission, le pont, les pneumatiques porteurs et guideurs, les roues fer ainsi que les frotteurs positifs, négatifs et masse</v>
          </cell>
          <cell r="G25" t="str">
            <v>SPECIFICATION TECHNIQUE DE L ANTENNE CBTC</v>
          </cell>
          <cell r="R25" t="str">
            <v>BT</v>
          </cell>
          <cell r="S25" t="str">
            <v>BT</v>
          </cell>
          <cell r="T25" t="str">
            <v>EX</v>
          </cell>
          <cell r="U25" t="str">
            <v>Pas Bogie</v>
          </cell>
          <cell r="V25" t="str">
            <v>BOMBARDIER</v>
          </cell>
          <cell r="X25" t="str">
            <v>Contractuel Produit</v>
          </cell>
          <cell r="Z25" t="str">
            <v>RTS 188 JS2 EMR 03/09/2020</v>
          </cell>
          <cell r="AA25" t="str">
            <v>E</v>
          </cell>
          <cell r="AB25" t="str">
            <v>Mécanique</v>
          </cell>
          <cell r="AC25" t="str">
            <v>EMR</v>
          </cell>
          <cell r="AD25" t="str">
            <v>SF EM.4-40092</v>
          </cell>
          <cell r="AE25" t="str">
            <v>Roulement</v>
          </cell>
          <cell r="AF25">
            <v>3</v>
          </cell>
          <cell r="AI25">
            <v>1</v>
          </cell>
          <cell r="AM25" t="str">
            <v>FP</v>
          </cell>
          <cell r="AO25" t="str">
            <v>FD</v>
          </cell>
          <cell r="BK25">
            <v>44213</v>
          </cell>
          <cell r="CH25" t="e">
            <v>#N/A</v>
          </cell>
          <cell r="CI25" t="e">
            <v>#N/A</v>
          </cell>
          <cell r="CJ25" t="e">
            <v>#N/A</v>
          </cell>
        </row>
        <row r="26">
          <cell r="B26" t="str">
            <v>Ligne_11.12_PPD</v>
          </cell>
          <cell r="C26" t="str">
            <v>11.12</v>
          </cell>
          <cell r="E26" t="str">
            <v>Architecture générale du roulement comprenant au moins le châssis, les suspensions, la liaison caisse/bogie, la transmission, le pont, les pneumatiques porteurs et guideurs, les roues fer ainsi que les frotteurs positifs, négatifs et masse</v>
          </cell>
          <cell r="G26" t="str">
            <v>SPECIFICATION TECHNIQUE TARAGE</v>
          </cell>
          <cell r="R26" t="str">
            <v>BT</v>
          </cell>
          <cell r="S26" t="str">
            <v>BT</v>
          </cell>
          <cell r="T26" t="str">
            <v>EX</v>
          </cell>
          <cell r="U26" t="str">
            <v>Bogie</v>
          </cell>
          <cell r="V26" t="str">
            <v>BOMBARDIER</v>
          </cell>
          <cell r="Z26" t="str">
            <v>RTS 188 JS2 EMR 03/09/2020</v>
          </cell>
          <cell r="AA26" t="str">
            <v>E</v>
          </cell>
          <cell r="AB26" t="str">
            <v>Mécanique</v>
          </cell>
          <cell r="AC26" t="str">
            <v>EMR</v>
          </cell>
          <cell r="AD26" t="str">
            <v>SF EM.4-40092</v>
          </cell>
          <cell r="AE26" t="str">
            <v>Roulement</v>
          </cell>
          <cell r="AF26">
            <v>3</v>
          </cell>
          <cell r="AI26">
            <v>1</v>
          </cell>
          <cell r="AO26" t="str">
            <v>FP</v>
          </cell>
          <cell r="AP26" t="str">
            <v>FD</v>
          </cell>
          <cell r="CH26" t="e">
            <v>#N/A</v>
          </cell>
          <cell r="CI26" t="e">
            <v>#N/A</v>
          </cell>
          <cell r="CJ26" t="e">
            <v>#N/A</v>
          </cell>
        </row>
        <row r="27">
          <cell r="B27" t="str">
            <v>Ligne_11.13_PPD</v>
          </cell>
          <cell r="C27" t="str">
            <v>11.13</v>
          </cell>
          <cell r="E27" t="str">
            <v>Architecture générale du roulement comprenant au moins le châssis, les suspensions, la liaison caisse/bogie, la transmission, le pont, les pneumatiques porteurs et guideurs, les roues fer ainsi que les frotteurs positifs, négatifs et masse</v>
          </cell>
          <cell r="G27" t="str">
            <v>SPECIFICATION TECHNIQUE DU CAPTEUR RPS</v>
          </cell>
          <cell r="R27" t="str">
            <v>BT</v>
          </cell>
          <cell r="S27" t="str">
            <v>BT</v>
          </cell>
          <cell r="T27" t="str">
            <v>EX</v>
          </cell>
          <cell r="U27" t="str">
            <v>Bogie</v>
          </cell>
          <cell r="V27" t="str">
            <v>BOMBARDIER</v>
          </cell>
          <cell r="Z27" t="str">
            <v>RTS 188 JS2 EMR 03/09/2020</v>
          </cell>
          <cell r="AA27" t="str">
            <v>E</v>
          </cell>
          <cell r="AB27" t="str">
            <v>Mécanique</v>
          </cell>
          <cell r="AC27" t="str">
            <v>EMR</v>
          </cell>
          <cell r="AD27" t="str">
            <v>SF EM.4-40092</v>
          </cell>
          <cell r="AE27" t="str">
            <v>Roulement</v>
          </cell>
          <cell r="AF27">
            <v>3</v>
          </cell>
          <cell r="AI27">
            <v>1</v>
          </cell>
          <cell r="AO27" t="str">
            <v>FP</v>
          </cell>
          <cell r="AP27" t="str">
            <v>FD</v>
          </cell>
          <cell r="CH27" t="e">
            <v>#N/A</v>
          </cell>
          <cell r="CI27" t="e">
            <v>#N/A</v>
          </cell>
          <cell r="CJ27" t="e">
            <v>#N/A</v>
          </cell>
        </row>
        <row r="28">
          <cell r="B28" t="str">
            <v>Ligne_11.14_PPD</v>
          </cell>
          <cell r="C28" t="str">
            <v>11.14</v>
          </cell>
          <cell r="E28" t="str">
            <v>Architecture générale du roulement comprenant au moins le châssis, les suspensions, la liaison caisse/bogie, la transmission, le pont, les pneumatiques porteurs et guideurs, les roues fer ainsi que les frotteurs positifs, négatifs et masse</v>
          </cell>
          <cell r="G28" t="str">
            <v>SPECIFICATION TECHNIQUE DES CARTERS DE CAPTAGE</v>
          </cell>
          <cell r="R28" t="str">
            <v>BT</v>
          </cell>
          <cell r="S28" t="str">
            <v>BT</v>
          </cell>
          <cell r="T28" t="str">
            <v>EX</v>
          </cell>
          <cell r="U28" t="str">
            <v>Bogie</v>
          </cell>
          <cell r="V28" t="str">
            <v>BOMBARDIER</v>
          </cell>
          <cell r="X28" t="str">
            <v>Contractuel Produit</v>
          </cell>
          <cell r="Z28" t="str">
            <v>RTS 188 JS2 EMR 03/09/2020</v>
          </cell>
          <cell r="AA28" t="str">
            <v>E</v>
          </cell>
          <cell r="AB28" t="str">
            <v>Mécanique</v>
          </cell>
          <cell r="AC28" t="str">
            <v>EMR</v>
          </cell>
          <cell r="AD28" t="str">
            <v>SF EM.4-40092</v>
          </cell>
          <cell r="AE28" t="str">
            <v>Roulement</v>
          </cell>
          <cell r="AF28">
            <v>3</v>
          </cell>
          <cell r="AI28">
            <v>1</v>
          </cell>
          <cell r="AN28" t="str">
            <v>FP</v>
          </cell>
          <cell r="AP28" t="str">
            <v>FD</v>
          </cell>
          <cell r="CH28" t="e">
            <v>#N/A</v>
          </cell>
          <cell r="CI28" t="e">
            <v>#N/A</v>
          </cell>
          <cell r="CJ28" t="e">
            <v>#N/A</v>
          </cell>
        </row>
        <row r="29">
          <cell r="B29" t="str">
            <v>Ligne_11.15_PPD</v>
          </cell>
          <cell r="C29" t="str">
            <v>11.15</v>
          </cell>
          <cell r="E29" t="str">
            <v>Architecture générale du roulement comprenant au moins le châssis, les suspensions, la liaison caisse/bogie, la transmission, le pont, les pneumatiques porteurs et guideurs, les roues fer ainsi que les frotteurs positifs, négatifs et masse</v>
          </cell>
          <cell r="G29" t="str">
            <v>SPECIFICATION TECHNIQUE DE BIELLE DE TRACTION ET SILENT BLOC</v>
          </cell>
          <cell r="R29" t="str">
            <v>BT</v>
          </cell>
          <cell r="S29" t="str">
            <v>BT</v>
          </cell>
          <cell r="T29" t="str">
            <v>EX</v>
          </cell>
          <cell r="U29" t="str">
            <v>Christophe Mas</v>
          </cell>
          <cell r="V29" t="str">
            <v>BOMBARDIER</v>
          </cell>
          <cell r="X29" t="str">
            <v>Contractuel Produit</v>
          </cell>
          <cell r="Z29" t="str">
            <v>RTS 188 JS2 EMR 03/09/2020</v>
          </cell>
          <cell r="AA29" t="str">
            <v>E</v>
          </cell>
          <cell r="AB29" t="str">
            <v>Mécanique</v>
          </cell>
          <cell r="AC29" t="str">
            <v>EMR</v>
          </cell>
          <cell r="AD29" t="str">
            <v>SF EM.4-40092</v>
          </cell>
          <cell r="AE29" t="str">
            <v>Roulement</v>
          </cell>
          <cell r="AF29">
            <v>3</v>
          </cell>
          <cell r="AI29">
            <v>1</v>
          </cell>
          <cell r="AM29" t="str">
            <v>FP</v>
          </cell>
          <cell r="AO29" t="str">
            <v>FD</v>
          </cell>
          <cell r="BK29">
            <v>44182</v>
          </cell>
          <cell r="CH29" t="e">
            <v>#N/A</v>
          </cell>
          <cell r="CI29" t="e">
            <v>#N/A</v>
          </cell>
          <cell r="CJ29" t="e">
            <v>#N/A</v>
          </cell>
        </row>
        <row r="30">
          <cell r="B30" t="str">
            <v>Ligne_11.16_PPD</v>
          </cell>
          <cell r="C30" t="str">
            <v>11.16</v>
          </cell>
          <cell r="E30" t="str">
            <v>Architecture générale du roulement comprenant au moins le châssis, les suspensions, la liaison caisse/bogie, la transmission, le pont, les pneumatiques porteurs et guideurs, les roues fer ainsi que les frotteurs positifs, négatifs et masse</v>
          </cell>
          <cell r="G30" t="str">
            <v>SPECIFICATION TECHNIQUE D ARTICULATION DE BIELLE DE REDUCTEUR</v>
          </cell>
          <cell r="R30" t="str">
            <v>BT</v>
          </cell>
          <cell r="S30" t="str">
            <v>BT</v>
          </cell>
          <cell r="T30" t="str">
            <v>EX</v>
          </cell>
          <cell r="U30" t="str">
            <v>Willy Vittecoq</v>
          </cell>
          <cell r="V30" t="str">
            <v>BOMBARDIER</v>
          </cell>
          <cell r="X30" t="str">
            <v>Contractuel Produit</v>
          </cell>
          <cell r="Z30" t="str">
            <v>RTS 188 JS2 EMR 03/09/2020</v>
          </cell>
          <cell r="AA30" t="str">
            <v>E</v>
          </cell>
          <cell r="AB30" t="str">
            <v>Mécanique</v>
          </cell>
          <cell r="AC30" t="str">
            <v>EMR</v>
          </cell>
          <cell r="AD30" t="str">
            <v>SF EM.4-40092</v>
          </cell>
          <cell r="AE30" t="str">
            <v>Roulement</v>
          </cell>
          <cell r="AF30">
            <v>3</v>
          </cell>
          <cell r="AI30">
            <v>1</v>
          </cell>
          <cell r="AM30" t="str">
            <v>FP</v>
          </cell>
          <cell r="AO30" t="str">
            <v>FD</v>
          </cell>
          <cell r="BK30">
            <v>44182</v>
          </cell>
          <cell r="CH30" t="e">
            <v>#N/A</v>
          </cell>
          <cell r="CI30" t="e">
            <v>#N/A</v>
          </cell>
          <cell r="CJ30" t="e">
            <v>#N/A</v>
          </cell>
        </row>
        <row r="31">
          <cell r="A31">
            <v>100443536</v>
          </cell>
          <cell r="B31" t="str">
            <v>Ligne_11.17_PPD</v>
          </cell>
          <cell r="C31" t="str">
            <v>11.17</v>
          </cell>
          <cell r="E31" t="str">
            <v>Architecture générale du roulement comprenant au moins le châssis, les suspensions, la liaison caisse/bogie, la transmission, le pont, les pneumatiques porteurs et guideurs, les roues fer ainsi que les frotteurs positifs, négatifs et masse</v>
          </cell>
          <cell r="F31" t="str">
            <v>A</v>
          </cell>
          <cell r="G31" t="str">
            <v>ST ROULEMENT DE LA BOITE D ESSIEU</v>
          </cell>
          <cell r="M31" t="str">
            <v>143_ESSIEU_MONTE</v>
          </cell>
          <cell r="N31" t="str">
            <v>DS</v>
          </cell>
          <cell r="O31" t="str">
            <v>SP_SPECIF</v>
          </cell>
          <cell r="Q31">
            <v>0</v>
          </cell>
          <cell r="R31" t="str">
            <v>BT</v>
          </cell>
          <cell r="S31" t="str">
            <v>BT</v>
          </cell>
          <cell r="T31" t="str">
            <v>EX</v>
          </cell>
          <cell r="U31" t="str">
            <v>Junlin Mo</v>
          </cell>
          <cell r="V31" t="str">
            <v>BOMBARDIER</v>
          </cell>
          <cell r="W31" t="str">
            <v>N</v>
          </cell>
          <cell r="X31" t="str">
            <v>Document contractuel FP</v>
          </cell>
          <cell r="Z31" t="str">
            <v>RTS 188 JS2 EMR 03/09/2020</v>
          </cell>
          <cell r="AA31" t="str">
            <v>E</v>
          </cell>
          <cell r="AB31" t="str">
            <v>Mécanique</v>
          </cell>
          <cell r="AC31" t="str">
            <v>EMR</v>
          </cell>
          <cell r="AD31" t="str">
            <v>SF EM.4-40092</v>
          </cell>
          <cell r="AE31" t="str">
            <v>Roulement</v>
          </cell>
          <cell r="AF31">
            <v>3</v>
          </cell>
          <cell r="AI31">
            <v>1</v>
          </cell>
          <cell r="AM31" t="str">
            <v>FP</v>
          </cell>
          <cell r="AO31" t="str">
            <v>FD</v>
          </cell>
          <cell r="BK31">
            <v>44182</v>
          </cell>
          <cell r="CH31" t="str">
            <v>MF19_BORD_BT_00028</v>
          </cell>
          <cell r="CI31" t="str">
            <v>-</v>
          </cell>
          <cell r="CJ31" t="str">
            <v>FP</v>
          </cell>
        </row>
        <row r="32">
          <cell r="B32" t="str">
            <v>Ligne_11.18_PPD</v>
          </cell>
          <cell r="C32" t="str">
            <v>11.18</v>
          </cell>
          <cell r="E32" t="str">
            <v>Architecture générale du roulement comprenant au moins le châssis, les suspensions, la liaison caisse/bogie, la transmission, le pont, les pneumatiques porteurs et guideurs, les roues fer ainsi que les frotteurs positifs, négatifs et masse</v>
          </cell>
          <cell r="G32" t="str">
            <v>SPECIFICATION TECHNIQUE DU CHASSIS MOULE --&gt; document qui existe déjà sous l'item 62.1.34 "STB STRUCTURE CHASSIS DE BOGIE MOULE"</v>
          </cell>
          <cell r="R32" t="str">
            <v>NA</v>
          </cell>
          <cell r="S32" t="str">
            <v>BT</v>
          </cell>
          <cell r="T32" t="str">
            <v>NA</v>
          </cell>
          <cell r="U32" t="str">
            <v>Bogie</v>
          </cell>
          <cell r="Z32" t="str">
            <v>RTS 188 JS2 EMR 03/09/2020</v>
          </cell>
          <cell r="AA32" t="str">
            <v>E</v>
          </cell>
          <cell r="AB32" t="str">
            <v>Mécanique</v>
          </cell>
          <cell r="AC32" t="str">
            <v>EMR</v>
          </cell>
          <cell r="AD32" t="str">
            <v>SF EM.4-40092</v>
          </cell>
          <cell r="AE32" t="str">
            <v>Roulement</v>
          </cell>
          <cell r="AF32">
            <v>3</v>
          </cell>
          <cell r="AI32" t="str">
            <v>SUPPRIME</v>
          </cell>
          <cell r="AM32" t="str">
            <v>FP</v>
          </cell>
          <cell r="CH32" t="e">
            <v>#N/A</v>
          </cell>
          <cell r="CI32" t="e">
            <v>#N/A</v>
          </cell>
          <cell r="CJ32" t="e">
            <v>#N/A</v>
          </cell>
        </row>
        <row r="33">
          <cell r="B33" t="str">
            <v>Ligne_11.19_PPD</v>
          </cell>
          <cell r="C33" t="str">
            <v>11.19</v>
          </cell>
          <cell r="E33" t="str">
            <v>Architecture générale du roulement comprenant au moins le châssis, les suspensions, la liaison caisse/bogie, la transmission, le pont, les pneumatiques porteurs et guideurs, les roues fer ainsi que les frotteurs positifs, négatifs et masse</v>
          </cell>
          <cell r="G33" t="str">
            <v>SPECIFICATION TECHNIQUE DE LEVAGE</v>
          </cell>
          <cell r="R33" t="str">
            <v>BT</v>
          </cell>
          <cell r="S33" t="str">
            <v>BT</v>
          </cell>
          <cell r="T33" t="str">
            <v>EX</v>
          </cell>
          <cell r="U33" t="str">
            <v>Bogie</v>
          </cell>
          <cell r="V33" t="str">
            <v>BOMBARDIER</v>
          </cell>
          <cell r="Z33" t="str">
            <v>RTS 188 JS2 EMR 03/09/2020</v>
          </cell>
          <cell r="AA33" t="str">
            <v>E</v>
          </cell>
          <cell r="AB33" t="str">
            <v>Mécanique</v>
          </cell>
          <cell r="AC33" t="str">
            <v>EMR</v>
          </cell>
          <cell r="AD33" t="str">
            <v>SF EM.4-40092</v>
          </cell>
          <cell r="AE33" t="str">
            <v>Roulement</v>
          </cell>
          <cell r="AF33">
            <v>3</v>
          </cell>
          <cell r="AI33">
            <v>1</v>
          </cell>
          <cell r="AO33" t="str">
            <v>FP</v>
          </cell>
          <cell r="AP33" t="str">
            <v>FD</v>
          </cell>
          <cell r="CH33" t="e">
            <v>#N/A</v>
          </cell>
          <cell r="CI33" t="e">
            <v>#N/A</v>
          </cell>
          <cell r="CJ33" t="e">
            <v>#N/A</v>
          </cell>
        </row>
        <row r="34">
          <cell r="B34" t="str">
            <v>Ligne_11.20_PPD</v>
          </cell>
          <cell r="C34" t="str">
            <v>11.20</v>
          </cell>
          <cell r="E34" t="str">
            <v>Architecture générale du roulement comprenant au moins le châssis, les suspensions, la liaison caisse/bogie, la transmission, le pont, les pneumatiques porteurs et guideurs, les roues fer ainsi que les frotteurs positifs, négatifs et masse</v>
          </cell>
          <cell r="G34" t="str">
            <v>SPECIFICATION TECHNIQUE TUYAUTERIE</v>
          </cell>
          <cell r="R34" t="str">
            <v>BT</v>
          </cell>
          <cell r="S34" t="str">
            <v>BT</v>
          </cell>
          <cell r="T34" t="str">
            <v>EX</v>
          </cell>
          <cell r="U34" t="str">
            <v>Bogie</v>
          </cell>
          <cell r="V34" t="str">
            <v>BOMBARDIER</v>
          </cell>
          <cell r="Z34" t="str">
            <v>RTS 188 JS2 EMR 03/09/2020</v>
          </cell>
          <cell r="AA34" t="str">
            <v>E</v>
          </cell>
          <cell r="AB34" t="str">
            <v>Mécanique</v>
          </cell>
          <cell r="AC34" t="str">
            <v>EMR</v>
          </cell>
          <cell r="AD34" t="str">
            <v>SF EM.4-40092</v>
          </cell>
          <cell r="AE34" t="str">
            <v>Roulement</v>
          </cell>
          <cell r="AF34">
            <v>3</v>
          </cell>
          <cell r="AI34">
            <v>1</v>
          </cell>
          <cell r="AO34" t="str">
            <v>FP</v>
          </cell>
          <cell r="AP34" t="str">
            <v>FD</v>
          </cell>
          <cell r="CH34" t="e">
            <v>#N/A</v>
          </cell>
          <cell r="CI34" t="e">
            <v>#N/A</v>
          </cell>
          <cell r="CJ34" t="e">
            <v>#N/A</v>
          </cell>
        </row>
        <row r="35">
          <cell r="B35" t="str">
            <v>Ligne_11.21_PPD</v>
          </cell>
          <cell r="C35" t="str">
            <v>11.21</v>
          </cell>
          <cell r="E35" t="str">
            <v>Architecture générale du roulement comprenant au moins le châssis, les suspensions, la liaison caisse/bogie, la transmission, le pont, les pneumatiques porteurs et guideurs, les roues fer ainsi que les frotteurs positifs, négatifs et masse</v>
          </cell>
          <cell r="G35" t="str">
            <v>SPECIFICATION TECHNIQUE DE CONNECTION ELECTRIQUE</v>
          </cell>
          <cell r="R35" t="str">
            <v>BT</v>
          </cell>
          <cell r="S35" t="str">
            <v>BT</v>
          </cell>
          <cell r="T35" t="str">
            <v>EX</v>
          </cell>
          <cell r="U35" t="str">
            <v>Bogie</v>
          </cell>
          <cell r="V35" t="str">
            <v>BOMBARDIER</v>
          </cell>
          <cell r="Z35" t="str">
            <v>RTS 188 JS2 EMR 03/09/2020</v>
          </cell>
          <cell r="AA35" t="str">
            <v>E</v>
          </cell>
          <cell r="AB35" t="str">
            <v>Mécanique</v>
          </cell>
          <cell r="AC35" t="str">
            <v>EMR</v>
          </cell>
          <cell r="AD35" t="str">
            <v>SF EM.4-40092</v>
          </cell>
          <cell r="AE35" t="str">
            <v>Roulement</v>
          </cell>
          <cell r="AF35">
            <v>3</v>
          </cell>
          <cell r="AI35">
            <v>1</v>
          </cell>
          <cell r="AO35" t="str">
            <v>FP</v>
          </cell>
          <cell r="AP35" t="str">
            <v>FD</v>
          </cell>
          <cell r="CH35" t="e">
            <v>#N/A</v>
          </cell>
          <cell r="CI35" t="e">
            <v>#N/A</v>
          </cell>
          <cell r="CJ35" t="e">
            <v>#N/A</v>
          </cell>
        </row>
        <row r="36">
          <cell r="B36" t="str">
            <v>Ligne_11.22_PPD</v>
          </cell>
          <cell r="C36" t="str">
            <v>11.22</v>
          </cell>
          <cell r="E36" t="str">
            <v>Architecture générale du roulement comprenant au moins le châssis, les suspensions, la liaison caisse/bogie, la transmission, le pont, les pneumatiques porteurs et guideurs, les roues fer ainsi que les frotteurs positifs, négatifs et masse</v>
          </cell>
          <cell r="G36" t="str">
            <v>SPECIFICATION TECHNIQUE DE BARRE DE DETECTION D OBSTACLE - BDO</v>
          </cell>
          <cell r="R36" t="str">
            <v>BT</v>
          </cell>
          <cell r="S36" t="str">
            <v>BT</v>
          </cell>
          <cell r="T36" t="str">
            <v>EX</v>
          </cell>
          <cell r="U36" t="str">
            <v>Bogie</v>
          </cell>
          <cell r="V36" t="str">
            <v>BOMBARDIER</v>
          </cell>
          <cell r="X36" t="str">
            <v>Contractuel Produit</v>
          </cell>
          <cell r="Z36" t="str">
            <v>RTS 188 JS2 EMR 03/09/2020</v>
          </cell>
          <cell r="AA36" t="str">
            <v>E</v>
          </cell>
          <cell r="AB36" t="str">
            <v>Mécanique</v>
          </cell>
          <cell r="AC36" t="str">
            <v>EMR</v>
          </cell>
          <cell r="AD36" t="str">
            <v>SF EM.4-40092</v>
          </cell>
          <cell r="AE36" t="str">
            <v>Roulement</v>
          </cell>
          <cell r="AF36">
            <v>3</v>
          </cell>
          <cell r="AI36">
            <v>1</v>
          </cell>
          <cell r="AN36" t="str">
            <v>FP</v>
          </cell>
          <cell r="AP36" t="str">
            <v>FD</v>
          </cell>
          <cell r="CH36" t="e">
            <v>#N/A</v>
          </cell>
          <cell r="CI36" t="e">
            <v>#N/A</v>
          </cell>
          <cell r="CJ36" t="e">
            <v>#N/A</v>
          </cell>
        </row>
        <row r="37">
          <cell r="B37" t="str">
            <v>Ligne_11.23_PPD</v>
          </cell>
          <cell r="C37" t="str">
            <v>11.23</v>
          </cell>
          <cell r="E37" t="str">
            <v>Architecture générale du roulement comprenant au moins le châssis, les suspensions, la liaison caisse/bogie, la transmission, le pont, les pneumatiques porteurs et guideurs, les roues fer ainsi que les frotteurs positifs, négatifs et masse</v>
          </cell>
          <cell r="G37" t="str">
            <v>SPECIFICATION TECHNIQUE ANTI ENRAYEUR</v>
          </cell>
          <cell r="R37" t="str">
            <v>BT</v>
          </cell>
          <cell r="S37" t="str">
            <v>BT</v>
          </cell>
          <cell r="T37" t="str">
            <v>EX</v>
          </cell>
          <cell r="U37" t="str">
            <v>Pas Bogie</v>
          </cell>
          <cell r="V37" t="str">
            <v>BOMBARDIER</v>
          </cell>
          <cell r="X37" t="str">
            <v>Contractuel Produit</v>
          </cell>
          <cell r="Z37" t="str">
            <v>RTS 188 JS2 EMR 03/09/2020</v>
          </cell>
          <cell r="AA37" t="str">
            <v>E</v>
          </cell>
          <cell r="AB37" t="str">
            <v>Mécanique</v>
          </cell>
          <cell r="AC37" t="str">
            <v>EMR</v>
          </cell>
          <cell r="AD37" t="str">
            <v>SF EM.4-40092</v>
          </cell>
          <cell r="AE37" t="str">
            <v>Roulement</v>
          </cell>
          <cell r="AF37">
            <v>3</v>
          </cell>
          <cell r="AI37">
            <v>1</v>
          </cell>
          <cell r="AM37" t="str">
            <v>FP</v>
          </cell>
          <cell r="AP37" t="str">
            <v>FD</v>
          </cell>
          <cell r="BK37">
            <v>44213</v>
          </cell>
          <cell r="CH37" t="e">
            <v>#N/A</v>
          </cell>
          <cell r="CI37" t="e">
            <v>#N/A</v>
          </cell>
          <cell r="CJ37" t="e">
            <v>#N/A</v>
          </cell>
        </row>
        <row r="38">
          <cell r="B38" t="str">
            <v>Ligne_11.24_PPD</v>
          </cell>
          <cell r="C38" t="str">
            <v>11.24</v>
          </cell>
          <cell r="E38" t="str">
            <v>Architecture générale du roulement comprenant au moins le châssis, les suspensions, la liaison caisse/bogie, la transmission, le pont, les pneumatiques porteurs et guideurs, les roues fer ainsi que les frotteurs positifs, négatifs et masse</v>
          </cell>
          <cell r="G38" t="str">
            <v>SPECIFICATION TECHNIQUE CAPTEUR DE VITESSE</v>
          </cell>
          <cell r="R38" t="str">
            <v>BT</v>
          </cell>
          <cell r="S38" t="str">
            <v>BT</v>
          </cell>
          <cell r="T38" t="str">
            <v>EX</v>
          </cell>
          <cell r="U38" t="str">
            <v>Pas Bogie</v>
          </cell>
          <cell r="V38" t="str">
            <v>BOMBARDIER</v>
          </cell>
          <cell r="X38" t="str">
            <v>Contractuel Produit</v>
          </cell>
          <cell r="Z38" t="str">
            <v>RTS 188 JS2 EMR 03/09/2020</v>
          </cell>
          <cell r="AA38" t="str">
            <v>E</v>
          </cell>
          <cell r="AB38" t="str">
            <v>Mécanique</v>
          </cell>
          <cell r="AC38" t="str">
            <v>EMR</v>
          </cell>
          <cell r="AD38" t="str">
            <v>SF EM.4-40092</v>
          </cell>
          <cell r="AE38" t="str">
            <v>Roulement</v>
          </cell>
          <cell r="AF38">
            <v>3</v>
          </cell>
          <cell r="AI38">
            <v>1</v>
          </cell>
          <cell r="AM38" t="str">
            <v>FP</v>
          </cell>
          <cell r="AP38" t="str">
            <v>FD</v>
          </cell>
          <cell r="BK38">
            <v>44213</v>
          </cell>
          <cell r="CH38" t="e">
            <v>#N/A</v>
          </cell>
          <cell r="CI38" t="e">
            <v>#N/A</v>
          </cell>
          <cell r="CJ38" t="e">
            <v>#N/A</v>
          </cell>
        </row>
        <row r="39">
          <cell r="B39" t="str">
            <v>Ligne_12_PPD</v>
          </cell>
          <cell r="C39">
            <v>12</v>
          </cell>
          <cell r="E39" t="str">
            <v>Plan d'ensemble des organes de roulement moteur et porteur ou figure les cotes principales du roulement et son intégration dans le gabarit des parties basses</v>
          </cell>
          <cell r="G39" t="str">
            <v>LIVRABLE</v>
          </cell>
          <cell r="R39" t="str">
            <v>NA</v>
          </cell>
          <cell r="S39" t="str">
            <v>BT</v>
          </cell>
          <cell r="T39" t="str">
            <v>NA</v>
          </cell>
          <cell r="U39" t="str">
            <v>Bogie</v>
          </cell>
          <cell r="AA39" t="str">
            <v>E</v>
          </cell>
          <cell r="AB39" t="str">
            <v>Mécanique</v>
          </cell>
          <cell r="AC39" t="str">
            <v>EMR</v>
          </cell>
          <cell r="AD39" t="str">
            <v>SF EM.4-40092
ST EM-4-70024</v>
          </cell>
          <cell r="AE39" t="str">
            <v>Roulement
Roulement MF19</v>
          </cell>
          <cell r="AF39" t="str">
            <v>3
7</v>
          </cell>
          <cell r="AI39" t="str">
            <v>LIVRABLE</v>
          </cell>
          <cell r="AL39" t="str">
            <v>FD</v>
          </cell>
          <cell r="CH39" t="e">
            <v>#N/A</v>
          </cell>
          <cell r="CI39" t="e">
            <v>#N/A</v>
          </cell>
          <cell r="CJ39" t="e">
            <v>#N/A</v>
          </cell>
        </row>
        <row r="40">
          <cell r="A40">
            <v>100445762</v>
          </cell>
          <cell r="B40" t="str">
            <v>Ligne_12.1_PPD</v>
          </cell>
          <cell r="C40" t="str">
            <v>12.1</v>
          </cell>
          <cell r="E40" t="str">
            <v>Plan d'ensemble des organes de roulement moteur et porteur ou figure les cotes principales du roulement et son intégration dans le gabarit des parties basses</v>
          </cell>
          <cell r="F40" t="str">
            <v>A</v>
          </cell>
          <cell r="G40" t="str">
            <v>PLAN INTERFACE DU REDUCTEUR</v>
          </cell>
          <cell r="M40" t="str">
            <v>F-01_ROULEMENT</v>
          </cell>
          <cell r="N40" t="str">
            <v>DD</v>
          </cell>
          <cell r="O40" t="str">
            <v>PE_PLAN ENSEMBLE</v>
          </cell>
          <cell r="Q40">
            <v>0</v>
          </cell>
          <cell r="R40" t="str">
            <v>BT</v>
          </cell>
          <cell r="S40" t="str">
            <v>BT</v>
          </cell>
          <cell r="T40" t="str">
            <v>EX</v>
          </cell>
          <cell r="U40" t="str">
            <v>Marek Kubis</v>
          </cell>
          <cell r="V40" t="str">
            <v>BOMBARDIER</v>
          </cell>
          <cell r="W40" t="str">
            <v>N</v>
          </cell>
          <cell r="X40" t="str">
            <v>Document contractuel FP</v>
          </cell>
          <cell r="Z40" t="str">
            <v>RTS 188 JS2 EMR 03/09/2020</v>
          </cell>
          <cell r="AA40" t="str">
            <v>E</v>
          </cell>
          <cell r="AB40" t="str">
            <v>Mécanique</v>
          </cell>
          <cell r="AC40" t="str">
            <v>EMR</v>
          </cell>
          <cell r="AD40" t="str">
            <v>SF EM.4-40092
ST EM-4-70024</v>
          </cell>
          <cell r="AE40" t="str">
            <v>Roulement
Roulement MF19</v>
          </cell>
          <cell r="AF40" t="str">
            <v>3
7</v>
          </cell>
          <cell r="AI40">
            <v>1</v>
          </cell>
          <cell r="AL40" t="str">
            <v>FP</v>
          </cell>
          <cell r="AN40" t="str">
            <v>FD</v>
          </cell>
          <cell r="BJ40">
            <v>44022</v>
          </cell>
          <cell r="CH40" t="str">
            <v>MF19_BORD_BT_00009</v>
          </cell>
          <cell r="CI40" t="str">
            <v>AR</v>
          </cell>
          <cell r="CJ40" t="str">
            <v>FP</v>
          </cell>
        </row>
        <row r="41">
          <cell r="A41">
            <v>100440973</v>
          </cell>
          <cell r="B41" t="str">
            <v>Ligne_12.2_PPD</v>
          </cell>
          <cell r="C41" t="str">
            <v>12.2</v>
          </cell>
          <cell r="E41" t="str">
            <v>Plan d'ensemble des organes de roulement moteur et porteur ou figure les cotes principales du roulement et son intégration dans le gabarit des parties basses</v>
          </cell>
          <cell r="F41" t="str">
            <v>A</v>
          </cell>
          <cell r="G41" t="str">
            <v>ROULEMENT INTERFACE</v>
          </cell>
          <cell r="M41" t="str">
            <v>F-01_ROULEMENT</v>
          </cell>
          <cell r="N41" t="str">
            <v>DD</v>
          </cell>
          <cell r="O41" t="str">
            <v>PE_PLAN ENSEMBLE</v>
          </cell>
          <cell r="Q41">
            <v>0</v>
          </cell>
          <cell r="R41" t="str">
            <v>BT</v>
          </cell>
          <cell r="S41" t="str">
            <v>BT</v>
          </cell>
          <cell r="T41" t="str">
            <v>EX</v>
          </cell>
          <cell r="U41" t="str">
            <v>Christophe Hamann</v>
          </cell>
          <cell r="V41" t="str">
            <v>BOMBARDIER</v>
          </cell>
          <cell r="W41" t="str">
            <v>N</v>
          </cell>
          <cell r="X41" t="str">
            <v>Document contractuel FP</v>
          </cell>
          <cell r="Z41" t="str">
            <v>RTS 188 JS2 EMR 03/09/2020</v>
          </cell>
          <cell r="AA41" t="str">
            <v>E</v>
          </cell>
          <cell r="AB41" t="str">
            <v>Mécanique</v>
          </cell>
          <cell r="AC41" t="str">
            <v>EMR</v>
          </cell>
          <cell r="AD41" t="str">
            <v>SF EM.4-40092
ST EM-4-70024</v>
          </cell>
          <cell r="AE41" t="str">
            <v>Roulement
Roulement MF19</v>
          </cell>
          <cell r="AF41" t="str">
            <v>3
7</v>
          </cell>
          <cell r="AI41">
            <v>1</v>
          </cell>
          <cell r="AL41" t="str">
            <v>FP</v>
          </cell>
          <cell r="AN41" t="str">
            <v>FD</v>
          </cell>
          <cell r="BJ41">
            <v>44022</v>
          </cell>
          <cell r="CH41" t="str">
            <v>MF19_BORD_BT_00010</v>
          </cell>
          <cell r="CI41" t="str">
            <v>AR</v>
          </cell>
          <cell r="CJ41" t="str">
            <v>FP</v>
          </cell>
        </row>
        <row r="42">
          <cell r="B42" t="str">
            <v>Ligne_13_PPD</v>
          </cell>
          <cell r="C42">
            <v>13</v>
          </cell>
          <cell r="E42" t="str">
            <v>un descriptif des caractéristiques physiques et géométriques des roues fer</v>
          </cell>
          <cell r="G42" t="str">
            <v>renvoi à l'item 62.1.37</v>
          </cell>
          <cell r="R42" t="str">
            <v>NA</v>
          </cell>
          <cell r="S42" t="str">
            <v>BT</v>
          </cell>
          <cell r="T42" t="str">
            <v>NA</v>
          </cell>
          <cell r="U42" t="str">
            <v>Bogie</v>
          </cell>
          <cell r="AA42" t="str">
            <v>E</v>
          </cell>
          <cell r="AB42" t="str">
            <v>Mécanique</v>
          </cell>
          <cell r="AC42" t="str">
            <v>EMR</v>
          </cell>
          <cell r="AD42" t="str">
            <v>ST EM.4-70024</v>
          </cell>
          <cell r="AE42" t="str">
            <v>Roulement MF19</v>
          </cell>
          <cell r="AF42">
            <v>6</v>
          </cell>
          <cell r="AI42" t="str">
            <v>RENVOI</v>
          </cell>
          <cell r="AL42" t="str">
            <v>FD</v>
          </cell>
          <cell r="CH42" t="e">
            <v>#N/A</v>
          </cell>
          <cell r="CI42" t="e">
            <v>#N/A</v>
          </cell>
          <cell r="CJ42" t="e">
            <v>#N/A</v>
          </cell>
        </row>
        <row r="43">
          <cell r="A43">
            <v>100440792</v>
          </cell>
          <cell r="B43" t="str">
            <v>Ligne_13.1_PPD</v>
          </cell>
          <cell r="C43" t="str">
            <v>13.1</v>
          </cell>
          <cell r="E43" t="str">
            <v>un descriptif des caractéristiques physiques et géométriques des roues fer</v>
          </cell>
          <cell r="F43" t="str">
            <v>A</v>
          </cell>
          <cell r="G43" t="str">
            <v>ROUE MONOBLOC DIAMETRE 840</v>
          </cell>
          <cell r="M43" t="str">
            <v>F-01_ROULEMENT</v>
          </cell>
          <cell r="N43" t="str">
            <v>DD</v>
          </cell>
          <cell r="O43" t="str">
            <v>PE_PLAN ENSEMBLE</v>
          </cell>
          <cell r="Q43">
            <v>0</v>
          </cell>
          <cell r="R43" t="str">
            <v>BT</v>
          </cell>
          <cell r="S43" t="str">
            <v>BT</v>
          </cell>
          <cell r="T43" t="str">
            <v>EX</v>
          </cell>
          <cell r="U43" t="str">
            <v>Christophe Hamann</v>
          </cell>
          <cell r="V43" t="str">
            <v>BOMBARDIER</v>
          </cell>
          <cell r="W43" t="str">
            <v>N</v>
          </cell>
          <cell r="X43" t="str">
            <v>Document contractuel FP</v>
          </cell>
          <cell r="AA43" t="str">
            <v>E</v>
          </cell>
          <cell r="AB43" t="str">
            <v>Mécanique</v>
          </cell>
          <cell r="AC43" t="str">
            <v>EMR</v>
          </cell>
          <cell r="AD43" t="str">
            <v>ST EM.4-70024</v>
          </cell>
          <cell r="AE43" t="str">
            <v>Roulement MF19</v>
          </cell>
          <cell r="AF43">
            <v>6</v>
          </cell>
          <cell r="AI43">
            <v>1</v>
          </cell>
          <cell r="AL43" t="str">
            <v>FP</v>
          </cell>
          <cell r="AP43" t="str">
            <v>FD</v>
          </cell>
          <cell r="BJ43">
            <v>44022</v>
          </cell>
          <cell r="CH43" t="str">
            <v>MF19_BORD_BT_00009</v>
          </cell>
          <cell r="CI43" t="str">
            <v>R</v>
          </cell>
          <cell r="CJ43" t="str">
            <v>FP</v>
          </cell>
        </row>
        <row r="44">
          <cell r="B44" t="str">
            <v>Ligne_14_PPD</v>
          </cell>
          <cell r="C44">
            <v>14</v>
          </cell>
          <cell r="E44" t="str">
            <v>Un descriptif des caractéristiques du pont</v>
          </cell>
          <cell r="G44" t="str">
            <v>renvoi aux items 62.1.30, 35 et 36</v>
          </cell>
          <cell r="R44" t="str">
            <v>NA</v>
          </cell>
          <cell r="S44" t="str">
            <v>BT</v>
          </cell>
          <cell r="T44" t="str">
            <v>NA</v>
          </cell>
          <cell r="U44" t="str">
            <v>Bogie</v>
          </cell>
          <cell r="AA44" t="str">
            <v>E</v>
          </cell>
          <cell r="AB44" t="str">
            <v>Mécanique</v>
          </cell>
          <cell r="AC44" t="str">
            <v>EMR</v>
          </cell>
          <cell r="AD44" t="str">
            <v>SF EM.4-40092
ST EM-4-70024</v>
          </cell>
          <cell r="AE44" t="str">
            <v>Roulement
Roulement MF19</v>
          </cell>
          <cell r="AF44" t="str">
            <v>9.1
7</v>
          </cell>
          <cell r="AI44" t="str">
            <v>RENVOI</v>
          </cell>
          <cell r="AL44" t="str">
            <v>FD</v>
          </cell>
          <cell r="CH44" t="e">
            <v>#N/A</v>
          </cell>
          <cell r="CI44" t="e">
            <v>#N/A</v>
          </cell>
          <cell r="CJ44" t="e">
            <v>#N/A</v>
          </cell>
        </row>
        <row r="45">
          <cell r="A45">
            <v>100445358</v>
          </cell>
          <cell r="B45" t="str">
            <v>Ligne_15_PPD</v>
          </cell>
          <cell r="C45">
            <v>15</v>
          </cell>
          <cell r="E45" t="str">
            <v>Plan de validation des matériaux de friction de freinage. Celui-ci tiendra compte des choix techniques généraux découlant de l'architecture du freinage sur le train. Il sera inclus un phasage détaillé de la phase 1 de la qualification des matériaux de friction et des essais de bruit sur le véhicule fini.</v>
          </cell>
          <cell r="F45" t="str">
            <v>A</v>
          </cell>
          <cell r="G45" t="str">
            <v>PLAN DE VALIDATION FREIN MECANIQUE BOGIE</v>
          </cell>
          <cell r="M45" t="str">
            <v>F-01_ROULEMENT</v>
          </cell>
          <cell r="N45" t="str">
            <v>DJD</v>
          </cell>
          <cell r="O45" t="str">
            <v>PRT_PROG. ESSAIS DE TYPE</v>
          </cell>
          <cell r="Q45">
            <v>0</v>
          </cell>
          <cell r="R45" t="str">
            <v>BT</v>
          </cell>
          <cell r="S45" t="str">
            <v>BT</v>
          </cell>
          <cell r="T45" t="str">
            <v>EX</v>
          </cell>
          <cell r="U45" t="str">
            <v>Frantz Weber</v>
          </cell>
          <cell r="V45" t="str">
            <v>BOMBARDIER</v>
          </cell>
          <cell r="W45" t="str">
            <v>N</v>
          </cell>
          <cell r="X45" t="str">
            <v>Document contractuel FP</v>
          </cell>
          <cell r="Z45" t="str">
            <v>RTS 188 JS2 EMR 03/09/2020</v>
          </cell>
          <cell r="AA45" t="str">
            <v>E</v>
          </cell>
          <cell r="AB45" t="str">
            <v>Mécanique</v>
          </cell>
          <cell r="AC45" t="str">
            <v>EMR</v>
          </cell>
          <cell r="AD45" t="str">
            <v>ST EM.4-70051</v>
          </cell>
          <cell r="AE45" t="str">
            <v>Matériaux de friction du MF19</v>
          </cell>
          <cell r="AF45" t="str">
            <v>2 à 6</v>
          </cell>
          <cell r="AI45">
            <v>1</v>
          </cell>
          <cell r="AL45" t="str">
            <v>FP</v>
          </cell>
          <cell r="AO45" t="str">
            <v>FD</v>
          </cell>
          <cell r="AU45" t="str">
            <v>Maj</v>
          </cell>
          <cell r="BJ45">
            <v>44022</v>
          </cell>
          <cell r="CH45" t="str">
            <v>MF19_BORD_BT_00010</v>
          </cell>
          <cell r="CI45" t="str">
            <v>AR</v>
          </cell>
          <cell r="CJ45" t="str">
            <v>FP</v>
          </cell>
        </row>
        <row r="46">
          <cell r="B46" t="str">
            <v>Ligne_16_PPD</v>
          </cell>
          <cell r="C46">
            <v>16</v>
          </cell>
          <cell r="E46" t="str">
            <v>Un descriptif mécaniques et électriques des frotteurs positifs</v>
          </cell>
          <cell r="G46" t="str">
            <v>renvoi à l'item 62.1.33 STB frotteur positif 3eme rail et coffret fusible</v>
          </cell>
          <cell r="R46" t="str">
            <v>NA</v>
          </cell>
          <cell r="S46" t="str">
            <v>BT</v>
          </cell>
          <cell r="T46" t="str">
            <v>NA</v>
          </cell>
          <cell r="U46" t="str">
            <v>Bogie</v>
          </cell>
          <cell r="AA46" t="str">
            <v>E</v>
          </cell>
          <cell r="AB46" t="str">
            <v>Mécanique</v>
          </cell>
          <cell r="AC46" t="str">
            <v>EMR</v>
          </cell>
          <cell r="AD46" t="str">
            <v>ST EM.4-70022</v>
          </cell>
          <cell r="AE46" t="str">
            <v>Capteurs de courant pour matériel roulant sur fer</v>
          </cell>
          <cell r="AF46" t="str">
            <v>2 ; 4.2</v>
          </cell>
          <cell r="AI46" t="str">
            <v>RENVOI</v>
          </cell>
          <cell r="AL46" t="str">
            <v>FD</v>
          </cell>
          <cell r="CH46" t="e">
            <v>#N/A</v>
          </cell>
          <cell r="CI46" t="e">
            <v>#N/A</v>
          </cell>
          <cell r="CJ46" t="e">
            <v>#N/A</v>
          </cell>
        </row>
        <row r="47">
          <cell r="B47" t="str">
            <v>Ligne_17_PPD</v>
          </cell>
          <cell r="C47">
            <v>17</v>
          </cell>
          <cell r="E47" t="str">
            <v>Au niveau caisse : 
- le type de structure de caisse et son matériau de construction
- un programme de calculs et d’essais de démonstration de la conformité de la structure de caisse aux exigences de la ST 30026.
- le type de supports d'équipements lourds et de fixation des équipements
- le choix des classes de soudure utilisées pour les productions des structures des caisses et des équipements.
- le type de porte d’accès voyageurs et de commande, ainsi que le descriptif détaillé du fonctionnement des portes en modes normal et dégradé (ligne en DOUBLON AVEC Item  62.1.7 STB Porte et Item 51.5 DDF porte)
- les types de sièges
- le type de ventilation réfrigérée et ses performances
- le type de climatisation et ses performances
- les solutions de protections de surfaces (garnissages, vitrages intérieurs et extérieurs, faces...)</v>
          </cell>
          <cell r="G47" t="str">
            <v>renvoi aux items  51.16, 68.1, 62.1.7, 51.5, 62.1.13, 36.2, 51.11, 93 et 51.15</v>
          </cell>
          <cell r="R47" t="str">
            <v>NA</v>
          </cell>
          <cell r="S47" t="str">
            <v>BT</v>
          </cell>
          <cell r="T47" t="str">
            <v>NA</v>
          </cell>
          <cell r="AA47" t="str">
            <v>E</v>
          </cell>
          <cell r="AB47" t="str">
            <v>Mécanique</v>
          </cell>
          <cell r="AC47" t="str">
            <v>EMC</v>
          </cell>
          <cell r="AD47" t="str">
            <v>ST EM.4-40093</v>
          </cell>
          <cell r="AE47" t="str">
            <v xml:space="preserve">Caisse Confort </v>
          </cell>
          <cell r="AF47">
            <v>4</v>
          </cell>
          <cell r="AI47" t="str">
            <v>RENVOI</v>
          </cell>
          <cell r="AL47" t="str">
            <v>FD</v>
          </cell>
          <cell r="CH47" t="e">
            <v>#N/A</v>
          </cell>
          <cell r="CI47" t="e">
            <v>#N/A</v>
          </cell>
          <cell r="CJ47" t="e">
            <v>#N/A</v>
          </cell>
        </row>
        <row r="48">
          <cell r="B48" t="str">
            <v>Ligne_18_PPD</v>
          </cell>
          <cell r="C48">
            <v>18</v>
          </cell>
          <cell r="E48" t="str">
            <v>Note de calcul relative à la tenue de l’accouplement du moteur de traction dans le cas d’un court circuit d’un ou plusieurs interrupteurs statiques de l’onduleur de tension, si cette solution est proposée (courts-circuits « symétriques et asymétriques » des bras)</v>
          </cell>
          <cell r="G48" t="str">
            <v>LIVRABLE</v>
          </cell>
          <cell r="R48" t="str">
            <v>NA</v>
          </cell>
          <cell r="S48" t="str">
            <v>ABT</v>
          </cell>
          <cell r="T48" t="str">
            <v>NA</v>
          </cell>
          <cell r="U48" t="str">
            <v>NA</v>
          </cell>
          <cell r="Z48" t="str">
            <v>RTS 186 JS2 SME 01/09/2020</v>
          </cell>
          <cell r="AA48" t="str">
            <v>E</v>
          </cell>
          <cell r="AB48" t="str">
            <v>Electrique</v>
          </cell>
          <cell r="AC48" t="str">
            <v>SME</v>
          </cell>
          <cell r="AD48" t="str">
            <v>SF EZ.4-40083</v>
          </cell>
          <cell r="AE48" t="str">
            <v>Motricité</v>
          </cell>
          <cell r="AF48" t="str">
            <v>2.5.1</v>
          </cell>
          <cell r="AI48" t="str">
            <v>LIVRABLE</v>
          </cell>
          <cell r="AM48" t="str">
            <v>FP</v>
          </cell>
          <cell r="AN48" t="str">
            <v>FD</v>
          </cell>
          <cell r="CH48" t="e">
            <v>#N/A</v>
          </cell>
          <cell r="CI48" t="e">
            <v>#N/A</v>
          </cell>
          <cell r="CJ48" t="e">
            <v>#N/A</v>
          </cell>
        </row>
        <row r="49">
          <cell r="B49" t="str">
            <v>Ligne_18.1_PPD</v>
          </cell>
          <cell r="C49" t="str">
            <v>18.1</v>
          </cell>
          <cell r="E49" t="str">
            <v>Note de calcul relative à la tenue de l’accouplement du moteur de traction dans le cas d’un court circuit d’un ou plusieurs interrupteurs statiques de l’onduleur de tension, si cette solution est proposée (courts-circuits « symétriques et asymétriques » des bras)</v>
          </cell>
          <cell r="G49" t="str">
            <v>NOTE DE CALCUL MECANIQUE TENUE MOTEUR AU COURT CIRCUIT MOTEUR</v>
          </cell>
          <cell r="R49" t="str">
            <v>ORN</v>
          </cell>
          <cell r="S49" t="str">
            <v>AT</v>
          </cell>
          <cell r="T49" t="str">
            <v>EX</v>
          </cell>
          <cell r="U49" t="str">
            <v>M.SOUGH</v>
          </cell>
          <cell r="V49" t="str">
            <v>ALSTOM</v>
          </cell>
          <cell r="Z49" t="str">
            <v>RTS 186 JS2 SME 01/09/2020</v>
          </cell>
          <cell r="AA49" t="str">
            <v>E</v>
          </cell>
          <cell r="AB49" t="str">
            <v>Electrique</v>
          </cell>
          <cell r="AC49" t="str">
            <v>SME</v>
          </cell>
          <cell r="AD49" t="str">
            <v>SF EZ.4-40083</v>
          </cell>
          <cell r="AE49" t="str">
            <v>Motricité</v>
          </cell>
          <cell r="AF49" t="str">
            <v>2.5.1</v>
          </cell>
          <cell r="AI49">
            <v>1</v>
          </cell>
          <cell r="AM49" t="str">
            <v>FP</v>
          </cell>
          <cell r="AN49" t="str">
            <v>FD</v>
          </cell>
          <cell r="CH49" t="e">
            <v>#N/A</v>
          </cell>
          <cell r="CI49" t="e">
            <v>#N/A</v>
          </cell>
          <cell r="CJ49" t="e">
            <v>#N/A</v>
          </cell>
        </row>
        <row r="50">
          <cell r="B50" t="str">
            <v>Ligne_18.2_PPD</v>
          </cell>
          <cell r="C50" t="str">
            <v>18.2</v>
          </cell>
          <cell r="E50" t="str">
            <v>Note de calcul relative à la tenue de l’accouplement du moteur de traction dans le cas d’un court circuit d’un ou plusieurs interrupteurs statiques de l’onduleur de tension, si cette solution est proposée (courts-circuits « symétriques et asymétriques » des bras)</v>
          </cell>
          <cell r="G50" t="str">
            <v>NOTE DE CALCUL TENUE DE L ACCOUPLEMENT MOTEUR</v>
          </cell>
          <cell r="R50" t="str">
            <v>BT</v>
          </cell>
          <cell r="S50" t="str">
            <v>BT</v>
          </cell>
          <cell r="T50" t="str">
            <v>EX</v>
          </cell>
          <cell r="U50" t="str">
            <v>Roman Plattner</v>
          </cell>
          <cell r="V50" t="str">
            <v>BOMBARDIER</v>
          </cell>
          <cell r="Z50" t="str">
            <v>RTS 186 JS2 SME 01/09/2020</v>
          </cell>
          <cell r="AA50" t="str">
            <v>E</v>
          </cell>
          <cell r="AB50" t="str">
            <v>Electrique</v>
          </cell>
          <cell r="AC50" t="str">
            <v>SME</v>
          </cell>
          <cell r="AD50" t="str">
            <v>SF EZ.4-40083</v>
          </cell>
          <cell r="AE50" t="str">
            <v>Motricité</v>
          </cell>
          <cell r="AF50" t="str">
            <v>2.5.1</v>
          </cell>
          <cell r="AI50">
            <v>1</v>
          </cell>
          <cell r="AM50" t="str">
            <v>FP</v>
          </cell>
          <cell r="AN50" t="str">
            <v>FD</v>
          </cell>
          <cell r="BK50">
            <v>44162</v>
          </cell>
          <cell r="CH50" t="e">
            <v>#N/A</v>
          </cell>
          <cell r="CI50" t="e">
            <v>#N/A</v>
          </cell>
          <cell r="CJ50" t="e">
            <v>#N/A</v>
          </cell>
        </row>
        <row r="51">
          <cell r="B51" t="str">
            <v>Ligne_19_PPD</v>
          </cell>
          <cell r="C51">
            <v>19</v>
          </cell>
          <cell r="E51" t="str">
            <v>Dossier de calcul du frein, en précisant les différents réglages pour obtenir les performances requises et répondant aux conditions de la marche type définie dans la spécification technique « Notes de calcul et essais de validation du frein MF19 » (ST-MRF EM 4-70 050)</v>
          </cell>
          <cell r="G51" t="str">
            <v>LIVRABLE</v>
          </cell>
          <cell r="R51" t="str">
            <v>NA</v>
          </cell>
          <cell r="S51" t="str">
            <v>ABT</v>
          </cell>
          <cell r="T51" t="str">
            <v>NA</v>
          </cell>
          <cell r="U51" t="str">
            <v>NA</v>
          </cell>
          <cell r="AA51" t="str">
            <v>E</v>
          </cell>
          <cell r="AB51" t="str">
            <v>Electrique</v>
          </cell>
          <cell r="AC51" t="str">
            <v>SME/ETS/EMR</v>
          </cell>
          <cell r="AD51" t="str">
            <v>SF EZ.4-40083</v>
          </cell>
          <cell r="AE51" t="str">
            <v>Motricité</v>
          </cell>
          <cell r="AF51" t="str">
            <v>2.5.1</v>
          </cell>
          <cell r="AI51" t="str">
            <v>LIVRABLE</v>
          </cell>
          <cell r="AL51" t="str">
            <v>FD</v>
          </cell>
          <cell r="BA51" t="str">
            <v>Maj</v>
          </cell>
          <cell r="CH51" t="e">
            <v>#N/A</v>
          </cell>
          <cell r="CI51" t="e">
            <v>#N/A</v>
          </cell>
          <cell r="CJ51" t="e">
            <v>#N/A</v>
          </cell>
        </row>
        <row r="52">
          <cell r="A52" t="str">
            <v>ADD0003308518</v>
          </cell>
          <cell r="B52" t="str">
            <v>Ligne_19.1_PPD</v>
          </cell>
          <cell r="C52" t="str">
            <v>19.1</v>
          </cell>
          <cell r="E52" t="str">
            <v>Dossier de calcul du frein, en précisant les différents réglages pour obtenir les performances requises et répondant aux conditions de la marche type définie dans la spécification technique « Notes de calcul et essais de validation du frein MF19 » (ST-MRF EM 4-70 050)</v>
          </cell>
          <cell r="F52" t="str">
            <v>A</v>
          </cell>
          <cell r="G52" t="str">
            <v>PERFORMANCE FREIN DE SERVICE</v>
          </cell>
          <cell r="I52" t="str">
            <v>D200</v>
          </cell>
          <cell r="J52" t="str">
            <v>RA</v>
          </cell>
          <cell r="K52" t="str">
            <v>D00037</v>
          </cell>
          <cell r="M52" t="str">
            <v>SYS-10-20_NOTE_DE_CALCUL_DU_FREINAGE_DE_SERVICE</v>
          </cell>
          <cell r="N52" t="str">
            <v>DJD</v>
          </cell>
          <cell r="O52" t="str">
            <v>NC_NOTE DE CALCUL</v>
          </cell>
          <cell r="Q52">
            <v>0</v>
          </cell>
          <cell r="R52" t="str">
            <v>VPF</v>
          </cell>
          <cell r="S52" t="str">
            <v>AT</v>
          </cell>
          <cell r="T52" t="str">
            <v>BT</v>
          </cell>
          <cell r="U52" t="str">
            <v>J.MALENGE</v>
          </cell>
          <cell r="V52" t="str">
            <v>ALSTOM</v>
          </cell>
          <cell r="W52" t="str">
            <v>N</v>
          </cell>
          <cell r="X52" t="str">
            <v>Document contractuel FD</v>
          </cell>
          <cell r="Z52" t="str">
            <v>RTS 159 JS2 ETS 02/07/2020
RTS 186 JS2 SME 01/09/2020</v>
          </cell>
          <cell r="AA52" t="str">
            <v>E</v>
          </cell>
          <cell r="AB52" t="str">
            <v>Electrique</v>
          </cell>
          <cell r="AC52" t="str">
            <v>SME/ETS</v>
          </cell>
          <cell r="AD52" t="str">
            <v>SF EZ.4-40083</v>
          </cell>
          <cell r="AE52" t="str">
            <v>Motricité</v>
          </cell>
          <cell r="AF52" t="str">
            <v>2.5.1</v>
          </cell>
          <cell r="AI52">
            <v>1</v>
          </cell>
          <cell r="AL52" t="str">
            <v>FP</v>
          </cell>
          <cell r="AN52" t="str">
            <v>FD</v>
          </cell>
          <cell r="BA52" t="str">
            <v>Maj</v>
          </cell>
          <cell r="BJ52">
            <v>44022</v>
          </cell>
          <cell r="CH52" t="str">
            <v>MF19_BORD_AT_00029</v>
          </cell>
          <cell r="CI52" t="str">
            <v>R</v>
          </cell>
          <cell r="CJ52" t="str">
            <v>FP</v>
          </cell>
        </row>
        <row r="53">
          <cell r="A53">
            <v>100445624</v>
          </cell>
          <cell r="B53" t="str">
            <v>Ligne_19.2_PPD</v>
          </cell>
          <cell r="C53" t="str">
            <v>19.2</v>
          </cell>
          <cell r="E53" t="str">
            <v>Dossier de calcul du frein, en précisant les différents réglages pour obtenir les performances requises et répondant aux conditions de la marche type définie dans la spécification technique « Notes de calcul et essais de validation du frein MF19 » (ST-MRF EM 4-70 050)</v>
          </cell>
          <cell r="F53" t="str">
            <v>B</v>
          </cell>
          <cell r="G53" t="str">
            <v>NOTE DE CALCUL DU FREIN D URGENCE TRAINS 4 ET 5 VOITURES</v>
          </cell>
          <cell r="M53" t="str">
            <v>SYS-10-10_NOTE_DE_CALCUL_DU_FREIN_MECANIQUE</v>
          </cell>
          <cell r="N53" t="str">
            <v>DJD</v>
          </cell>
          <cell r="O53" t="str">
            <v>NC_NOTE DE CALCUL</v>
          </cell>
          <cell r="Q53">
            <v>0</v>
          </cell>
          <cell r="R53" t="str">
            <v>BT</v>
          </cell>
          <cell r="S53" t="str">
            <v>BT</v>
          </cell>
          <cell r="T53" t="str">
            <v>AT</v>
          </cell>
          <cell r="U53" t="str">
            <v>Frantz Weber</v>
          </cell>
          <cell r="V53" t="str">
            <v>BOMBARDIER</v>
          </cell>
          <cell r="W53" t="str">
            <v>N</v>
          </cell>
          <cell r="X53" t="str">
            <v>Document contractuel FP</v>
          </cell>
          <cell r="Z53" t="str">
            <v>RTS 159 JS2 ETS 02/07/2020
RTS 188 JS2 EMR 03/09/2020</v>
          </cell>
          <cell r="AA53" t="str">
            <v>E</v>
          </cell>
          <cell r="AB53" t="str">
            <v>Electrique</v>
          </cell>
          <cell r="AC53" t="str">
            <v>EMR/ETS</v>
          </cell>
          <cell r="AD53" t="str">
            <v>SF EZ.4-40083</v>
          </cell>
          <cell r="AE53" t="str">
            <v>Motricité</v>
          </cell>
          <cell r="AF53" t="str">
            <v>2.5.1</v>
          </cell>
          <cell r="AI53">
            <v>1</v>
          </cell>
          <cell r="AL53" t="str">
            <v>FP</v>
          </cell>
          <cell r="AO53" t="str">
            <v>FP</v>
          </cell>
          <cell r="AP53" t="str">
            <v>FD</v>
          </cell>
          <cell r="AU53" t="str">
            <v>Maj</v>
          </cell>
          <cell r="BA53" t="str">
            <v>Maj</v>
          </cell>
          <cell r="BJ53">
            <v>44008</v>
          </cell>
          <cell r="CH53" t="str">
            <v>MF19_BORD_BT_00033</v>
          </cell>
          <cell r="CI53" t="str">
            <v>-</v>
          </cell>
          <cell r="CJ53" t="str">
            <v>FP</v>
          </cell>
        </row>
        <row r="54">
          <cell r="A54">
            <v>100445625</v>
          </cell>
          <cell r="B54" t="str">
            <v>Ligne_19.3_PPD</v>
          </cell>
          <cell r="C54" t="str">
            <v>19.3</v>
          </cell>
          <cell r="E54" t="str">
            <v>Dossier de calcul du frein, en précisant les différents réglages pour obtenir les performances requises et répondant aux conditions de la marche type définie dans la spécification technique « Notes de calcul et essais de validation du frein MF19 » (ST-MRF EM 4-70 050)</v>
          </cell>
          <cell r="F54" t="str">
            <v>B</v>
          </cell>
          <cell r="G54" t="str">
            <v>NC FREIN DE STATIONNEMENT ET IMMO TRAINS 4 ET 5 VOITURES</v>
          </cell>
          <cell r="M54" t="str">
            <v>SYS-10-10_NOTE_DE_CALCUL_DU_FREIN_MECANIQUE</v>
          </cell>
          <cell r="N54" t="str">
            <v>DJD</v>
          </cell>
          <cell r="O54" t="str">
            <v>NC_NOTE DE CALCUL</v>
          </cell>
          <cell r="Q54">
            <v>0</v>
          </cell>
          <cell r="R54" t="str">
            <v>BT</v>
          </cell>
          <cell r="S54" t="str">
            <v>BT</v>
          </cell>
          <cell r="T54" t="str">
            <v>AT</v>
          </cell>
          <cell r="U54" t="str">
            <v>Frantz Weber</v>
          </cell>
          <cell r="V54" t="str">
            <v>BOMBARDIER</v>
          </cell>
          <cell r="W54" t="str">
            <v>N</v>
          </cell>
          <cell r="X54" t="str">
            <v>Document contractuel FP</v>
          </cell>
          <cell r="Z54" t="str">
            <v>RTS 159 JS2 ETS 02/07/2020
RTS 188 JS2 EMR 03/09/2020</v>
          </cell>
          <cell r="AA54" t="str">
            <v>E</v>
          </cell>
          <cell r="AB54" t="str">
            <v>Electrique</v>
          </cell>
          <cell r="AC54" t="str">
            <v>EMR/ETS</v>
          </cell>
          <cell r="AD54" t="str">
            <v>SF EZ.4-40083</v>
          </cell>
          <cell r="AE54" t="str">
            <v>Motricité</v>
          </cell>
          <cell r="AF54" t="str">
            <v>2.5.1</v>
          </cell>
          <cell r="AI54">
            <v>1</v>
          </cell>
          <cell r="AL54" t="str">
            <v>FP</v>
          </cell>
          <cell r="AO54" t="str">
            <v>FP</v>
          </cell>
          <cell r="AP54" t="str">
            <v>FD</v>
          </cell>
          <cell r="AU54" t="str">
            <v>Maj</v>
          </cell>
          <cell r="BA54" t="str">
            <v>Maj</v>
          </cell>
          <cell r="BJ54">
            <v>44008</v>
          </cell>
          <cell r="CH54" t="str">
            <v>MF19_BORD_BT_00033</v>
          </cell>
          <cell r="CI54" t="str">
            <v>-</v>
          </cell>
          <cell r="CJ54" t="str">
            <v>FP</v>
          </cell>
        </row>
        <row r="55">
          <cell r="A55">
            <v>100445740</v>
          </cell>
          <cell r="B55" t="str">
            <v>Ligne_19.4_PPD</v>
          </cell>
          <cell r="C55" t="str">
            <v>19.4</v>
          </cell>
          <cell r="E55" t="str">
            <v>Dossier de calcul du frein, en précisant les différents réglages pour obtenir les performances requises et répondant aux conditions de la marche type définie dans la spécification technique « Notes de calcul et essais de validation du frein MF19 » (ST-MRF EM 4-70 050)</v>
          </cell>
          <cell r="F55" t="str">
            <v>A</v>
          </cell>
          <cell r="G55" t="str">
            <v>ANALYSE THERMIQUE FREIN MECANIQUE</v>
          </cell>
          <cell r="M55" t="str">
            <v>SYS-10_NOTE_DE_CALCUL_DU_FREIN_MECANIQUE</v>
          </cell>
          <cell r="N55" t="str">
            <v>DJD</v>
          </cell>
          <cell r="O55" t="str">
            <v>NC_NOTE DE CALCUL</v>
          </cell>
          <cell r="Q55">
            <v>0</v>
          </cell>
          <cell r="R55" t="str">
            <v>BT</v>
          </cell>
          <cell r="S55" t="str">
            <v>BT</v>
          </cell>
          <cell r="T55" t="str">
            <v>AT</v>
          </cell>
          <cell r="U55" t="str">
            <v>Frantz Weber</v>
          </cell>
          <cell r="V55" t="str">
            <v>BOMBARDIER</v>
          </cell>
          <cell r="W55" t="str">
            <v>N</v>
          </cell>
          <cell r="X55" t="str">
            <v>Document contractuel FP</v>
          </cell>
          <cell r="Z55" t="str">
            <v>RTS 159 JS2 ETS 02/07/2020
RTS 188 JS2 EMR 03/09/2020</v>
          </cell>
          <cell r="AA55" t="str">
            <v>E</v>
          </cell>
          <cell r="AB55" t="str">
            <v>Electrique</v>
          </cell>
          <cell r="AC55" t="str">
            <v>EMR/ETS</v>
          </cell>
          <cell r="AD55" t="str">
            <v>SF EZ.4-40083</v>
          </cell>
          <cell r="AE55" t="str">
            <v>Motricité</v>
          </cell>
          <cell r="AF55" t="str">
            <v>2.5.1</v>
          </cell>
          <cell r="AI55">
            <v>1</v>
          </cell>
          <cell r="AL55" t="str">
            <v>FP</v>
          </cell>
          <cell r="AO55" t="str">
            <v>FP</v>
          </cell>
          <cell r="AP55" t="str">
            <v>FD</v>
          </cell>
          <cell r="AU55" t="str">
            <v>Maj</v>
          </cell>
          <cell r="BA55" t="str">
            <v>Maj</v>
          </cell>
          <cell r="BJ55">
            <v>44022</v>
          </cell>
          <cell r="CH55" t="str">
            <v>MF19_BORD_BT_00025</v>
          </cell>
          <cell r="CI55" t="str">
            <v>AR</v>
          </cell>
          <cell r="CJ55" t="str">
            <v>FP</v>
          </cell>
        </row>
        <row r="56">
          <cell r="A56" t="str">
            <v>TRB_MF19_D03_004</v>
          </cell>
          <cell r="B56" t="str">
            <v>Ligne_20_PPD</v>
          </cell>
          <cell r="C56">
            <v>20</v>
          </cell>
          <cell r="E56" t="str">
            <v xml:space="preserve">Les simulations de motricité telles que définies au chapitre 2.5.2 de la SF MotrIcité. 
Avec les caractéristiques cinématiques globales de l’élément : performances, vitesses, accélérations, décélérations. </v>
          </cell>
          <cell r="F56" t="str">
            <v>A1</v>
          </cell>
          <cell r="G56" t="str">
            <v>NOTE DE MOTRICITE ET SIMULATIONS</v>
          </cell>
          <cell r="M56" t="str">
            <v>F-04_MOTRICITE</v>
          </cell>
          <cell r="N56" t="str">
            <v>DJCC</v>
          </cell>
          <cell r="O56" t="str">
            <v>NC_NOTE DE CALCUL</v>
          </cell>
          <cell r="Q56">
            <v>0</v>
          </cell>
          <cell r="R56" t="str">
            <v>TRT</v>
          </cell>
          <cell r="S56" t="str">
            <v>AT</v>
          </cell>
          <cell r="T56" t="str">
            <v>NA</v>
          </cell>
          <cell r="U56" t="str">
            <v>G.BITRIA</v>
          </cell>
          <cell r="V56" t="str">
            <v xml:space="preserve">ALSTOM </v>
          </cell>
          <cell r="W56" t="str">
            <v>N</v>
          </cell>
          <cell r="X56" t="str">
            <v>Document contractuel FD</v>
          </cell>
          <cell r="AA56" t="str">
            <v>E</v>
          </cell>
          <cell r="AB56" t="str">
            <v>Electrique</v>
          </cell>
          <cell r="AC56" t="str">
            <v>SME</v>
          </cell>
          <cell r="AD56" t="str">
            <v>SF EZ.4-40083</v>
          </cell>
          <cell r="AE56" t="str">
            <v>Motricité</v>
          </cell>
          <cell r="AF56" t="str">
            <v>2.5.2</v>
          </cell>
          <cell r="AI56">
            <v>1</v>
          </cell>
          <cell r="AL56" t="str">
            <v>FD</v>
          </cell>
          <cell r="AP56" t="str">
            <v>Maj</v>
          </cell>
          <cell r="BJ56">
            <v>44027</v>
          </cell>
          <cell r="CH56" t="str">
            <v>MF19_BORD_AT_00034</v>
          </cell>
          <cell r="CI56" t="str">
            <v>-</v>
          </cell>
          <cell r="CJ56" t="str">
            <v>FD</v>
          </cell>
        </row>
        <row r="57">
          <cell r="A57" t="str">
            <v>TRB_MF19_D03_003</v>
          </cell>
          <cell r="B57" t="str">
            <v>Ligne_21_PPD</v>
          </cell>
          <cell r="C57">
            <v>21</v>
          </cell>
          <cell r="E57" t="str">
            <v>La courbe    = f(v) de l’accélération maximale du train en fonction de sa vitesse, quels que soient les modes de défaillance, l’état de charge du train et la tension ligne,</v>
          </cell>
          <cell r="F57" t="str">
            <v>A1</v>
          </cell>
          <cell r="G57" t="str">
            <v>NOTE DE MOTRICITE ET PERFORMANCES</v>
          </cell>
          <cell r="M57" t="str">
            <v>F-04_MOTRICITE</v>
          </cell>
          <cell r="N57" t="str">
            <v>DJCC</v>
          </cell>
          <cell r="O57" t="str">
            <v>NC_NOTE DE CALCUL</v>
          </cell>
          <cell r="Q57">
            <v>0</v>
          </cell>
          <cell r="R57" t="str">
            <v>TRT</v>
          </cell>
          <cell r="S57" t="str">
            <v>AT</v>
          </cell>
          <cell r="T57" t="str">
            <v>NA</v>
          </cell>
          <cell r="U57" t="str">
            <v>G.BITRIA</v>
          </cell>
          <cell r="V57" t="str">
            <v xml:space="preserve">ALSTOM </v>
          </cell>
          <cell r="W57" t="str">
            <v>N</v>
          </cell>
          <cell r="X57" t="str">
            <v>Document contractuel FD</v>
          </cell>
          <cell r="AA57" t="str">
            <v>E</v>
          </cell>
          <cell r="AB57" t="str">
            <v>Electrique</v>
          </cell>
          <cell r="AC57" t="str">
            <v>SME</v>
          </cell>
          <cell r="AD57" t="str">
            <v>SF EZ.4-40083</v>
          </cell>
          <cell r="AE57" t="str">
            <v>Motricité</v>
          </cell>
          <cell r="AF57" t="str">
            <v>2.5.3</v>
          </cell>
          <cell r="AI57">
            <v>1</v>
          </cell>
          <cell r="AL57" t="str">
            <v>FD</v>
          </cell>
          <cell r="AP57" t="str">
            <v>Maj</v>
          </cell>
          <cell r="BJ57">
            <v>44027</v>
          </cell>
          <cell r="CH57" t="str">
            <v>MF19_BORD_AT_00034</v>
          </cell>
          <cell r="CI57" t="str">
            <v>-</v>
          </cell>
          <cell r="CJ57" t="str">
            <v>FD</v>
          </cell>
        </row>
        <row r="58">
          <cell r="A58" t="str">
            <v>ADD0003308517</v>
          </cell>
          <cell r="B58" t="str">
            <v>Ligne_22_PPD</v>
          </cell>
          <cell r="C58">
            <v>22</v>
          </cell>
          <cell r="E58" t="str">
            <v>Une note justificative de l’architecture générale (utilisation éventuelle du filtre d’entrée ETF par les auxiliaires, nombre d’équipements, de moteurs...) retenue pour la motricité</v>
          </cell>
          <cell r="F58" t="str">
            <v>A</v>
          </cell>
          <cell r="G58" t="str">
            <v>ARCHITECTURE GENERALE MOTRICITE</v>
          </cell>
          <cell r="I58" t="str">
            <v>D200</v>
          </cell>
          <cell r="J58" t="str">
            <v>AA</v>
          </cell>
          <cell r="K58" t="str">
            <v>D00045</v>
          </cell>
          <cell r="M58" t="str">
            <v>F-04_MOTRICITE</v>
          </cell>
          <cell r="N58" t="str">
            <v>DJCC</v>
          </cell>
          <cell r="O58" t="str">
            <v>SP_SPECIF</v>
          </cell>
          <cell r="Q58">
            <v>0</v>
          </cell>
          <cell r="R58" t="str">
            <v>VPF</v>
          </cell>
          <cell r="S58" t="str">
            <v>AT</v>
          </cell>
          <cell r="T58" t="str">
            <v>NA</v>
          </cell>
          <cell r="U58" t="str">
            <v>F.HOUZE</v>
          </cell>
          <cell r="V58" t="str">
            <v>ALSTOM</v>
          </cell>
          <cell r="W58" t="str">
            <v>N</v>
          </cell>
          <cell r="X58" t="str">
            <v>Document contractuel FD</v>
          </cell>
          <cell r="AA58" t="str">
            <v>E</v>
          </cell>
          <cell r="AB58" t="str">
            <v>Electrique</v>
          </cell>
          <cell r="AC58" t="str">
            <v>SME</v>
          </cell>
          <cell r="AD58" t="str">
            <v>SF EZ.4-40083</v>
          </cell>
          <cell r="AE58" t="str">
            <v>Motricité</v>
          </cell>
          <cell r="AF58" t="str">
            <v>2.5.3</v>
          </cell>
          <cell r="AI58">
            <v>1</v>
          </cell>
          <cell r="AL58" t="str">
            <v>FD</v>
          </cell>
          <cell r="BJ58">
            <v>44022</v>
          </cell>
          <cell r="CH58" t="str">
            <v>MF19_BORD_AT_00025</v>
          </cell>
          <cell r="CI58" t="str">
            <v>R</v>
          </cell>
          <cell r="CJ58" t="str">
            <v>FD</v>
          </cell>
        </row>
        <row r="59">
          <cell r="B59" t="str">
            <v>Ligne_23_PPD</v>
          </cell>
          <cell r="C59">
            <v>23</v>
          </cell>
          <cell r="E59" t="str">
            <v>Un descriptif de la stratégie de gestion de la motricité en présence de modes dégradés (surchauffe moteur, surchauffe onduleur...)</v>
          </cell>
          <cell r="G59" t="str">
            <v>inclus dans DDF Motricite 51.2</v>
          </cell>
          <cell r="R59" t="str">
            <v>NA</v>
          </cell>
          <cell r="S59" t="str">
            <v>AT</v>
          </cell>
          <cell r="T59" t="str">
            <v>NA</v>
          </cell>
          <cell r="U59" t="str">
            <v>J.MALENGE</v>
          </cell>
          <cell r="AA59" t="str">
            <v>E</v>
          </cell>
          <cell r="AB59" t="str">
            <v>Electrique</v>
          </cell>
          <cell r="AC59" t="str">
            <v>SME</v>
          </cell>
          <cell r="AD59" t="str">
            <v>SF EZ.4-40083</v>
          </cell>
          <cell r="AE59" t="str">
            <v>Motricité</v>
          </cell>
          <cell r="AF59" t="str">
            <v>2.5.3</v>
          </cell>
          <cell r="AI59" t="str">
            <v>RENVOI</v>
          </cell>
          <cell r="AL59" t="str">
            <v>FD</v>
          </cell>
          <cell r="CH59" t="e">
            <v>#N/A</v>
          </cell>
          <cell r="CI59" t="e">
            <v>#N/A</v>
          </cell>
          <cell r="CJ59" t="e">
            <v>#N/A</v>
          </cell>
        </row>
        <row r="60">
          <cell r="B60" t="str">
            <v>Ligne_24_PPD</v>
          </cell>
          <cell r="C60">
            <v>24</v>
          </cell>
          <cell r="E60" t="str">
            <v>Un descriptif de la stratégie de limitation de courant pour une tension ligne inférieure à la tension nominale</v>
          </cell>
          <cell r="G60" t="str">
            <v>inclus dans DDF Motricite 51.2</v>
          </cell>
          <cell r="R60" t="str">
            <v>NA</v>
          </cell>
          <cell r="S60" t="str">
            <v>AT</v>
          </cell>
          <cell r="T60" t="str">
            <v>NA</v>
          </cell>
          <cell r="U60" t="str">
            <v>J.MALENGE</v>
          </cell>
          <cell r="AA60" t="str">
            <v>E</v>
          </cell>
          <cell r="AB60" t="str">
            <v>Electrique</v>
          </cell>
          <cell r="AC60" t="str">
            <v>SME</v>
          </cell>
          <cell r="AD60" t="str">
            <v>SF EZ.4-40083</v>
          </cell>
          <cell r="AE60" t="str">
            <v>Motricité</v>
          </cell>
          <cell r="AF60" t="str">
            <v>2.5.3</v>
          </cell>
          <cell r="AI60" t="str">
            <v>RENVOI</v>
          </cell>
          <cell r="AL60" t="str">
            <v>FD</v>
          </cell>
          <cell r="CH60" t="e">
            <v>#N/A</v>
          </cell>
          <cell r="CI60" t="e">
            <v>#N/A</v>
          </cell>
          <cell r="CJ60" t="e">
            <v>#N/A</v>
          </cell>
        </row>
        <row r="61">
          <cell r="B61" t="str">
            <v>Ligne_25_PPD</v>
          </cell>
          <cell r="C61">
            <v>25</v>
          </cell>
          <cell r="E61" t="str">
            <v>Bilan détaillé des consommations d’énergie électrique en mode nominal et en mode dégradé. (REDONDANCE AVEC 44.2)</v>
          </cell>
          <cell r="G61" t="str">
            <v>RENVOI AU 44.2 BILAN ENERGIE ELECTRIQUE</v>
          </cell>
          <cell r="R61" t="str">
            <v>NA</v>
          </cell>
          <cell r="S61" t="str">
            <v>AT</v>
          </cell>
          <cell r="T61" t="str">
            <v>NA</v>
          </cell>
          <cell r="U61" t="str">
            <v>J.MALENGE</v>
          </cell>
          <cell r="AA61" t="str">
            <v>E</v>
          </cell>
          <cell r="AB61" t="str">
            <v>Electrique</v>
          </cell>
          <cell r="AC61" t="str">
            <v>SME</v>
          </cell>
          <cell r="AD61" t="str">
            <v>ST EZ.4-05025</v>
          </cell>
          <cell r="AE61" t="str">
            <v>Transformation, stockage, distribution et gestion de l'énergie électrique</v>
          </cell>
          <cell r="AF61" t="str">
            <v>3.2</v>
          </cell>
          <cell r="AI61" t="str">
            <v>RENVOI</v>
          </cell>
          <cell r="AL61" t="str">
            <v>FD</v>
          </cell>
          <cell r="AP61" t="str">
            <v>Maj</v>
          </cell>
          <cell r="CH61" t="e">
            <v>#N/A</v>
          </cell>
          <cell r="CI61" t="e">
            <v>#N/A</v>
          </cell>
          <cell r="CJ61" t="e">
            <v>#N/A</v>
          </cell>
        </row>
        <row r="62">
          <cell r="B62" t="str">
            <v>Ligne_26_PPD</v>
          </cell>
          <cell r="C62">
            <v>26</v>
          </cell>
          <cell r="E62" t="str">
            <v>Note de calcul démontrant le respect des critères de sobriété énergétique. En cas d'écart significatif entre le modèle de calcul de résistance à l’avancement énoncé au § 2.2.1 et son propre modèle, le fournisseur produira une note justificative</v>
          </cell>
          <cell r="G62" t="str">
            <v>inclus dans doc 21 Courbe FV</v>
          </cell>
          <cell r="R62" t="str">
            <v>NA</v>
          </cell>
          <cell r="S62" t="str">
            <v>AT</v>
          </cell>
          <cell r="T62" t="str">
            <v>NA</v>
          </cell>
          <cell r="U62" t="str">
            <v>J.MALENGE</v>
          </cell>
          <cell r="AA62" t="str">
            <v>E</v>
          </cell>
          <cell r="AB62" t="str">
            <v>Electrique</v>
          </cell>
          <cell r="AC62" t="str">
            <v>SME</v>
          </cell>
          <cell r="AD62" t="str">
            <v>SF EZ.4-40083</v>
          </cell>
          <cell r="AE62" t="str">
            <v>Motricité</v>
          </cell>
          <cell r="AF62" t="str">
            <v>2.5.1</v>
          </cell>
          <cell r="AI62" t="str">
            <v>RENVOI</v>
          </cell>
          <cell r="AL62" t="str">
            <v>FD</v>
          </cell>
          <cell r="CH62" t="e">
            <v>#N/A</v>
          </cell>
          <cell r="CI62" t="e">
            <v>#N/A</v>
          </cell>
          <cell r="CJ62" t="e">
            <v>#N/A</v>
          </cell>
        </row>
        <row r="63">
          <cell r="B63" t="str">
            <v>Ligne_27_PPD</v>
          </cell>
          <cell r="C63">
            <v>27</v>
          </cell>
          <cell r="E63" t="str">
            <v>Note de calcul relative à la production d’énergie électrique MT et BT pour satisfaire aux besoins du train  (REDONDANCE AVEC 44.2)</v>
          </cell>
          <cell r="G63" t="str">
            <v>RENVOI AU 44.2 BILAN ENERGIE ELECTRIQUE</v>
          </cell>
          <cell r="R63" t="str">
            <v>NA</v>
          </cell>
          <cell r="S63" t="str">
            <v>AT</v>
          </cell>
          <cell r="T63" t="str">
            <v>NA</v>
          </cell>
          <cell r="U63" t="str">
            <v>J.MALENGE</v>
          </cell>
          <cell r="AA63" t="str">
            <v>E</v>
          </cell>
          <cell r="AB63" t="str">
            <v>Electrique</v>
          </cell>
          <cell r="AC63" t="str">
            <v>SME</v>
          </cell>
          <cell r="AD63" t="str">
            <v>ST EZ.4-05025</v>
          </cell>
          <cell r="AE63" t="str">
            <v>Transformation, stockage, distribution et gestion de l'énergie électrique</v>
          </cell>
          <cell r="AF63" t="str">
            <v>3.2</v>
          </cell>
          <cell r="AI63" t="str">
            <v>RENVOI</v>
          </cell>
          <cell r="AL63" t="str">
            <v>FD</v>
          </cell>
          <cell r="AP63" t="str">
            <v>Maj</v>
          </cell>
          <cell r="CG63" t="str">
            <v>30/09/2020 : Retiré le "barré" de la FD de JS1 pour pouvoir importer dans la base arbo</v>
          </cell>
          <cell r="CH63" t="e">
            <v>#N/A</v>
          </cell>
          <cell r="CI63" t="e">
            <v>#N/A</v>
          </cell>
          <cell r="CJ63" t="e">
            <v>#N/A</v>
          </cell>
        </row>
        <row r="64">
          <cell r="A64" t="str">
            <v>ADD0003308495</v>
          </cell>
          <cell r="B64" t="str">
            <v>Ligne_28_PPD</v>
          </cell>
          <cell r="C64">
            <v>28</v>
          </cell>
          <cell r="E64" t="str">
            <v>Note justificative des choix technologiques et architecturaux relatifs à aux équipements participant à la fourniture de l’énergie électrique, la transformation, au stockage, à la distribution et à la gestion de l’énergie en mode nominal et en mode dégradé (perte de producteurs, de réseaux d’énergie ...).</v>
          </cell>
          <cell r="F64" t="str">
            <v>B</v>
          </cell>
          <cell r="G64" t="str">
            <v>ARCHITECTURE ELECTRIQUE</v>
          </cell>
          <cell r="I64" t="str">
            <v>D300 - Preliminary Design</v>
          </cell>
          <cell r="J64" t="str">
            <v>FB - Power supply</v>
          </cell>
          <cell r="K64" t="str">
            <v>D00045  -  Function description</v>
          </cell>
          <cell r="M64" t="str">
            <v>700_ELECTRICITE_INFORMATIQUE</v>
          </cell>
          <cell r="N64" t="str">
            <v>DJCC</v>
          </cell>
          <cell r="O64" t="str">
            <v>SP_SPECIF</v>
          </cell>
          <cell r="Q64">
            <v>0</v>
          </cell>
          <cell r="R64" t="str">
            <v>VPF</v>
          </cell>
          <cell r="S64" t="str">
            <v>AT</v>
          </cell>
          <cell r="T64" t="str">
            <v>BT</v>
          </cell>
          <cell r="U64" t="str">
            <v>T.LEROY</v>
          </cell>
          <cell r="V64" t="str">
            <v xml:space="preserve">ALSTOM </v>
          </cell>
          <cell r="W64" t="str">
            <v>N</v>
          </cell>
          <cell r="X64" t="str">
            <v>Document contractuel FD</v>
          </cell>
          <cell r="AA64" t="str">
            <v>E</v>
          </cell>
          <cell r="AB64" t="str">
            <v>Electrique</v>
          </cell>
          <cell r="AC64" t="str">
            <v>SME</v>
          </cell>
          <cell r="AD64" t="str">
            <v>ST EZ.4-05025</v>
          </cell>
          <cell r="AE64" t="str">
            <v>Transformation, stockage, distribution et gestion de l'énergie électrique</v>
          </cell>
          <cell r="AF64" t="str">
            <v>3.2</v>
          </cell>
          <cell r="AI64">
            <v>1</v>
          </cell>
          <cell r="AL64" t="str">
            <v>FD</v>
          </cell>
          <cell r="BJ64">
            <v>44008</v>
          </cell>
          <cell r="CH64" t="str">
            <v>MF19_BORD_AT_00032</v>
          </cell>
          <cell r="CI64" t="str">
            <v>-</v>
          </cell>
          <cell r="CJ64" t="str">
            <v>FD</v>
          </cell>
        </row>
        <row r="65">
          <cell r="A65" t="str">
            <v>DTR0100052775</v>
          </cell>
          <cell r="B65" t="str">
            <v>Ligne_29_PPD</v>
          </cell>
          <cell r="C65">
            <v>29</v>
          </cell>
          <cell r="E65" t="str">
            <v>Note de calcul et simulations explicitant et justifiant le dimensionnement des convertisseurs.</v>
          </cell>
          <cell r="F65" t="str">
            <v>B</v>
          </cell>
          <cell r="G65" t="str">
            <v>RAPPORT DE DIMENSIONNEMENT CVS MF19</v>
          </cell>
          <cell r="M65" t="str">
            <v>330_COFFRE CVS</v>
          </cell>
          <cell r="N65" t="str">
            <v>DJD</v>
          </cell>
          <cell r="O65" t="str">
            <v>NC_NOTE DE CALCUL</v>
          </cell>
          <cell r="Q65">
            <v>0</v>
          </cell>
          <cell r="R65" t="str">
            <v>CHA</v>
          </cell>
          <cell r="S65" t="str">
            <v>AT</v>
          </cell>
          <cell r="T65" t="str">
            <v>EX</v>
          </cell>
          <cell r="U65" t="str">
            <v>A.MORETTI</v>
          </cell>
          <cell r="V65" t="str">
            <v xml:space="preserve">ALSTOM </v>
          </cell>
          <cell r="W65" t="str">
            <v>N</v>
          </cell>
          <cell r="X65" t="str">
            <v>Document contractuel FD</v>
          </cell>
          <cell r="AA65" t="str">
            <v>E</v>
          </cell>
          <cell r="AB65" t="str">
            <v>Electrique</v>
          </cell>
          <cell r="AC65" t="str">
            <v>SME</v>
          </cell>
          <cell r="AD65" t="str">
            <v>ST EZ.4-05025</v>
          </cell>
          <cell r="AE65" t="str">
            <v>Transformation, stockage, distribution et gestion de l'énergie électrique</v>
          </cell>
          <cell r="AF65" t="str">
            <v>3.2</v>
          </cell>
          <cell r="AI65">
            <v>1</v>
          </cell>
          <cell r="AL65" t="str">
            <v>FD</v>
          </cell>
          <cell r="BJ65">
            <v>44029</v>
          </cell>
          <cell r="CH65" t="str">
            <v>MF19_BORD_AT_00038</v>
          </cell>
          <cell r="CI65" t="str">
            <v>-</v>
          </cell>
          <cell r="CJ65" t="str">
            <v>FD</v>
          </cell>
        </row>
        <row r="66">
          <cell r="B66" t="str">
            <v>Ligne_30_PPD</v>
          </cell>
          <cell r="C66">
            <v>30</v>
          </cell>
          <cell r="E66" t="str">
            <v>Pour les moteurs auxiliaires :
• la justification du choix des machines (moteur retenu + produit de remplacement),
• l'étude définissant le niveau de bruit compatible avec le niveau de bruit global du matériel,
• le schéma équivalent à la machine et ses principales caractéristiques selon modèle de fiche moteur joint en annexe de cette spécification,
• les essais de type et de série nécessaires pour vérifier les performances définies dans la spécification technique,
• les essais sur le train et en service d'exploitation,</v>
          </cell>
          <cell r="G66" t="str">
            <v>LIVRABLE</v>
          </cell>
          <cell r="R66" t="str">
            <v>NA</v>
          </cell>
          <cell r="S66" t="str">
            <v>ABT</v>
          </cell>
          <cell r="T66" t="str">
            <v>NA</v>
          </cell>
          <cell r="U66" t="str">
            <v>NA</v>
          </cell>
          <cell r="Z66" t="str">
            <v>RTS 186 JS2 SME 01/09/2020</v>
          </cell>
          <cell r="AA66" t="str">
            <v>E</v>
          </cell>
          <cell r="AB66" t="str">
            <v>Electrique</v>
          </cell>
          <cell r="AC66" t="str">
            <v>SME</v>
          </cell>
          <cell r="AD66" t="str">
            <v xml:space="preserve">ST EZ.4-05017 </v>
          </cell>
          <cell r="AE66" t="str">
            <v>Moteurs de traction et machines tournantes auxiliaires</v>
          </cell>
          <cell r="AF66" t="str">
            <v>6.1.1</v>
          </cell>
          <cell r="AI66" t="str">
            <v>LIVRABLE</v>
          </cell>
          <cell r="AM66" t="str">
            <v>FP</v>
          </cell>
          <cell r="AO66" t="str">
            <v>FD</v>
          </cell>
          <cell r="CH66" t="e">
            <v>#N/A</v>
          </cell>
          <cell r="CI66" t="e">
            <v>#N/A</v>
          </cell>
          <cell r="CJ66" t="e">
            <v>#N/A</v>
          </cell>
        </row>
        <row r="67">
          <cell r="B67" t="str">
            <v>Ligne_30.1_PPD</v>
          </cell>
          <cell r="C67" t="str">
            <v>30.1</v>
          </cell>
          <cell r="E67" t="str">
            <v>Pour les moteurs auxiliaires :
• la justification du choix des machines (moteur retenu + produit de remplacement),
• l'étude définissant le niveau de bruit compatible avec le niveau de bruit global du matériel,
• le schéma équivalent à la machine et ses principales caractéristiques selon modèle de fiche moteur joint en annexe de cette spécification,
• les essais de type et de série nécessaires pour vérifier les performances définies dans la spécification technique,
• les essais sur le train et en service d'exploitation,</v>
          </cell>
          <cell r="G67" t="str">
            <v>MOTEUR PORTE</v>
          </cell>
          <cell r="R67" t="str">
            <v>VPF</v>
          </cell>
          <cell r="S67" t="str">
            <v>AT</v>
          </cell>
          <cell r="T67" t="str">
            <v>NA</v>
          </cell>
          <cell r="U67" t="str">
            <v>H.FIEVET</v>
          </cell>
          <cell r="Z67" t="str">
            <v>RTS 186 JS2 SME 01/09/2020</v>
          </cell>
          <cell r="AA67" t="str">
            <v>E</v>
          </cell>
          <cell r="AB67" t="str">
            <v>Electrique</v>
          </cell>
          <cell r="AC67" t="str">
            <v>SME</v>
          </cell>
          <cell r="AD67" t="str">
            <v xml:space="preserve">ST EZ.4-05017 </v>
          </cell>
          <cell r="AE67" t="str">
            <v>Moteurs de traction et machines tournantes auxiliaires</v>
          </cell>
          <cell r="AF67" t="str">
            <v>6.1.1</v>
          </cell>
          <cell r="AI67">
            <v>1</v>
          </cell>
          <cell r="AM67" t="str">
            <v>FP</v>
          </cell>
          <cell r="AO67" t="str">
            <v>FD</v>
          </cell>
          <cell r="CH67" t="e">
            <v>#N/A</v>
          </cell>
          <cell r="CI67" t="e">
            <v>#N/A</v>
          </cell>
          <cell r="CJ67" t="e">
            <v>#N/A</v>
          </cell>
        </row>
        <row r="68">
          <cell r="B68" t="str">
            <v>Ligne_30.2_PPD</v>
          </cell>
          <cell r="C68" t="str">
            <v>30.2</v>
          </cell>
          <cell r="E68" t="str">
            <v>Pour les moteurs auxiliaires :
• la justification du choix des machines (moteur retenu + produit de remplacement),
• l'étude définissant le niveau de bruit compatible avec le niveau de bruit global du matériel,
• le schéma équivalent à la machine et ses principales caractéristiques selon modèle de fiche moteur joint en annexe de cette spécification,
• les essais de type et de série nécessaires pour vérifier les performances définies dans la spécification technique,
• les essais sur le train et en service d'exploitation,</v>
          </cell>
          <cell r="G68" t="str">
            <v>MOTEUR HVAC CABINE</v>
          </cell>
          <cell r="R68" t="str">
            <v>BT</v>
          </cell>
          <cell r="S68" t="str">
            <v>BT</v>
          </cell>
          <cell r="U68" t="str">
            <v>François Raymond</v>
          </cell>
          <cell r="Z68" t="str">
            <v>RTS 186 JS2 SME 01/09/2020</v>
          </cell>
          <cell r="AA68" t="str">
            <v>E</v>
          </cell>
          <cell r="AB68" t="str">
            <v>Electrique</v>
          </cell>
          <cell r="AC68" t="str">
            <v>SME</v>
          </cell>
          <cell r="AD68" t="str">
            <v xml:space="preserve">ST EZ.4-05017 </v>
          </cell>
          <cell r="AE68" t="str">
            <v>Moteurs de traction et machines tournantes auxiliaires</v>
          </cell>
          <cell r="AF68" t="str">
            <v>6.1.1</v>
          </cell>
          <cell r="AI68">
            <v>1</v>
          </cell>
          <cell r="AM68" t="str">
            <v>FP</v>
          </cell>
          <cell r="AO68" t="str">
            <v>FP</v>
          </cell>
          <cell r="AP68" t="str">
            <v>FD</v>
          </cell>
          <cell r="BK68">
            <v>44162</v>
          </cell>
          <cell r="CH68" t="e">
            <v>#N/A</v>
          </cell>
          <cell r="CI68" t="e">
            <v>#N/A</v>
          </cell>
          <cell r="CJ68" t="e">
            <v>#N/A</v>
          </cell>
        </row>
        <row r="69">
          <cell r="B69" t="str">
            <v>Ligne_30.3_PPD</v>
          </cell>
          <cell r="C69" t="str">
            <v>30.3</v>
          </cell>
          <cell r="E69" t="str">
            <v>Pour les moteurs auxiliaires :
• la justification du choix des machines (moteur retenu + produit de remplacement),
• l'étude définissant le niveau de bruit compatible avec le niveau de bruit global du matériel,
• le schéma équivalent à la machine et ses principales caractéristiques selon modèle de fiche moteur joint en annexe de cette spécification,
• les essais de type et de série nécessaires pour vérifier les performances définies dans la spécification technique,
• les essais sur le train et en service d'exploitation,</v>
          </cell>
          <cell r="G69" t="str">
            <v>MOTEUR HVAC SALOON</v>
          </cell>
          <cell r="R69" t="str">
            <v>BT</v>
          </cell>
          <cell r="S69" t="str">
            <v>BT</v>
          </cell>
          <cell r="U69" t="str">
            <v>Boualem Aouchiche</v>
          </cell>
          <cell r="Z69" t="str">
            <v>RTS 186 JS2 SME 01/09/2020</v>
          </cell>
          <cell r="AA69" t="str">
            <v>E</v>
          </cell>
          <cell r="AB69" t="str">
            <v>Electrique</v>
          </cell>
          <cell r="AC69" t="str">
            <v>SME</v>
          </cell>
          <cell r="AD69" t="str">
            <v xml:space="preserve">ST EZ.4-05017 </v>
          </cell>
          <cell r="AE69" t="str">
            <v>Moteurs de traction et machines tournantes auxiliaires</v>
          </cell>
          <cell r="AF69" t="str">
            <v>6.1.1</v>
          </cell>
          <cell r="AI69">
            <v>1</v>
          </cell>
          <cell r="AM69" t="str">
            <v>FP</v>
          </cell>
          <cell r="AO69" t="str">
            <v>FP</v>
          </cell>
          <cell r="AP69" t="str">
            <v>FD</v>
          </cell>
          <cell r="BK69">
            <v>44162</v>
          </cell>
          <cell r="CH69" t="e">
            <v>#N/A</v>
          </cell>
          <cell r="CI69" t="e">
            <v>#N/A</v>
          </cell>
          <cell r="CJ69" t="e">
            <v>#N/A</v>
          </cell>
        </row>
        <row r="70">
          <cell r="B70" t="str">
            <v>Ligne_30.4_PPD</v>
          </cell>
          <cell r="C70" t="str">
            <v>30.4</v>
          </cell>
          <cell r="E70" t="str">
            <v>Pour les moteurs auxiliaires :
• la justification du choix des machines (moteur retenu + produit de remplacement),
• l'étude définissant le niveau de bruit compatible avec le niveau de bruit global du matériel,
• le schéma équivalent à la machine et ses principales caractéristiques selon modèle de fiche moteur joint en annexe de cette spécification,
• les essais de type et de série nécessaires pour vérifier les performances définies dans la spécification technique,
• les essais sur le train et en service d'exploitation,</v>
          </cell>
          <cell r="G70" t="str">
            <v>MOTEUR COMPRESSEUR</v>
          </cell>
          <cell r="R70" t="str">
            <v>VPF</v>
          </cell>
          <cell r="S70" t="str">
            <v>AT</v>
          </cell>
          <cell r="T70" t="str">
            <v>NA</v>
          </cell>
          <cell r="U70" t="str">
            <v>D.SIMON</v>
          </cell>
          <cell r="Z70" t="str">
            <v>RTS 186 JS2 SME 01/09/2020</v>
          </cell>
          <cell r="AA70" t="str">
            <v>E</v>
          </cell>
          <cell r="AB70" t="str">
            <v>Electrique</v>
          </cell>
          <cell r="AC70" t="str">
            <v>SME</v>
          </cell>
          <cell r="AD70" t="str">
            <v xml:space="preserve">ST EZ.4-05017 </v>
          </cell>
          <cell r="AE70" t="str">
            <v>Moteurs de traction et machines tournantes auxiliaires</v>
          </cell>
          <cell r="AF70" t="str">
            <v>6.1.1</v>
          </cell>
          <cell r="AI70">
            <v>1</v>
          </cell>
          <cell r="AM70" t="str">
            <v>FP</v>
          </cell>
          <cell r="AO70" t="str">
            <v>FD</v>
          </cell>
          <cell r="CH70" t="e">
            <v>#N/A</v>
          </cell>
          <cell r="CI70" t="e">
            <v>#N/A</v>
          </cell>
          <cell r="CJ70" t="e">
            <v>#N/A</v>
          </cell>
        </row>
        <row r="71">
          <cell r="B71" t="str">
            <v>Ligne_30.5_PPD</v>
          </cell>
          <cell r="C71" t="str">
            <v>30.5</v>
          </cell>
          <cell r="E71" t="str">
            <v>Pour les moteurs auxiliaires :
• la justification du choix des machines (moteur retenu + produit de remplacement),
• l'étude définissant le niveau de bruit compatible avec le niveau de bruit global du matériel,
• le schéma équivalent à la machine et ses principales caractéristiques selon modèle de fiche moteur joint en annexe de cette spécification,
• les essais de type et de série nécessaires pour vérifier les performances définies dans la spécification technique,
• les essais sur le train et en service d'exploitation,</v>
          </cell>
          <cell r="G71" t="str">
            <v>MOTEUR ESSUI VITRE</v>
          </cell>
          <cell r="R71" t="str">
            <v>BT</v>
          </cell>
          <cell r="S71" t="str">
            <v>BT</v>
          </cell>
          <cell r="U71" t="str">
            <v>Frédéric Fanouillet</v>
          </cell>
          <cell r="Z71" t="str">
            <v>RTS 186 JS2 SME 01/09/2020</v>
          </cell>
          <cell r="AA71" t="str">
            <v>E</v>
          </cell>
          <cell r="AB71" t="str">
            <v>Electrique</v>
          </cell>
          <cell r="AC71" t="str">
            <v>SME</v>
          </cell>
          <cell r="AD71" t="str">
            <v xml:space="preserve">ST EZ.4-05017 </v>
          </cell>
          <cell r="AE71" t="str">
            <v>Moteurs de traction et machines tournantes auxiliaires</v>
          </cell>
          <cell r="AF71" t="str">
            <v>6.1.1</v>
          </cell>
          <cell r="AI71">
            <v>1</v>
          </cell>
          <cell r="AM71" t="str">
            <v>FP</v>
          </cell>
          <cell r="AO71" t="str">
            <v>FP</v>
          </cell>
          <cell r="AP71" t="str">
            <v>FD</v>
          </cell>
          <cell r="BK71">
            <v>44162</v>
          </cell>
          <cell r="CH71" t="e">
            <v>#N/A</v>
          </cell>
          <cell r="CI71" t="e">
            <v>#N/A</v>
          </cell>
          <cell r="CJ71" t="e">
            <v>#N/A</v>
          </cell>
        </row>
        <row r="72">
          <cell r="B72" t="str">
            <v>Ligne_31_PPD</v>
          </cell>
          <cell r="C72">
            <v>31</v>
          </cell>
          <cell r="E72" t="str">
            <v>Pour les moteurs de traction :
- la fiche de calcul  selons les modèles définis en annexe de la ST-MRF EZ 4-05017
- les courbes en fonction de la vitesse de la machine définissant son fonctionnement et son utilisation en traction et en freinage avec au minimum les paramètres suivants : tension, courant, rendement, couple, flux
- les esquisses des coupes principales
- le modèle thermique des moteurs
- l'étude de bruit sonore définissant les niveaux maxima compatibles avec le niveau de bruit global du matériel
- une évaluation schématique ou les résultats d'une simulation des services prévus</v>
          </cell>
          <cell r="G72" t="str">
            <v>LIVRABLE</v>
          </cell>
          <cell r="R72" t="str">
            <v>NA</v>
          </cell>
          <cell r="S72" t="str">
            <v>AT</v>
          </cell>
          <cell r="T72" t="str">
            <v>NA</v>
          </cell>
          <cell r="U72" t="str">
            <v>NA</v>
          </cell>
          <cell r="Z72" t="str">
            <v>RTS 186 JS2 SME 01/09/2020</v>
          </cell>
          <cell r="AA72" t="str">
            <v>E</v>
          </cell>
          <cell r="AB72" t="str">
            <v>Electrique</v>
          </cell>
          <cell r="AC72" t="str">
            <v>SME</v>
          </cell>
          <cell r="AD72" t="str">
            <v xml:space="preserve">ST EZ.4-05017 </v>
          </cell>
          <cell r="AE72" t="str">
            <v>Moteurs de traction et machines tournantes auxiliaires</v>
          </cell>
          <cell r="AF72" t="str">
            <v>6.1.2</v>
          </cell>
          <cell r="AI72" t="str">
            <v>LIVRABLE</v>
          </cell>
          <cell r="AL72" t="str">
            <v>FP</v>
          </cell>
          <cell r="AN72" t="str">
            <v>FD</v>
          </cell>
          <cell r="CH72" t="e">
            <v>#N/A</v>
          </cell>
          <cell r="CI72" t="e">
            <v>#N/A</v>
          </cell>
          <cell r="CJ72" t="e">
            <v>#N/A</v>
          </cell>
        </row>
        <row r="73">
          <cell r="A73" t="str">
            <v>TROS947392</v>
          </cell>
          <cell r="B73" t="str">
            <v>Ligne_31.1_PPD</v>
          </cell>
          <cell r="C73" t="str">
            <v>31.1</v>
          </cell>
          <cell r="E73" t="str">
            <v>Pour les moteurs de traction :
- la fiche de calcul  selons les modèles définis en annexe de la ST-MRF EZ 4-05017
- les courbes en fonction de la vitesse de la machine définissant son fonctionnement et son utilisation en traction et en freinage avec au minimum les paramètres suivants : tension, courant, rendement, couple, flux
- les esquisses des coupes principales
- le modèle thermique des moteurs
- l'étude de bruit sonore définissant les niveaux maxima compatibles avec le niveau de bruit global du matériel
- une évaluation schématique ou les résultats d'une simulation des services prévus</v>
          </cell>
          <cell r="F73" t="str">
            <v>B</v>
          </cell>
          <cell r="G73" t="str">
            <v>FEUILLE DE CALCUL MOTEUR</v>
          </cell>
          <cell r="M73" t="str">
            <v>F-04_MOTRICITE</v>
          </cell>
          <cell r="N73" t="str">
            <v>DJD</v>
          </cell>
          <cell r="O73" t="str">
            <v>NC_NOTE DE CALCUL</v>
          </cell>
          <cell r="Q73">
            <v>0</v>
          </cell>
          <cell r="R73" t="str">
            <v>ORN</v>
          </cell>
          <cell r="S73" t="str">
            <v>AT</v>
          </cell>
          <cell r="T73" t="str">
            <v>EX</v>
          </cell>
          <cell r="U73" t="str">
            <v>M.SOUGH</v>
          </cell>
          <cell r="V73" t="str">
            <v xml:space="preserve">ALSTOM </v>
          </cell>
          <cell r="W73" t="str">
            <v>N</v>
          </cell>
          <cell r="X73" t="str">
            <v>Document contractuel FD</v>
          </cell>
          <cell r="Z73" t="str">
            <v>RTS 186 JS2 SME 01/09/2020</v>
          </cell>
          <cell r="AA73" t="str">
            <v>E</v>
          </cell>
          <cell r="AB73" t="str">
            <v>Electrique</v>
          </cell>
          <cell r="AC73" t="str">
            <v>SME</v>
          </cell>
          <cell r="AD73" t="str">
            <v xml:space="preserve">ST EZ.4-05017 </v>
          </cell>
          <cell r="AE73" t="str">
            <v>Moteurs de traction et machines tournantes auxiliaires</v>
          </cell>
          <cell r="AF73" t="str">
            <v>6.1.2</v>
          </cell>
          <cell r="AI73">
            <v>1</v>
          </cell>
          <cell r="AL73" t="str">
            <v>FP</v>
          </cell>
          <cell r="AN73" t="str">
            <v>FD</v>
          </cell>
          <cell r="BJ73">
            <v>44010</v>
          </cell>
          <cell r="CH73" t="str">
            <v>MF19_BORD_AT_00033</v>
          </cell>
          <cell r="CI73" t="str">
            <v>-</v>
          </cell>
          <cell r="CJ73" t="str">
            <v>FD</v>
          </cell>
        </row>
        <row r="74">
          <cell r="A74" t="str">
            <v>TROS962.153</v>
          </cell>
          <cell r="B74" t="str">
            <v>Ligne_31.2_PPD</v>
          </cell>
          <cell r="C74" t="str">
            <v>31.2</v>
          </cell>
          <cell r="E74" t="str">
            <v>Pour les moteurs de traction :
- la fiche de calcul  selons les modèles définis en annexe de la ST-MRF EZ 4-05017
- les courbes en fonction de la vitesse de la machine définissant son fonctionnement et son utilisation en traction et en freinage avec au minimum les paramètres suivants : tension, courant, rendement, couple, flux
- les esquisses des coupes principales
- le modèle thermique des moteurs
- l'étude de bruit sonore définissant les niveaux maxima compatibles avec le niveau de bruit global du matériel
- une évaluation schématique ou les résultats d'une simulation des services prévus
- l'ensemble des caractéristiques projetées au sens de la publication CEI 349 (pour un moteur asynchrone, le schéma équivalent établi selon la méthode des fuites partielles et faisant apparaître le rapport de transformation)
- une note descriptive de la technologie d'isolation utilisée
- les courbes décrivant la magnétisation de la machine 
- la courbe inductance magnétisante Lm = f (E/F).</v>
          </cell>
          <cell r="F74" t="str">
            <v>B</v>
          </cell>
          <cell r="G74" t="str">
            <v>SPECIFICATION DE DEFINITION TECHNIQUE MOTEUR TRACTION</v>
          </cell>
          <cell r="M74" t="str">
            <v>F-04_MOTRICITE</v>
          </cell>
          <cell r="N74" t="str">
            <v>DS</v>
          </cell>
          <cell r="O74" t="str">
            <v>SP_SPECIF</v>
          </cell>
          <cell r="Q74">
            <v>0</v>
          </cell>
          <cell r="R74" t="str">
            <v>ORN</v>
          </cell>
          <cell r="S74" t="str">
            <v>AT</v>
          </cell>
          <cell r="T74" t="str">
            <v>EX</v>
          </cell>
          <cell r="U74" t="str">
            <v>M.SOUGH</v>
          </cell>
          <cell r="V74" t="str">
            <v xml:space="preserve">ALSTOM </v>
          </cell>
          <cell r="W74" t="str">
            <v>N</v>
          </cell>
          <cell r="X74" t="str">
            <v>Document contractuel FP</v>
          </cell>
          <cell r="Z74" t="str">
            <v>RTS 186 JS2 SME 01/09/2020</v>
          </cell>
          <cell r="AA74" t="str">
            <v>E</v>
          </cell>
          <cell r="AB74" t="str">
            <v>Electrique</v>
          </cell>
          <cell r="AC74" t="str">
            <v>SME</v>
          </cell>
          <cell r="AD74" t="str">
            <v xml:space="preserve">ST EZ.4-05017 </v>
          </cell>
          <cell r="AE74" t="str">
            <v>Moteurs de traction et machines tournantes auxiliaires</v>
          </cell>
          <cell r="AF74" t="str">
            <v>6.1.2</v>
          </cell>
          <cell r="AI74">
            <v>1</v>
          </cell>
          <cell r="AL74" t="str">
            <v>FP</v>
          </cell>
          <cell r="AN74" t="str">
            <v>FD</v>
          </cell>
          <cell r="BJ74">
            <v>44010</v>
          </cell>
          <cell r="CH74" t="str">
            <v>MF19_BORD_AT_00033</v>
          </cell>
          <cell r="CI74" t="str">
            <v>-</v>
          </cell>
          <cell r="CJ74" t="str">
            <v>FP</v>
          </cell>
        </row>
        <row r="75">
          <cell r="A75" t="str">
            <v>TROS960.145</v>
          </cell>
          <cell r="B75" t="str">
            <v>Ligne_31.3_PPD</v>
          </cell>
          <cell r="C75" t="str">
            <v>31.3</v>
          </cell>
          <cell r="E75" t="str">
            <v>Pour les moteurs de traction :
- la fiche de calcul  selons les modèles définis en annexe de la ST-MRF EZ 4-05017
- les courbes en fonction de la vitesse de la machine définissant son fonctionnement et son utilisation en traction et en freinage avec au minimum les paramètres suivants : tension, courant, rendement, couple, flux
- les esquisses des coupes principales
- le modèle thermique des moteurs
- l'étude de bruit sonore définissant les niveaux maxima compatibles avec le niveau de bruit global du matériel
- une évaluation schématique ou les résultats d'une simulation des services prévus</v>
          </cell>
          <cell r="F75" t="str">
            <v>B</v>
          </cell>
          <cell r="G75" t="str">
            <v>DOSSIER JUSTIFICATIF DE LA DEFINITION THERMIQUE -DJDT</v>
          </cell>
          <cell r="M75" t="str">
            <v>F-04_MOTRICITE</v>
          </cell>
          <cell r="N75" t="str">
            <v>DJD</v>
          </cell>
          <cell r="O75" t="str">
            <v>SP_SPECIF</v>
          </cell>
          <cell r="Q75">
            <v>0</v>
          </cell>
          <cell r="R75" t="str">
            <v>ORN</v>
          </cell>
          <cell r="S75" t="str">
            <v>AT</v>
          </cell>
          <cell r="T75" t="str">
            <v>EX</v>
          </cell>
          <cell r="U75" t="str">
            <v>M.SOUGH</v>
          </cell>
          <cell r="V75" t="str">
            <v xml:space="preserve">ALSTOM </v>
          </cell>
          <cell r="W75" t="str">
            <v>N</v>
          </cell>
          <cell r="X75" t="str">
            <v>Document contractuel FD</v>
          </cell>
          <cell r="Z75" t="str">
            <v>RTS 186 JS2 SME 01/09/2020</v>
          </cell>
          <cell r="AA75" t="str">
            <v>E</v>
          </cell>
          <cell r="AB75" t="str">
            <v>Electrique</v>
          </cell>
          <cell r="AC75" t="str">
            <v>SME</v>
          </cell>
          <cell r="AD75" t="str">
            <v xml:space="preserve">ST EZ.4-05017 </v>
          </cell>
          <cell r="AE75" t="str">
            <v>Moteurs de traction et machines tournantes auxiliaires</v>
          </cell>
          <cell r="AF75" t="str">
            <v>6.1.2</v>
          </cell>
          <cell r="AI75">
            <v>1</v>
          </cell>
          <cell r="AL75" t="str">
            <v>FP</v>
          </cell>
          <cell r="AN75" t="str">
            <v>FD</v>
          </cell>
          <cell r="BJ75">
            <v>44010</v>
          </cell>
          <cell r="CH75" t="str">
            <v>MF19_BORD_AT_00033</v>
          </cell>
          <cell r="CI75" t="str">
            <v>-</v>
          </cell>
          <cell r="CJ75" t="str">
            <v>FD</v>
          </cell>
        </row>
        <row r="76">
          <cell r="A76" t="str">
            <v>TROS910.308</v>
          </cell>
          <cell r="B76" t="str">
            <v>Ligne_32_PPD</v>
          </cell>
          <cell r="C76">
            <v>32</v>
          </cell>
          <cell r="E76" t="str">
            <v>La note de calcul pour acceptation de la RATP, justifiant le choix de sa solution et le dimensionnement de la pivoterie des Paliers</v>
          </cell>
          <cell r="F76" t="str">
            <v>B</v>
          </cell>
          <cell r="G76" t="str">
            <v>CALCUL DE ROULEMENT DU MOTEUR DE TRACTION</v>
          </cell>
          <cell r="M76" t="str">
            <v>F-04_MOTRICITE</v>
          </cell>
          <cell r="N76" t="str">
            <v>DJD</v>
          </cell>
          <cell r="O76" t="str">
            <v>NC_NOTE DE CALCUL</v>
          </cell>
          <cell r="Q76">
            <v>0</v>
          </cell>
          <cell r="R76" t="str">
            <v>ORN</v>
          </cell>
          <cell r="S76" t="str">
            <v>AT</v>
          </cell>
          <cell r="T76" t="str">
            <v>EX</v>
          </cell>
          <cell r="U76" t="str">
            <v>M.SOUGH</v>
          </cell>
          <cell r="V76" t="str">
            <v xml:space="preserve">ALSTOM </v>
          </cell>
          <cell r="W76" t="str">
            <v>N</v>
          </cell>
          <cell r="X76" t="str">
            <v>Document contractuel FP</v>
          </cell>
          <cell r="Z76" t="str">
            <v>RTS 186 JS2 SME 01/09/2020</v>
          </cell>
          <cell r="AA76" t="str">
            <v>E</v>
          </cell>
          <cell r="AB76" t="str">
            <v>Electrique</v>
          </cell>
          <cell r="AC76" t="str">
            <v>SME</v>
          </cell>
          <cell r="AD76" t="str">
            <v xml:space="preserve">ST EZ.4-05017 </v>
          </cell>
          <cell r="AE76" t="str">
            <v>Moteurs de traction et machines tournantes auxiliaires</v>
          </cell>
          <cell r="AF76" t="str">
            <v>5.6.2</v>
          </cell>
          <cell r="AI76">
            <v>1</v>
          </cell>
          <cell r="AL76" t="str">
            <v>FP</v>
          </cell>
          <cell r="AN76" t="str">
            <v>FD</v>
          </cell>
          <cell r="BJ76">
            <v>44010</v>
          </cell>
          <cell r="CH76" t="str">
            <v>MF19_BORD_AT_00033</v>
          </cell>
          <cell r="CI76" t="str">
            <v>-</v>
          </cell>
          <cell r="CJ76" t="str">
            <v>FP</v>
          </cell>
        </row>
        <row r="77">
          <cell r="B77" t="str">
            <v>Ligne_33_PPD</v>
          </cell>
          <cell r="C77">
            <v>33</v>
          </cell>
          <cell r="E77" t="str">
            <v>Les courbes des pertes à vide du moteur, pour les différents degrés de saturation du circuit magnétique pour les moteurs asynchrones</v>
          </cell>
          <cell r="R77" t="str">
            <v>ORN</v>
          </cell>
          <cell r="S77" t="str">
            <v>AT</v>
          </cell>
          <cell r="T77" t="str">
            <v>EX</v>
          </cell>
          <cell r="U77" t="str">
            <v>M.SOUGH</v>
          </cell>
          <cell r="AA77" t="str">
            <v>E</v>
          </cell>
          <cell r="AB77" t="str">
            <v>Electrique</v>
          </cell>
          <cell r="AC77" t="str">
            <v>SME</v>
          </cell>
          <cell r="AD77" t="str">
            <v xml:space="preserve">ST EZ.4-05017 </v>
          </cell>
          <cell r="AE77" t="str">
            <v>Moteurs de traction et machines tournantes auxiliaires</v>
          </cell>
          <cell r="AF77" t="str">
            <v>7.10</v>
          </cell>
          <cell r="AI77">
            <v>1</v>
          </cell>
          <cell r="AP77" t="str">
            <v>FD</v>
          </cell>
          <cell r="CH77" t="e">
            <v>#N/A</v>
          </cell>
          <cell r="CI77" t="e">
            <v>#N/A</v>
          </cell>
          <cell r="CJ77" t="e">
            <v>#N/A</v>
          </cell>
        </row>
        <row r="78">
          <cell r="B78" t="str">
            <v>Ligne_34_PPD</v>
          </cell>
          <cell r="C78">
            <v>34</v>
          </cell>
          <cell r="E78" t="str">
            <v>L'architecture pneumatique et hydraulique retenue</v>
          </cell>
          <cell r="G78" t="str">
            <v>LIVRABLE</v>
          </cell>
          <cell r="R78" t="str">
            <v>NA</v>
          </cell>
          <cell r="S78" t="str">
            <v>AT</v>
          </cell>
          <cell r="T78" t="str">
            <v>NA</v>
          </cell>
          <cell r="U78" t="str">
            <v>NA</v>
          </cell>
          <cell r="AA78" t="str">
            <v>E</v>
          </cell>
          <cell r="AB78" t="str">
            <v>Mécanique</v>
          </cell>
          <cell r="AC78" t="str">
            <v>EMC</v>
          </cell>
          <cell r="AD78" t="str">
            <v>ST ET.4-10546
ST EM.4-20010
ST EM.20031
SF EM.40091</v>
          </cell>
          <cell r="AE78" t="str">
            <v>Documentation relative à l’étude et à la réalisation de systèmes mécaniques, électrotechniques, pneumatiques et hydrauliques</v>
          </cell>
          <cell r="AF78" t="str">
            <v>3.1.3</v>
          </cell>
          <cell r="AI78" t="str">
            <v>LIVRABLE</v>
          </cell>
          <cell r="AL78" t="str">
            <v>FD</v>
          </cell>
          <cell r="CH78" t="e">
            <v>#N/A</v>
          </cell>
          <cell r="CI78" t="e">
            <v>#N/A</v>
          </cell>
          <cell r="CJ78" t="e">
            <v>#N/A</v>
          </cell>
        </row>
        <row r="79">
          <cell r="B79" t="str">
            <v>modifié spec RATP
Confirmer changement Jalon</v>
          </cell>
          <cell r="C79" t="str">
            <v>34.1</v>
          </cell>
          <cell r="E79" t="str">
            <v>L'architecture pneumatique et hydraulique retenue</v>
          </cell>
          <cell r="G79" t="str">
            <v>PLANS DE MONTAGE</v>
          </cell>
          <cell r="R79" t="str">
            <v>VPF</v>
          </cell>
          <cell r="S79" t="str">
            <v>AT</v>
          </cell>
          <cell r="U79" t="str">
            <v>S.LERE</v>
          </cell>
          <cell r="Z79" t="str">
            <v>RTS 193 JS2 EMC 07/09/2020</v>
          </cell>
          <cell r="AA79" t="str">
            <v>E</v>
          </cell>
          <cell r="AB79" t="str">
            <v>Mécanique</v>
          </cell>
          <cell r="AC79" t="str">
            <v>EMC</v>
          </cell>
          <cell r="AD79" t="str">
            <v>ST ET.4-10546
ST EM.4-20010
ST EM.20031
SF EM.40091</v>
          </cell>
          <cell r="AE79" t="str">
            <v>Documentation relative à l’étude et à la réalisation de systèmes mécaniques, électrotechniques, pneumatiques et hydrauliques</v>
          </cell>
          <cell r="AF79" t="str">
            <v>3.1.3.1</v>
          </cell>
          <cell r="AI79">
            <v>25</v>
          </cell>
          <cell r="AO79" t="str">
            <v>FP</v>
          </cell>
          <cell r="AP79" t="str">
            <v>FD</v>
          </cell>
          <cell r="CH79" t="e">
            <v>#N/A</v>
          </cell>
          <cell r="CI79" t="e">
            <v>#N/A</v>
          </cell>
          <cell r="CJ79" t="e">
            <v>#N/A</v>
          </cell>
        </row>
        <row r="80">
          <cell r="B80" t="str">
            <v>Confirmer changement Jalon</v>
          </cell>
          <cell r="C80" t="str">
            <v>34.2</v>
          </cell>
          <cell r="E80" t="str">
            <v>L'architecture pneumatique et hydraulique retenue</v>
          </cell>
          <cell r="G80" t="str">
            <v>PLANS D'ASSEMBLAGE - RENVOI AUX LIGNES 34.1, 34.3, 34.4 ET 34.5</v>
          </cell>
          <cell r="R80" t="str">
            <v>NA</v>
          </cell>
          <cell r="S80" t="str">
            <v>AT</v>
          </cell>
          <cell r="T80" t="str">
            <v>NA</v>
          </cell>
          <cell r="U80" t="str">
            <v>S.LERE</v>
          </cell>
          <cell r="Z80" t="str">
            <v>RTS 193 JS2 EMC 07/09/2020</v>
          </cell>
          <cell r="AA80" t="str">
            <v>E</v>
          </cell>
          <cell r="AB80" t="str">
            <v>Mécanique</v>
          </cell>
          <cell r="AC80" t="str">
            <v>EMC</v>
          </cell>
          <cell r="AD80" t="str">
            <v>ST ET.4-10546
ST EM.4-20010
ST EM.20031
SF EM.40091</v>
          </cell>
          <cell r="AE80" t="str">
            <v>Documentation relative à l’étude et à la réalisation de systèmes mécaniques, électrotechniques, pneumatiques et hydrauliques</v>
          </cell>
          <cell r="AF80" t="str">
            <v>3.1.3.2</v>
          </cell>
          <cell r="AI80" t="str">
            <v>RENVOI</v>
          </cell>
          <cell r="AO80" t="str">
            <v>FP</v>
          </cell>
          <cell r="AP80" t="str">
            <v>FD</v>
          </cell>
          <cell r="CH80" t="e">
            <v>#N/A</v>
          </cell>
          <cell r="CI80" t="e">
            <v>#N/A</v>
          </cell>
          <cell r="CJ80" t="e">
            <v>#N/A</v>
          </cell>
        </row>
        <row r="81">
          <cell r="B81" t="str">
            <v>Confirmer changement Jalon</v>
          </cell>
          <cell r="C81" t="str">
            <v>34.3</v>
          </cell>
          <cell r="E81" t="str">
            <v>L'architecture pneumatique et hydraulique retenue</v>
          </cell>
          <cell r="G81" t="str">
            <v>PLANS D'ENSEMBLE</v>
          </cell>
          <cell r="R81" t="str">
            <v>VPF</v>
          </cell>
          <cell r="S81" t="str">
            <v>AT</v>
          </cell>
          <cell r="U81" t="str">
            <v>S.LERE</v>
          </cell>
          <cell r="Z81" t="str">
            <v>RTS 193 JS2 EMC 07/09/2020</v>
          </cell>
          <cell r="AA81" t="str">
            <v>E</v>
          </cell>
          <cell r="AB81" t="str">
            <v>Mécanique</v>
          </cell>
          <cell r="AC81" t="str">
            <v>EMC</v>
          </cell>
          <cell r="AD81" t="str">
            <v>ST ET.4-10546
ST EM.4-20010
ST EM.20031
SF EM.40091</v>
          </cell>
          <cell r="AE81" t="str">
            <v>Documentation relative à l’étude et à la réalisation de systèmes mécaniques, électrotechniques, pneumatiques et hydrauliques</v>
          </cell>
          <cell r="AF81" t="str">
            <v>3.1.3.3</v>
          </cell>
          <cell r="AI81">
            <v>75</v>
          </cell>
          <cell r="AO81" t="str">
            <v>FP</v>
          </cell>
          <cell r="AP81" t="str">
            <v>FD</v>
          </cell>
          <cell r="CH81" t="e">
            <v>#N/A</v>
          </cell>
          <cell r="CI81" t="e">
            <v>#N/A</v>
          </cell>
          <cell r="CJ81" t="e">
            <v>#N/A</v>
          </cell>
        </row>
        <row r="82">
          <cell r="B82" t="str">
            <v>Ligne_34.4_PPD</v>
          </cell>
          <cell r="C82" t="str">
            <v>34.4</v>
          </cell>
          <cell r="E82" t="str">
            <v>L'architecture pneumatique et hydraulique retenue</v>
          </cell>
          <cell r="G82" t="str">
            <v>PLANS DE DETAIL - PIECES CATEGORIE A (*)</v>
          </cell>
          <cell r="S82" t="str">
            <v>AT</v>
          </cell>
          <cell r="U82" t="str">
            <v>S.LERE</v>
          </cell>
          <cell r="AA82" t="str">
            <v>E</v>
          </cell>
          <cell r="AB82" t="str">
            <v>Mécanique</v>
          </cell>
          <cell r="AC82" t="str">
            <v>EMC</v>
          </cell>
          <cell r="AD82" t="str">
            <v>ST ET.4-10546
ST EM.4-20010
ST EM.20031
SF EM.40091</v>
          </cell>
          <cell r="AE82" t="str">
            <v>Documentation relative à l’étude et à la réalisation de systèmes mécaniques, électrotechniques, pneumatiques et hydrauliques</v>
          </cell>
          <cell r="AF82" t="str">
            <v>3.1.3.4</v>
          </cell>
          <cell r="AG82" t="str">
            <v>Elément essentiel et structurant du train / Elément sécuritaire / Elément électronique et informatique</v>
          </cell>
          <cell r="AH82" t="str">
            <v>50% des plans de détail</v>
          </cell>
          <cell r="AI82">
            <v>150</v>
          </cell>
          <cell r="AP82" t="str">
            <v>FD</v>
          </cell>
          <cell r="CH82" t="e">
            <v>#N/A</v>
          </cell>
          <cell r="CI82" t="e">
            <v>#N/A</v>
          </cell>
          <cell r="CJ82" t="e">
            <v>#N/A</v>
          </cell>
        </row>
        <row r="83">
          <cell r="B83" t="str">
            <v>Ligne_34.5_PPD</v>
          </cell>
          <cell r="C83" t="str">
            <v>34.5</v>
          </cell>
          <cell r="E83" t="str">
            <v>L'architecture pneumatique et hydraulique retenue</v>
          </cell>
          <cell r="G83" t="str">
            <v>PLANS DE DETAIL - PIECES CATEGORIE B (**)</v>
          </cell>
          <cell r="S83" t="str">
            <v>AT</v>
          </cell>
          <cell r="U83" t="str">
            <v>S.LERE</v>
          </cell>
          <cell r="AA83" t="str">
            <v>E</v>
          </cell>
          <cell r="AB83" t="str">
            <v>Mécanique</v>
          </cell>
          <cell r="AC83" t="str">
            <v>EMC</v>
          </cell>
          <cell r="AD83" t="str">
            <v>ST ET.4-10546
ST EM.4-20010
ST EM.20031
SF EM.40091</v>
          </cell>
          <cell r="AE83" t="str">
            <v>Documentation relative à l’étude et à la réalisation de systèmes mécaniques, électrotechniques, pneumatiques et hydrauliques</v>
          </cell>
          <cell r="AF83" t="str">
            <v>3.1.3.4</v>
          </cell>
          <cell r="AG83" t="str">
            <v>Pièces non-critiques</v>
          </cell>
          <cell r="AH83" t="str">
            <v>50% des plans de détail</v>
          </cell>
          <cell r="AI83">
            <v>150</v>
          </cell>
          <cell r="AP83" t="str">
            <v>FP</v>
          </cell>
          <cell r="AY83" t="str">
            <v>FD</v>
          </cell>
          <cell r="CH83" t="e">
            <v>#N/A</v>
          </cell>
          <cell r="CI83" t="e">
            <v>#N/A</v>
          </cell>
          <cell r="CJ83" t="e">
            <v>#N/A</v>
          </cell>
        </row>
        <row r="84">
          <cell r="A84" t="str">
            <v>ADD0003308497</v>
          </cell>
          <cell r="B84" t="str">
            <v>modifié spec RATP</v>
          </cell>
          <cell r="C84" t="str">
            <v>34.6</v>
          </cell>
          <cell r="E84" t="str">
            <v>L'architecture pneumatique et hydraulique retenue</v>
          </cell>
          <cell r="F84" t="str">
            <v>A</v>
          </cell>
          <cell r="G84" t="str">
            <v>SCHEMA DE PRINCIPE PNEUMATIQUE</v>
          </cell>
          <cell r="M84" t="str">
            <v>F-05_ENERGIE_PNEUMATIQUE</v>
          </cell>
          <cell r="N84" t="str">
            <v>DD</v>
          </cell>
          <cell r="O84" t="str">
            <v>SCH-SCHÉMAS</v>
          </cell>
          <cell r="Q84">
            <v>0</v>
          </cell>
          <cell r="R84" t="str">
            <v>VPF</v>
          </cell>
          <cell r="S84" t="str">
            <v>AT</v>
          </cell>
          <cell r="T84" t="str">
            <v>NA</v>
          </cell>
          <cell r="U84" t="str">
            <v>D.SIMON</v>
          </cell>
          <cell r="V84" t="str">
            <v xml:space="preserve">ALSTOM </v>
          </cell>
          <cell r="W84" t="str">
            <v>N</v>
          </cell>
          <cell r="X84" t="str">
            <v>Document contractuel FP</v>
          </cell>
          <cell r="AA84" t="str">
            <v>E</v>
          </cell>
          <cell r="AB84" t="str">
            <v>Mécanique</v>
          </cell>
          <cell r="AC84" t="str">
            <v>EMC</v>
          </cell>
          <cell r="AD84" t="str">
            <v>ST ET.4-10546
ST EM.4-20010
ST EM.20031
SF EM.40091</v>
          </cell>
          <cell r="AE84" t="str">
            <v>Documentation relative à l’étude et à la réalisation de systèmes mécaniques, électrotechniques, pneumatiques et hydrauliques</v>
          </cell>
          <cell r="AF84" t="str">
            <v>3.1.3.5</v>
          </cell>
          <cell r="AI84">
            <v>1</v>
          </cell>
          <cell r="AL84" t="str">
            <v>FP</v>
          </cell>
          <cell r="AP84" t="str">
            <v>FD</v>
          </cell>
          <cell r="BJ84">
            <v>44008</v>
          </cell>
          <cell r="CH84" t="str">
            <v>MF19_BORD_AT_00022</v>
          </cell>
          <cell r="CI84" t="str">
            <v>AR</v>
          </cell>
          <cell r="CJ84" t="str">
            <v>FP</v>
          </cell>
        </row>
        <row r="85">
          <cell r="B85" t="str">
            <v>Ligne_34.7_PPD</v>
          </cell>
          <cell r="C85" t="str">
            <v>34.7</v>
          </cell>
          <cell r="E85" t="str">
            <v>L'architecture pneumatique et hydraulique retenue</v>
          </cell>
          <cell r="G85" t="str">
            <v>PLANS DE CHEMINEMENT DU CABLAGE INTERNE - RENVOI AUX LIGNES 34.1, 34.3, 34.4 ET 34.5</v>
          </cell>
          <cell r="R85" t="str">
            <v>NA</v>
          </cell>
          <cell r="S85" t="str">
            <v>AT</v>
          </cell>
          <cell r="T85" t="str">
            <v>NA</v>
          </cell>
          <cell r="U85" t="str">
            <v>S.LERE</v>
          </cell>
          <cell r="AA85" t="str">
            <v>E</v>
          </cell>
          <cell r="AB85" t="str">
            <v>Mécanique</v>
          </cell>
          <cell r="AC85" t="str">
            <v>EMC</v>
          </cell>
          <cell r="AD85" t="str">
            <v>ST ET.4-10546
ST EM.4-20010
ST EM.20031
SF EM.40091</v>
          </cell>
          <cell r="AE85" t="str">
            <v>Documentation relative à l’étude et à la réalisation de systèmes mécaniques, électrotechniques, pneumatiques et hydrauliques</v>
          </cell>
          <cell r="AF85" t="str">
            <v>3.1.3.6</v>
          </cell>
          <cell r="AI85" t="str">
            <v>RENVOI</v>
          </cell>
          <cell r="AP85" t="str">
            <v>FD</v>
          </cell>
          <cell r="CH85" t="e">
            <v>#N/A</v>
          </cell>
          <cell r="CI85" t="e">
            <v>#N/A</v>
          </cell>
          <cell r="CJ85" t="e">
            <v>#N/A</v>
          </cell>
        </row>
        <row r="86">
          <cell r="B86" t="str">
            <v>Ligne_34.8_PPD</v>
          </cell>
          <cell r="C86" t="str">
            <v>34.8</v>
          </cell>
          <cell r="E86" t="str">
            <v>L'architecture pneumatique et hydraulique retenue</v>
          </cell>
          <cell r="G86" t="str">
            <v>PLANS DE TUYAUTERIES INTERNES  - RENVOI AUX LIGNES 34.1, 34.3, 34.4 ET 34.5</v>
          </cell>
          <cell r="R86" t="str">
            <v>NA</v>
          </cell>
          <cell r="S86" t="str">
            <v>AT</v>
          </cell>
          <cell r="T86" t="str">
            <v>NA</v>
          </cell>
          <cell r="U86" t="str">
            <v>S.LERE</v>
          </cell>
          <cell r="AA86" t="str">
            <v>E</v>
          </cell>
          <cell r="AB86" t="str">
            <v>Mécanique</v>
          </cell>
          <cell r="AC86" t="str">
            <v>EMC</v>
          </cell>
          <cell r="AD86" t="str">
            <v>ST ET.4-10546
ST EM.4-20010
ST EM.20031
SF EM.40091</v>
          </cell>
          <cell r="AE86" t="str">
            <v>Documentation relative à l’étude et à la réalisation de systèmes mécaniques, électrotechniques, pneumatiques et hydrauliques</v>
          </cell>
          <cell r="AF86" t="str">
            <v>3.1.3.7</v>
          </cell>
          <cell r="AI86" t="str">
            <v>RENVOI</v>
          </cell>
          <cell r="AP86" t="str">
            <v>FD</v>
          </cell>
          <cell r="CH86" t="e">
            <v>#N/A</v>
          </cell>
          <cell r="CI86" t="e">
            <v>#N/A</v>
          </cell>
          <cell r="CJ86" t="e">
            <v>#N/A</v>
          </cell>
        </row>
        <row r="87">
          <cell r="B87" t="str">
            <v>Ligne_34.9_PPD</v>
          </cell>
          <cell r="C87" t="str">
            <v>34.9</v>
          </cell>
          <cell r="E87" t="str">
            <v>L'architecture pneumatique et hydraulique retenue</v>
          </cell>
          <cell r="G87" t="str">
            <v>PLANS DES COMPOSANTS PNEUMATIQUES OU HYDRAULIQUES  - RENVOI AUX LIGNES 34.1, 34.3, 34.4 ET 34.5</v>
          </cell>
          <cell r="R87" t="str">
            <v>NA</v>
          </cell>
          <cell r="S87" t="str">
            <v>AT</v>
          </cell>
          <cell r="T87" t="str">
            <v>NA</v>
          </cell>
          <cell r="U87" t="str">
            <v>S.LERE</v>
          </cell>
          <cell r="AA87" t="str">
            <v>E</v>
          </cell>
          <cell r="AB87" t="str">
            <v>Mécanique</v>
          </cell>
          <cell r="AC87" t="str">
            <v>EMC</v>
          </cell>
          <cell r="AD87" t="str">
            <v>ST ET.4-10546
ST EM.4-20010
ST EM.20031
SF EM.40091</v>
          </cell>
          <cell r="AE87" t="str">
            <v>Documentation relative à l’étude et à la réalisation de systèmes mécaniques, électrotechniques, pneumatiques et hydrauliques</v>
          </cell>
          <cell r="AF87" t="str">
            <v>3.1.3.8</v>
          </cell>
          <cell r="AI87" t="str">
            <v>RENVOI</v>
          </cell>
          <cell r="AP87" t="str">
            <v>FD</v>
          </cell>
          <cell r="CH87" t="e">
            <v>#N/A</v>
          </cell>
          <cell r="CI87" t="e">
            <v>#N/A</v>
          </cell>
          <cell r="CJ87" t="e">
            <v>#N/A</v>
          </cell>
        </row>
        <row r="88">
          <cell r="A88" t="str">
            <v>ADD0003308404</v>
          </cell>
          <cell r="B88" t="str">
            <v>Ligne_35_PPD</v>
          </cell>
          <cell r="C88">
            <v>35</v>
          </cell>
          <cell r="E88" t="str">
            <v xml:space="preserve">Au niveau information voyageurs (phonie, afficheurs intérieurs/extérieurs et écrans) :
- l'architecture retenue
- les moyens et procédures pour la création ou la mise à jour des contenus </v>
          </cell>
          <cell r="F88" t="str">
            <v>B</v>
          </cell>
          <cell r="G88" t="str">
            <v>ARCHITECTURE INFO VOYAGEURS ET SYSTEME COMMUNICATION ET PUB</v>
          </cell>
          <cell r="M88" t="str">
            <v>SYS-08_SYS_INFORMATIQUES</v>
          </cell>
          <cell r="N88" t="str">
            <v>DJCC</v>
          </cell>
          <cell r="O88" t="str">
            <v>SP_SPECIF</v>
          </cell>
          <cell r="Q88">
            <v>0</v>
          </cell>
          <cell r="R88" t="str">
            <v>VPF</v>
          </cell>
          <cell r="S88" t="str">
            <v>AT</v>
          </cell>
          <cell r="T88" t="str">
            <v>NA</v>
          </cell>
          <cell r="U88" t="str">
            <v>V.PIQUE</v>
          </cell>
          <cell r="V88" t="str">
            <v xml:space="preserve">ALSTOM </v>
          </cell>
          <cell r="W88" t="str">
            <v>N</v>
          </cell>
          <cell r="X88" t="str">
            <v>Document contractuel FD</v>
          </cell>
          <cell r="Z88" t="str">
            <v>RTS JS1 EZ/EAI 26/03/2020</v>
          </cell>
          <cell r="AA88" t="str">
            <v>E</v>
          </cell>
          <cell r="AB88" t="str">
            <v>Projet</v>
          </cell>
          <cell r="AC88" t="str">
            <v>EAI/SIT</v>
          </cell>
          <cell r="AD88" t="str">
            <v>RPC MF19</v>
          </cell>
          <cell r="AF88" t="str">
            <v>8.2</v>
          </cell>
          <cell r="AI88">
            <v>1</v>
          </cell>
          <cell r="AJ88" t="str">
            <v>FP</v>
          </cell>
          <cell r="AL88" t="str">
            <v>FD</v>
          </cell>
          <cell r="BJ88">
            <v>44012</v>
          </cell>
          <cell r="CH88" t="str">
            <v>MF19_BORD_AT_00040</v>
          </cell>
          <cell r="CI88" t="str">
            <v>-</v>
          </cell>
          <cell r="CJ88" t="str">
            <v>FD</v>
          </cell>
        </row>
        <row r="89">
          <cell r="B89" t="str">
            <v>Ligne_36_PPD</v>
          </cell>
          <cell r="C89">
            <v>36</v>
          </cell>
          <cell r="E89" t="str">
            <v>Au niveau confort, l'architecture retenue pour assurer les fonctions liées au confort (éclairage ventilation, etc),</v>
          </cell>
          <cell r="G89" t="str">
            <v>LIVRABLE</v>
          </cell>
          <cell r="R89" t="str">
            <v>NA</v>
          </cell>
          <cell r="S89" t="str">
            <v>BT</v>
          </cell>
          <cell r="T89" t="str">
            <v>NA</v>
          </cell>
          <cell r="U89" t="str">
            <v>NA</v>
          </cell>
          <cell r="AA89" t="str">
            <v>E</v>
          </cell>
          <cell r="AB89" t="str">
            <v>Projet</v>
          </cell>
          <cell r="AC89" t="str">
            <v>EMC/EAI</v>
          </cell>
          <cell r="AD89" t="str">
            <v>RPC MF19</v>
          </cell>
          <cell r="AF89" t="str">
            <v>8.2</v>
          </cell>
          <cell r="AI89" t="str">
            <v>LIVRABLE</v>
          </cell>
          <cell r="AJ89" t="str">
            <v>FP</v>
          </cell>
          <cell r="AL89" t="str">
            <v>FD</v>
          </cell>
          <cell r="CH89" t="e">
            <v>#N/A</v>
          </cell>
          <cell r="CI89" t="e">
            <v>#N/A</v>
          </cell>
          <cell r="CJ89" t="e">
            <v>#N/A</v>
          </cell>
        </row>
        <row r="90">
          <cell r="A90">
            <v>100435124</v>
          </cell>
          <cell r="B90" t="str">
            <v>Ligne_36.1_PPD</v>
          </cell>
          <cell r="C90" t="str">
            <v>36.1</v>
          </cell>
          <cell r="E90" t="str">
            <v xml:space="preserve">Au niveau confort, l'architecture retenue pour assurer les fonctions liées au confort (éclairage ventilation, etc) :ARCHITECTURE ECLAIRAGE </v>
          </cell>
          <cell r="F90" t="str">
            <v>B</v>
          </cell>
          <cell r="G90" t="str">
            <v>ARCHITECTURE FONCTION ECLAIRAGE</v>
          </cell>
          <cell r="M90" t="str">
            <v>F-07_CONFORT</v>
          </cell>
          <cell r="N90" t="str">
            <v>DS</v>
          </cell>
          <cell r="O90" t="str">
            <v>SP_SPECIF</v>
          </cell>
          <cell r="Q90">
            <v>0</v>
          </cell>
          <cell r="R90" t="str">
            <v>BT</v>
          </cell>
          <cell r="S90" t="str">
            <v>BT</v>
          </cell>
          <cell r="T90" t="str">
            <v>AT</v>
          </cell>
          <cell r="U90" t="str">
            <v>Nada Cherkaoui</v>
          </cell>
          <cell r="V90" t="str">
            <v>BOMBARDIER</v>
          </cell>
          <cell r="W90" t="str">
            <v>N</v>
          </cell>
          <cell r="X90" t="str">
            <v>Document contractuel FD</v>
          </cell>
          <cell r="Z90" t="str">
            <v>RTS JS1 EZ/EAI 26/03/2020</v>
          </cell>
          <cell r="AA90" t="str">
            <v>E</v>
          </cell>
          <cell r="AB90" t="str">
            <v>Projet</v>
          </cell>
          <cell r="AC90" t="str">
            <v>EAI</v>
          </cell>
          <cell r="AD90" t="str">
            <v>RPC MF19</v>
          </cell>
          <cell r="AF90" t="str">
            <v>8.2</v>
          </cell>
          <cell r="AI90">
            <v>1</v>
          </cell>
          <cell r="AJ90" t="str">
            <v>FP</v>
          </cell>
          <cell r="AL90" t="str">
            <v>FD</v>
          </cell>
          <cell r="BJ90">
            <v>44008</v>
          </cell>
          <cell r="CH90" t="str">
            <v>MF19_BORD_BT_00022</v>
          </cell>
          <cell r="CI90" t="str">
            <v>R</v>
          </cell>
          <cell r="CJ90" t="str">
            <v>FD</v>
          </cell>
        </row>
        <row r="91">
          <cell r="A91">
            <v>100435125</v>
          </cell>
          <cell r="B91" t="str">
            <v>Ligne_36.2_PPD</v>
          </cell>
          <cell r="C91" t="str">
            <v>36.2</v>
          </cell>
          <cell r="E91" t="str">
            <v xml:space="preserve">Au niveau confort, l'architecture retenue pour assurer les fonctions liées au confort (éclairage ventilation, etc), ARCHITECTURE DES SYSTEMES DE CONDITIONNEMENT D AIR </v>
          </cell>
          <cell r="F91" t="str">
            <v>C</v>
          </cell>
          <cell r="G91" t="str">
            <v>ARCHITECTURE DES SYSTEMES DE CONDITIONNEMENT D AIR DU MF19</v>
          </cell>
          <cell r="M91" t="str">
            <v>F-07_CONFORT</v>
          </cell>
          <cell r="N91" t="str">
            <v>DS</v>
          </cell>
          <cell r="O91" t="str">
            <v>SP_SPECIF</v>
          </cell>
          <cell r="Q91">
            <v>0</v>
          </cell>
          <cell r="R91" t="str">
            <v>BT</v>
          </cell>
          <cell r="S91" t="str">
            <v>BT</v>
          </cell>
          <cell r="T91" t="str">
            <v>AT</v>
          </cell>
          <cell r="U91" t="str">
            <v>Boualem Aouchiche</v>
          </cell>
          <cell r="V91" t="str">
            <v>BOMBARDIER</v>
          </cell>
          <cell r="W91" t="str">
            <v>N</v>
          </cell>
          <cell r="X91" t="str">
            <v>Document contractuel FD</v>
          </cell>
          <cell r="AA91" t="str">
            <v>E</v>
          </cell>
          <cell r="AB91" t="str">
            <v>Projet</v>
          </cell>
          <cell r="AC91" t="str">
            <v>EMC</v>
          </cell>
          <cell r="AD91" t="str">
            <v>RPC MF19</v>
          </cell>
          <cell r="AF91" t="str">
            <v>8.2</v>
          </cell>
          <cell r="AI91">
            <v>1</v>
          </cell>
          <cell r="AJ91" t="str">
            <v>FP</v>
          </cell>
          <cell r="AL91" t="str">
            <v>FD</v>
          </cell>
          <cell r="BJ91">
            <v>43980</v>
          </cell>
          <cell r="CH91" t="str">
            <v>MF19_BORD_BT_00013</v>
          </cell>
          <cell r="CI91" t="str">
            <v>A</v>
          </cell>
          <cell r="CJ91" t="str">
            <v>FD</v>
          </cell>
        </row>
        <row r="92">
          <cell r="B92" t="str">
            <v>Ligne_37_PPD</v>
          </cell>
          <cell r="C92">
            <v>37</v>
          </cell>
          <cell r="E92" t="str">
            <v>Au niveau acoustique et vibratoire :
- la démonstration de l'atteinte des objectifs acoustique et vibratoire 
- le plan de management particulier "Bruits et Vibrations"
- une note de calcul préliminaire des niveaux acoustiques et vibratoires intérieurs et extérieurs suivant les configurations du cahier des charges</v>
          </cell>
          <cell r="G92" t="str">
            <v>LIVRABLE</v>
          </cell>
          <cell r="R92" t="str">
            <v>NA</v>
          </cell>
          <cell r="S92" t="str">
            <v>BT</v>
          </cell>
          <cell r="T92" t="str">
            <v>NA</v>
          </cell>
          <cell r="U92" t="str">
            <v>NA</v>
          </cell>
          <cell r="AA92" t="str">
            <v>E</v>
          </cell>
          <cell r="AB92" t="str">
            <v>Electrique</v>
          </cell>
          <cell r="AC92" t="str">
            <v>EMR</v>
          </cell>
          <cell r="AD92" t="str">
            <v>SM ET.4-10639
ST EM.4-70048</v>
          </cell>
          <cell r="AE92" t="str">
            <v>Spécification de management MF19
Ambiance acoustique et vibratoire MF19</v>
          </cell>
          <cell r="AF92" t="str">
            <v>12
3; Annexe A</v>
          </cell>
          <cell r="AI92" t="str">
            <v>LIVRABLE</v>
          </cell>
          <cell r="AJ92" t="str">
            <v>FP</v>
          </cell>
          <cell r="AL92" t="str">
            <v>FD</v>
          </cell>
          <cell r="CH92" t="e">
            <v>#N/A</v>
          </cell>
          <cell r="CI92" t="e">
            <v>#N/A</v>
          </cell>
          <cell r="CJ92" t="e">
            <v>#N/A</v>
          </cell>
        </row>
        <row r="93">
          <cell r="A93">
            <v>100435126</v>
          </cell>
          <cell r="B93" t="str">
            <v>Ligne_37.1_PPD</v>
          </cell>
          <cell r="C93" t="str">
            <v>37.1</v>
          </cell>
          <cell r="E93" t="str">
            <v>Au niveau acoustique et vibratoire :
- la démonstration de l'atteinte des objectifs acoustique et vibratoire 
- le plan de management particulier "Bruits et Vibrations"
- une note de calcul préliminaire des niveaux acoustiques et vibratoires intérieurs et extérieurs suivant les configurations du cahier des charges</v>
          </cell>
          <cell r="F93" t="str">
            <v>B</v>
          </cell>
          <cell r="G93" t="str">
            <v>PLAN DE MANAGEMENT BRUIT ET VIBRATIONS</v>
          </cell>
          <cell r="M93" t="str">
            <v>SYS-01_AMBIANCE_ACOUSTIQUE_VIBRATOIRE</v>
          </cell>
          <cell r="N93" t="str">
            <v>DS</v>
          </cell>
          <cell r="O93" t="str">
            <v>PMN_PLAN MANAGMT</v>
          </cell>
          <cell r="Q93">
            <v>0</v>
          </cell>
          <cell r="R93" t="str">
            <v>BT</v>
          </cell>
          <cell r="S93" t="str">
            <v>BT</v>
          </cell>
          <cell r="T93" t="str">
            <v>AT</v>
          </cell>
          <cell r="U93" t="str">
            <v>Sébastien lottiaux</v>
          </cell>
          <cell r="V93" t="str">
            <v>BOMBARDIER</v>
          </cell>
          <cell r="W93" t="str">
            <v>N</v>
          </cell>
          <cell r="X93" t="str">
            <v>Document contractuel FD</v>
          </cell>
          <cell r="AA93" t="str">
            <v>E</v>
          </cell>
          <cell r="AB93" t="str">
            <v>Electrique</v>
          </cell>
          <cell r="AC93" t="str">
            <v>EMR</v>
          </cell>
          <cell r="AD93" t="str">
            <v>SM ET.4-10639
ST EM.4-70048</v>
          </cell>
          <cell r="AE93" t="str">
            <v>Spécification de management MF19
Ambiance acoustique et vibratoire MF19</v>
          </cell>
          <cell r="AF93" t="str">
            <v>12
3; Annexe A</v>
          </cell>
          <cell r="AI93">
            <v>1</v>
          </cell>
          <cell r="AJ93" t="str">
            <v>FP</v>
          </cell>
          <cell r="AL93" t="str">
            <v>FD</v>
          </cell>
          <cell r="BJ93">
            <v>44022</v>
          </cell>
          <cell r="CH93" t="str">
            <v>MF19_BORD_BT_00017</v>
          </cell>
          <cell r="CI93" t="str">
            <v>A</v>
          </cell>
          <cell r="CJ93" t="str">
            <v>FD</v>
          </cell>
        </row>
        <row r="94">
          <cell r="A94">
            <v>100435127</v>
          </cell>
          <cell r="B94" t="str">
            <v>Ligne_37.2_PPD</v>
          </cell>
          <cell r="C94" t="str">
            <v>37.2</v>
          </cell>
          <cell r="E94" t="str">
            <v>Au niveau acoustique et vibratoire :
- la démonstration de l'atteinte des objectifs acoustique et vibratoire 
- le plan de management particulier "Bruits et Vibrations"
- une note de calcul préliminaire des niveaux acoustiques et vibratoires intérieurs et extérieurs suivant les configurations du cahier des charges</v>
          </cell>
          <cell r="F94" t="str">
            <v>B</v>
          </cell>
          <cell r="G94" t="str">
            <v>NOTE DE CALCULS ACOUSTIQUES ET VIBRATOIRES</v>
          </cell>
          <cell r="M94" t="str">
            <v>SYS-01_AMBIANCE_ACOUSTIQUE_VIBRATOIRE</v>
          </cell>
          <cell r="N94" t="str">
            <v>DJD</v>
          </cell>
          <cell r="O94" t="str">
            <v>NC_NOTE DE CALCUL</v>
          </cell>
          <cell r="Q94">
            <v>0</v>
          </cell>
          <cell r="R94" t="str">
            <v>BT</v>
          </cell>
          <cell r="S94" t="str">
            <v>BT</v>
          </cell>
          <cell r="T94" t="str">
            <v>AT</v>
          </cell>
          <cell r="U94" t="str">
            <v>Sébastien lottiaux</v>
          </cell>
          <cell r="V94" t="str">
            <v>BOMBARDIER</v>
          </cell>
          <cell r="W94" t="str">
            <v>N</v>
          </cell>
          <cell r="X94" t="str">
            <v>Document contractuel FP</v>
          </cell>
          <cell r="Z94" t="str">
            <v>RTS 188 JS2 EMR 03/09/2020</v>
          </cell>
          <cell r="AA94" t="str">
            <v>E</v>
          </cell>
          <cell r="AB94" t="str">
            <v>Electrique</v>
          </cell>
          <cell r="AC94" t="str">
            <v>EMR</v>
          </cell>
          <cell r="AD94" t="str">
            <v>SM ET.4-10639
ST EM.4-70048</v>
          </cell>
          <cell r="AE94" t="str">
            <v>Spécification de management MF19
Ambiance acoustique et vibratoire MF19</v>
          </cell>
          <cell r="AF94" t="str">
            <v>12
3; Annexe A</v>
          </cell>
          <cell r="AI94">
            <v>1</v>
          </cell>
          <cell r="AJ94" t="str">
            <v>FP</v>
          </cell>
          <cell r="AL94" t="str">
            <v>FP</v>
          </cell>
          <cell r="AN94" t="str">
            <v>FP</v>
          </cell>
          <cell r="AP94" t="str">
            <v>FP</v>
          </cell>
          <cell r="AU94" t="str">
            <v>FD</v>
          </cell>
          <cell r="BA94" t="str">
            <v>Maj</v>
          </cell>
          <cell r="BJ94">
            <v>44022</v>
          </cell>
          <cell r="CH94" t="str">
            <v>MF19_BORD_BT_00013</v>
          </cell>
          <cell r="CI94" t="str">
            <v>A</v>
          </cell>
          <cell r="CJ94" t="str">
            <v>FP</v>
          </cell>
        </row>
        <row r="95">
          <cell r="A95" t="str">
            <v>ADD0003308405</v>
          </cell>
          <cell r="B95" t="str">
            <v>Ligne_38_PPD</v>
          </cell>
          <cell r="C95">
            <v>38</v>
          </cell>
          <cell r="E95" t="str">
            <v>Au niveau train, l’architecture pour assurer les fonctions liées à la vidéo-protection</v>
          </cell>
          <cell r="F95" t="str">
            <v>B</v>
          </cell>
          <cell r="G95" t="str">
            <v>ARCHITECTURE VIDEO-PROTECTION</v>
          </cell>
          <cell r="M95" t="str">
            <v>M-00_GENERALITES</v>
          </cell>
          <cell r="N95" t="str">
            <v>DJCC</v>
          </cell>
          <cell r="O95" t="str">
            <v>SP_SPECIF</v>
          </cell>
          <cell r="Q95">
            <v>0</v>
          </cell>
          <cell r="R95" t="str">
            <v>VPF</v>
          </cell>
          <cell r="S95" t="str">
            <v>AT</v>
          </cell>
          <cell r="T95" t="str">
            <v>NA</v>
          </cell>
          <cell r="U95" t="str">
            <v>V.PIQUE</v>
          </cell>
          <cell r="V95" t="str">
            <v xml:space="preserve">ALSTOM </v>
          </cell>
          <cell r="W95" t="str">
            <v>N</v>
          </cell>
          <cell r="X95" t="str">
            <v>Document contractuel FD</v>
          </cell>
          <cell r="Z95" t="str">
            <v>RTS JS1 EZ/EAI 26/03/2020</v>
          </cell>
          <cell r="AA95" t="str">
            <v>E</v>
          </cell>
          <cell r="AB95" t="str">
            <v>Electronique</v>
          </cell>
          <cell r="AC95" t="str">
            <v>SIT</v>
          </cell>
          <cell r="AD95" t="str">
            <v>RPC MF19</v>
          </cell>
          <cell r="AF95" t="str">
            <v>8.2</v>
          </cell>
          <cell r="AI95">
            <v>1</v>
          </cell>
          <cell r="AJ95" t="str">
            <v>FP</v>
          </cell>
          <cell r="AL95" t="str">
            <v>FD</v>
          </cell>
          <cell r="BJ95">
            <v>44012</v>
          </cell>
          <cell r="CH95" t="str">
            <v>MF19_BORD_AT_00022</v>
          </cell>
          <cell r="CI95" t="str">
            <v>AR</v>
          </cell>
          <cell r="CJ95" t="str">
            <v>FD</v>
          </cell>
        </row>
        <row r="96">
          <cell r="A96" t="str">
            <v>ADD0003308406</v>
          </cell>
          <cell r="B96" t="str">
            <v>Ligne_39_PPD</v>
          </cell>
          <cell r="C96">
            <v>39</v>
          </cell>
          <cell r="E96" t="str">
            <v>Au niveau informatique, le rôle de l'informatique embarquée et sa description , son architecture, les équipements gérés, les modes de fonctionnements et les dispositions prévues pour assurer la disponibilité</v>
          </cell>
          <cell r="F96" t="str">
            <v>B</v>
          </cell>
          <cell r="G96" t="str">
            <v>SYSTEME INFORMATIQUE EMBARQUE (reprend ce qui est dans l'item 46)</v>
          </cell>
          <cell r="M96" t="str">
            <v>M-00_GENERALITES</v>
          </cell>
          <cell r="N96" t="str">
            <v>DDF</v>
          </cell>
          <cell r="O96" t="str">
            <v>SP_SPECIF</v>
          </cell>
          <cell r="Q96">
            <v>0</v>
          </cell>
          <cell r="R96" t="str">
            <v>VPF</v>
          </cell>
          <cell r="S96" t="str">
            <v>AT</v>
          </cell>
          <cell r="T96" t="str">
            <v>NA</v>
          </cell>
          <cell r="U96" t="str">
            <v>C.SION</v>
          </cell>
          <cell r="V96" t="str">
            <v xml:space="preserve">ALSTOM </v>
          </cell>
          <cell r="W96" t="str">
            <v>N</v>
          </cell>
          <cell r="X96" t="str">
            <v>Document contractuel FP</v>
          </cell>
          <cell r="Z96" t="str">
            <v>RTS 159 JS2 ETS 02/07/2020
RTS 181 JS2 SIT 27/08/2020</v>
          </cell>
          <cell r="AA96" t="str">
            <v>E</v>
          </cell>
          <cell r="AB96" t="str">
            <v>Projet</v>
          </cell>
          <cell r="AC96" t="str">
            <v>ETS/SIT</v>
          </cell>
          <cell r="AD96" t="str">
            <v>RPC MF19</v>
          </cell>
          <cell r="AF96" t="str">
            <v>8.2</v>
          </cell>
          <cell r="AI96">
            <v>1</v>
          </cell>
          <cell r="AJ96" t="str">
            <v>FP</v>
          </cell>
          <cell r="AL96" t="str">
            <v>FP</v>
          </cell>
          <cell r="AN96" t="str">
            <v>FD</v>
          </cell>
          <cell r="BJ96">
            <v>44023</v>
          </cell>
          <cell r="CH96" t="str">
            <v>MF19_BORD_AT_00016</v>
          </cell>
          <cell r="CI96" t="str">
            <v>AR</v>
          </cell>
          <cell r="CJ96" t="str">
            <v>FP</v>
          </cell>
        </row>
        <row r="97">
          <cell r="B97" t="str">
            <v>Ligne_40_PPD</v>
          </cell>
          <cell r="C97">
            <v>40</v>
          </cell>
          <cell r="E97" t="str">
            <v>Les dessins généraux : Ils comprennent :
• Une vue éclatée du chaudron de chaque voiture,
• Un dessin d’ensemble des organes de roulements
• Un dessin d’aménagement intérieur de chaque voiture et de la cabine 
• Un dessin d’ensemble des équipements
• Un dessin d’implantation des équipements sous-châssis et en toiture,</v>
          </cell>
          <cell r="G97" t="str">
            <v>LIVRABLE</v>
          </cell>
          <cell r="R97" t="str">
            <v>NA</v>
          </cell>
          <cell r="S97" t="str">
            <v>BT</v>
          </cell>
          <cell r="T97" t="str">
            <v>NA</v>
          </cell>
          <cell r="AA97" t="str">
            <v>E</v>
          </cell>
          <cell r="AB97" t="str">
            <v>Mécanique</v>
          </cell>
          <cell r="AC97" t="str">
            <v>EMC</v>
          </cell>
          <cell r="AD97" t="str">
            <v>ST EM.4-40093</v>
          </cell>
          <cell r="AE97" t="str">
            <v xml:space="preserve">Caisse Confort </v>
          </cell>
          <cell r="AI97" t="str">
            <v>LIVRABLE</v>
          </cell>
          <cell r="AL97" t="str">
            <v>FD</v>
          </cell>
          <cell r="CH97" t="e">
            <v>#N/A</v>
          </cell>
          <cell r="CI97" t="e">
            <v>#N/A</v>
          </cell>
          <cell r="CJ97" t="e">
            <v>#N/A</v>
          </cell>
        </row>
        <row r="98">
          <cell r="A98">
            <v>100447027</v>
          </cell>
          <cell r="B98" t="str">
            <v>Ligne_40.1_PPD</v>
          </cell>
          <cell r="C98" t="str">
            <v>40.1</v>
          </cell>
          <cell r="E98" t="str">
            <v>Les dessins généraux : Ils comprennent :
• Une vue éclatée du chaudron de chaque voiture,
• Un dessin d’ensemble des organes de roulements
• Un dessin d’aménagement intérieur de chaque voiture et de la cabine 
• Un dessin d’ensemble des équipements
• Un dessin d’implantation des équipements sous-châssis et en toiture,</v>
          </cell>
          <cell r="F98" t="str">
            <v>A</v>
          </cell>
          <cell r="G98" t="str">
            <v>CONCEPT STRUCTURE DE CAISSE VOITURES MF19</v>
          </cell>
          <cell r="M98" t="str">
            <v>F-02_CAISSE</v>
          </cell>
          <cell r="N98" t="str">
            <v>DS</v>
          </cell>
          <cell r="O98" t="str">
            <v>SP_SPECIF</v>
          </cell>
          <cell r="Q98">
            <v>0</v>
          </cell>
          <cell r="R98" t="str">
            <v>BT</v>
          </cell>
          <cell r="S98" t="str">
            <v>BT</v>
          </cell>
          <cell r="U98" t="str">
            <v>Alain Villain</v>
          </cell>
          <cell r="V98" t="str">
            <v>BOMBARDIER</v>
          </cell>
          <cell r="W98" t="str">
            <v>N</v>
          </cell>
          <cell r="X98" t="str">
            <v>Document contractuel FP</v>
          </cell>
          <cell r="Z98" t="str">
            <v>RTS 193 JS2 EMC 07/09/2020</v>
          </cell>
          <cell r="AA98" t="str">
            <v>E</v>
          </cell>
          <cell r="AB98" t="str">
            <v>Mécanique</v>
          </cell>
          <cell r="AC98" t="str">
            <v>EMC</v>
          </cell>
          <cell r="AD98" t="str">
            <v>ST EM.4-40093</v>
          </cell>
          <cell r="AE98" t="str">
            <v xml:space="preserve">Caisse Confort </v>
          </cell>
          <cell r="AI98">
            <v>1</v>
          </cell>
          <cell r="AL98" t="str">
            <v>FP</v>
          </cell>
          <cell r="AN98" t="str">
            <v>FD</v>
          </cell>
          <cell r="BJ98">
            <v>44029</v>
          </cell>
          <cell r="CH98" t="str">
            <v>MF19_BORD_BT_00017</v>
          </cell>
          <cell r="CI98" t="str">
            <v>AR</v>
          </cell>
          <cell r="CJ98" t="str">
            <v>FP</v>
          </cell>
        </row>
        <row r="99">
          <cell r="A99">
            <v>100441262</v>
          </cell>
          <cell r="B99" t="str">
            <v>Ligne_40.1.1_PPD</v>
          </cell>
          <cell r="C99" t="str">
            <v>40.1.1</v>
          </cell>
          <cell r="E99" t="str">
            <v>Les dessins généraux : Ils comprennent :
• Une vue éclatée du chaudron de chaque voiture,
• Un dessin d’ensemble des organes de roulements
• Un dessin d’aménagement intérieur de chaque voiture et de la cabine 
• Un dessin d’ensemble des équipements
• Un dessin d’implantation des équipements sous-châssis et en toiture,</v>
          </cell>
          <cell r="F99" t="str">
            <v>B</v>
          </cell>
          <cell r="G99" t="str">
            <v>SPECIFICATION D ESSAIS SUR LES LIAISONS BOBTAILS</v>
          </cell>
          <cell r="M99" t="str">
            <v>940_ESSAIS</v>
          </cell>
          <cell r="N99" t="str">
            <v>DJD</v>
          </cell>
          <cell r="O99" t="str">
            <v>PRT_PROG. ESSAIS DE TYPE</v>
          </cell>
          <cell r="Q99">
            <v>0</v>
          </cell>
          <cell r="R99" t="str">
            <v>BT</v>
          </cell>
          <cell r="S99" t="str">
            <v>BT</v>
          </cell>
          <cell r="U99" t="str">
            <v>Bastien Leprete</v>
          </cell>
          <cell r="V99" t="str">
            <v>BOMBARDIER</v>
          </cell>
          <cell r="W99" t="str">
            <v>N</v>
          </cell>
          <cell r="X99" t="str">
            <v>Document contractuel FD</v>
          </cell>
          <cell r="Z99" t="str">
            <v>RTS 193 JS2 EMC 07/09/2020</v>
          </cell>
          <cell r="AA99" t="str">
            <v>E</v>
          </cell>
          <cell r="AB99" t="str">
            <v>Mécanique</v>
          </cell>
          <cell r="AC99" t="str">
            <v>EMC</v>
          </cell>
          <cell r="AD99" t="str">
            <v>ST EM.4-40093</v>
          </cell>
          <cell r="AE99" t="str">
            <v xml:space="preserve">Caisse Confort </v>
          </cell>
          <cell r="AI99">
            <v>1</v>
          </cell>
          <cell r="AM99" t="str">
            <v>FD</v>
          </cell>
          <cell r="BK99">
            <v>43980</v>
          </cell>
          <cell r="CH99" t="str">
            <v>MF19_BORD_BT_00027</v>
          </cell>
          <cell r="CI99" t="str">
            <v>-</v>
          </cell>
          <cell r="CJ99" t="str">
            <v>FD</v>
          </cell>
        </row>
        <row r="100">
          <cell r="A100">
            <v>100447066</v>
          </cell>
          <cell r="B100" t="str">
            <v>Ligne_40.1.2_PPD</v>
          </cell>
          <cell r="C100" t="str">
            <v>40.1.2</v>
          </cell>
          <cell r="E100" t="str">
            <v>Les dessins généraux : Ils comprennent :
• Une vue éclatée du chaudron de chaque voiture,
• Un dessin d’ensemble des organes de roulements
• Un dessin d’aménagement intérieur de chaque voiture et de la cabine 
• Un dessin d’ensemble des équipements
• Un dessin d’implantation des équipements sous-châssis et en toiture,</v>
          </cell>
          <cell r="F100" t="str">
            <v>A</v>
          </cell>
          <cell r="G100" t="str">
            <v>SPEC D ESSAIS COURBES FATIGUE PR ASSEMBLAGES BOBTAILS</v>
          </cell>
          <cell r="M100" t="str">
            <v>F-02_CAISSE</v>
          </cell>
          <cell r="N100" t="str">
            <v>DJD</v>
          </cell>
          <cell r="O100" t="str">
            <v>PRT_PROG. ESSAIS DE TYPE</v>
          </cell>
          <cell r="Q100">
            <v>0</v>
          </cell>
          <cell r="R100" t="str">
            <v>BT</v>
          </cell>
          <cell r="S100" t="str">
            <v>BT</v>
          </cell>
          <cell r="U100" t="str">
            <v>Bastien Leprete</v>
          </cell>
          <cell r="V100" t="str">
            <v>BOMBARDIER</v>
          </cell>
          <cell r="W100" t="str">
            <v>N</v>
          </cell>
          <cell r="X100" t="str">
            <v>Document contractuel FD</v>
          </cell>
          <cell r="Z100" t="str">
            <v>RTS 193 JS2 EMC 07/09/2020</v>
          </cell>
          <cell r="AA100" t="str">
            <v>E</v>
          </cell>
          <cell r="AB100" t="str">
            <v>Mécanique</v>
          </cell>
          <cell r="AC100" t="str">
            <v>EMC</v>
          </cell>
          <cell r="AD100" t="str">
            <v>ST EM.4-40093</v>
          </cell>
          <cell r="AE100" t="str">
            <v xml:space="preserve">Caisse Confort </v>
          </cell>
          <cell r="AI100">
            <v>1</v>
          </cell>
          <cell r="AM100" t="str">
            <v>FD</v>
          </cell>
          <cell r="BK100">
            <v>44022</v>
          </cell>
          <cell r="CH100" t="str">
            <v>MF19_BORD_BT_00013</v>
          </cell>
          <cell r="CI100" t="str">
            <v>A</v>
          </cell>
          <cell r="CJ100" t="str">
            <v>FD</v>
          </cell>
        </row>
        <row r="101">
          <cell r="A101">
            <v>100443100</v>
          </cell>
          <cell r="B101" t="str">
            <v>Ligne_40.2_PPD</v>
          </cell>
          <cell r="C101" t="str">
            <v>40.2</v>
          </cell>
          <cell r="E101" t="str">
            <v>Les dessins généraux : Ils comprennent :
• Une vue éclatée du chaudron de chaque voiture,
• Un dessin d’ensemble des organes de roulements
• Un dessin d’aménagement intérieur de chaque voiture et de la cabine 
• Un dessin d’ensemble des équipements
• Un dessin d’implantation des équipements sous-châssis et en toiture,</v>
          </cell>
          <cell r="F101" t="str">
            <v>A</v>
          </cell>
          <cell r="G101" t="str">
            <v>SCHEMA D IMPLANTATION DES EQUIPEMENTS</v>
          </cell>
          <cell r="M101" t="str">
            <v>F-01_ROULEMENT</v>
          </cell>
          <cell r="N101" t="str">
            <v>DD</v>
          </cell>
          <cell r="O101" t="str">
            <v>PE_PLAN ENSEMBLE</v>
          </cell>
          <cell r="Q101">
            <v>0</v>
          </cell>
          <cell r="R101" t="str">
            <v>BT</v>
          </cell>
          <cell r="S101" t="str">
            <v>BT</v>
          </cell>
          <cell r="T101" t="str">
            <v>EX</v>
          </cell>
          <cell r="U101" t="str">
            <v>Meddy Lieppe</v>
          </cell>
          <cell r="V101" t="str">
            <v>BOMBARDIER</v>
          </cell>
          <cell r="W101" t="str">
            <v>N</v>
          </cell>
          <cell r="X101" t="str">
            <v>Document contractuel FP</v>
          </cell>
          <cell r="Z101" t="str">
            <v>RTS 188 JS2 EMR 03/09/2020
RTS 193 JS2 EMC 07/09/2020</v>
          </cell>
          <cell r="AA101" t="str">
            <v>E</v>
          </cell>
          <cell r="AB101" t="str">
            <v>Mécanique</v>
          </cell>
          <cell r="AC101" t="str">
            <v>EMR</v>
          </cell>
          <cell r="AD101" t="str">
            <v>ST EM.4-70024</v>
          </cell>
          <cell r="AE101" t="str">
            <v>Roulement MF19</v>
          </cell>
          <cell r="AI101">
            <v>1</v>
          </cell>
          <cell r="AL101" t="str">
            <v>FP</v>
          </cell>
          <cell r="AN101" t="str">
            <v>FD</v>
          </cell>
          <cell r="BJ101">
            <v>44022</v>
          </cell>
          <cell r="CH101" t="str">
            <v>MF19_BORD_BT_00009</v>
          </cell>
          <cell r="CI101" t="str">
            <v>AR</v>
          </cell>
          <cell r="CJ101" t="str">
            <v>FP</v>
          </cell>
        </row>
        <row r="102">
          <cell r="B102" t="str">
            <v>Ligne_40.3_PPD</v>
          </cell>
          <cell r="C102" t="str">
            <v>40.3</v>
          </cell>
          <cell r="E102" t="str">
            <v>Les dessins généraux : Ils comprennent :
• Une vue éclatée du chaudron de chaque voiture,
• Un dessin d’ensemble des organes de roulements
• Un dessin d’aménagement intérieur de chaque voiture et de la cabine 
• Un dessin d’ensemble des équipements
• Un dessin d’implantation des équipements sous-châssis et en toiture,</v>
          </cell>
          <cell r="G102" t="str">
            <v xml:space="preserve">Concept Aménagement intérieur </v>
          </cell>
          <cell r="R102" t="str">
            <v>BT</v>
          </cell>
          <cell r="S102" t="str">
            <v>BT</v>
          </cell>
          <cell r="T102" t="str">
            <v>AT</v>
          </cell>
          <cell r="U102" t="str">
            <v>Mélanie Phan</v>
          </cell>
          <cell r="V102" t="str">
            <v>BOMBARDIER</v>
          </cell>
          <cell r="X102" t="str">
            <v>Contractuel Produit</v>
          </cell>
          <cell r="Z102" t="str">
            <v>RTS 193 JS2 EMC 07/09/2020</v>
          </cell>
          <cell r="AA102" t="str">
            <v>E</v>
          </cell>
          <cell r="AB102" t="str">
            <v>Mécanique</v>
          </cell>
          <cell r="AC102" t="str">
            <v>EMC</v>
          </cell>
          <cell r="AD102" t="str">
            <v>ST EM.4-40093</v>
          </cell>
          <cell r="AE102" t="str">
            <v xml:space="preserve">Caisse Confort </v>
          </cell>
          <cell r="AI102">
            <v>1</v>
          </cell>
          <cell r="AM102" t="str">
            <v>FP</v>
          </cell>
          <cell r="AN102" t="str">
            <v>FD</v>
          </cell>
          <cell r="BK102">
            <v>44183</v>
          </cell>
          <cell r="CH102" t="e">
            <v>#N/A</v>
          </cell>
          <cell r="CI102" t="e">
            <v>#N/A</v>
          </cell>
          <cell r="CJ102" t="e">
            <v>#N/A</v>
          </cell>
        </row>
        <row r="103">
          <cell r="A103">
            <v>100444299</v>
          </cell>
          <cell r="B103" t="str">
            <v>Ligne_40.4_PPD</v>
          </cell>
          <cell r="C103" t="str">
            <v>40.4</v>
          </cell>
          <cell r="E103" t="str">
            <v>Les dessins généraux : Ils comprennent :
• Une vue éclatée du chaudron de chaque voiture,
• Un dessin d’ensemble des organes de roulements
• Un dessin d’aménagement intérieur de chaque voiture et de la cabine 
• Un dessin d’ensemble des équipements
• Un dessin d’implantation des équipements sous-châssis et en toiture,</v>
          </cell>
          <cell r="F103" t="str">
            <v>A</v>
          </cell>
          <cell r="G103" t="str">
            <v>CONCEPT CABINE DE CONDUITE</v>
          </cell>
          <cell r="M103" t="str">
            <v>F-03_CONDUITE</v>
          </cell>
          <cell r="N103" t="str">
            <v>DS</v>
          </cell>
          <cell r="O103" t="str">
            <v>SP_SPECIF</v>
          </cell>
          <cell r="Q103">
            <v>0</v>
          </cell>
          <cell r="R103" t="str">
            <v>BT</v>
          </cell>
          <cell r="S103" t="str">
            <v>BT</v>
          </cell>
          <cell r="T103" t="str">
            <v>AT</v>
          </cell>
          <cell r="U103" t="str">
            <v>Adrien Goncalves</v>
          </cell>
          <cell r="V103" t="str">
            <v>BOMBARDIER</v>
          </cell>
          <cell r="W103" t="str">
            <v>N</v>
          </cell>
          <cell r="X103" t="str">
            <v>Document contractuel FP</v>
          </cell>
          <cell r="Z103" t="str">
            <v>RTS 193 JS2 EMC 07/09/2020</v>
          </cell>
          <cell r="AA103" t="str">
            <v>E</v>
          </cell>
          <cell r="AB103" t="str">
            <v>Mécanique</v>
          </cell>
          <cell r="AC103" t="str">
            <v>EMC</v>
          </cell>
          <cell r="AD103" t="str">
            <v>ST EM.4-40093</v>
          </cell>
          <cell r="AE103" t="str">
            <v xml:space="preserve">Caisse Confort </v>
          </cell>
          <cell r="AI103">
            <v>1</v>
          </cell>
          <cell r="AL103" t="str">
            <v>FP</v>
          </cell>
          <cell r="AN103" t="str">
            <v>FD</v>
          </cell>
          <cell r="BJ103">
            <v>44008</v>
          </cell>
          <cell r="CH103" t="str">
            <v>MF19_BORD_BT_00011</v>
          </cell>
          <cell r="CI103" t="str">
            <v>AR</v>
          </cell>
          <cell r="CJ103" t="str">
            <v>FP</v>
          </cell>
        </row>
        <row r="104">
          <cell r="B104" t="str">
            <v>Ligne_40.5_PPD</v>
          </cell>
          <cell r="C104" t="str">
            <v>40.5</v>
          </cell>
          <cell r="E104" t="str">
            <v>Les dessins généraux : Ils comprennent :
• Une vue éclatée du chaudron de chaque voiture,
• Un dessin d’ensemble des organes de roulements
• Un dessin d’aménagement intérieur de chaque voiture et de la cabine 
• Un dessin d’ensemble des équipements
• Un dessin d’implantation des équipements sous-châssis et en toiture,</v>
          </cell>
          <cell r="G104" t="str">
            <v>dessin d’ensemble des équipements --&gt; renvoi à l'ensemble des STBs 62.1.1 à 62.1.39</v>
          </cell>
          <cell r="R104" t="str">
            <v>NA</v>
          </cell>
          <cell r="S104" t="str">
            <v>BT</v>
          </cell>
          <cell r="T104" t="str">
            <v>NA</v>
          </cell>
          <cell r="U104" t="str">
            <v>Adrien Goncalves</v>
          </cell>
          <cell r="AA104" t="str">
            <v>E</v>
          </cell>
          <cell r="AB104" t="str">
            <v>Mécanique</v>
          </cell>
          <cell r="AC104" t="str">
            <v>EMC</v>
          </cell>
          <cell r="AD104" t="str">
            <v>ST EM.4-40093</v>
          </cell>
          <cell r="AE104" t="str">
            <v xml:space="preserve">Caisse Confort </v>
          </cell>
          <cell r="AI104" t="str">
            <v>RENVOI</v>
          </cell>
          <cell r="AL104" t="str">
            <v>FD</v>
          </cell>
          <cell r="CH104" t="e">
            <v>#N/A</v>
          </cell>
          <cell r="CI104" t="e">
            <v>#N/A</v>
          </cell>
          <cell r="CJ104" t="e">
            <v>#N/A</v>
          </cell>
        </row>
        <row r="105">
          <cell r="A105">
            <v>100443769</v>
          </cell>
          <cell r="B105" t="str">
            <v>Ligne_40.6_PPD</v>
          </cell>
          <cell r="C105" t="str">
            <v>40.6</v>
          </cell>
          <cell r="E105" t="str">
            <v>Les dessins généraux : Ils comprennent :
• Une vue éclatée du chaudron de chaque voiture,
• Un dessin d’ensemble des organes de roulements
• Un dessin d’aménagement intérieur de chaque voiture et de la cabine 
• Un dessin d’ensemble des équipements
• Un dessin d’implantation des équipements sous-châssis et en toiture,</v>
          </cell>
          <cell r="F105" t="str">
            <v>A</v>
          </cell>
          <cell r="G105" t="str">
            <v>IMPLANTATION DES EQUIPEMENTS SOUS CHASSIS ET EN TOITURE</v>
          </cell>
          <cell r="M105" t="str">
            <v>F-02_CAISSE</v>
          </cell>
          <cell r="N105" t="str">
            <v>DD</v>
          </cell>
          <cell r="O105" t="str">
            <v>SP_SPECIF</v>
          </cell>
          <cell r="Q105">
            <v>0</v>
          </cell>
          <cell r="R105" t="str">
            <v>BT</v>
          </cell>
          <cell r="S105" t="str">
            <v>BT</v>
          </cell>
          <cell r="T105" t="str">
            <v>AT</v>
          </cell>
          <cell r="U105" t="str">
            <v>Adrien Goncalves</v>
          </cell>
          <cell r="V105" t="str">
            <v>BOMBARDIER</v>
          </cell>
          <cell r="W105" t="str">
            <v>N</v>
          </cell>
          <cell r="X105" t="str">
            <v>Document contractuel FP</v>
          </cell>
          <cell r="Z105" t="str">
            <v>RTS 193 JS2 EMC 07/09/2020</v>
          </cell>
          <cell r="AA105" t="str">
            <v>E</v>
          </cell>
          <cell r="AB105" t="str">
            <v>Mécanique</v>
          </cell>
          <cell r="AC105" t="str">
            <v>EMC</v>
          </cell>
          <cell r="AD105" t="str">
            <v>ST EM.4-40093</v>
          </cell>
          <cell r="AE105" t="str">
            <v xml:space="preserve">Caisse Confort </v>
          </cell>
          <cell r="AI105">
            <v>1</v>
          </cell>
          <cell r="AL105" t="str">
            <v>FP</v>
          </cell>
          <cell r="AN105" t="str">
            <v>FD</v>
          </cell>
          <cell r="BJ105">
            <v>43987</v>
          </cell>
          <cell r="CH105" t="str">
            <v>MF19_BORD_BT_00007</v>
          </cell>
          <cell r="CI105" t="str">
            <v>A</v>
          </cell>
          <cell r="CJ105" t="str">
            <v>FP</v>
          </cell>
        </row>
        <row r="106">
          <cell r="B106" t="str">
            <v>Ligne_41_PPD</v>
          </cell>
          <cell r="C106">
            <v>41</v>
          </cell>
          <cell r="E106" t="str">
            <v>Les caractéristiques dimensionnelles : Elles comprennent les cotes principales du train et de chaque type de voiture (intérieures et extérieures)</v>
          </cell>
          <cell r="G106" t="str">
            <v>LIVRABLE</v>
          </cell>
          <cell r="R106" t="str">
            <v>NA</v>
          </cell>
          <cell r="S106" t="str">
            <v>BT</v>
          </cell>
          <cell r="T106" t="str">
            <v>NA</v>
          </cell>
          <cell r="U106" t="str">
            <v>Alain Villain</v>
          </cell>
          <cell r="Z106" t="str">
            <v>RTS 193 JS2 EMC 07/09/2020</v>
          </cell>
          <cell r="AA106" t="str">
            <v>E</v>
          </cell>
          <cell r="AB106" t="str">
            <v>Mécanique</v>
          </cell>
          <cell r="AC106" t="str">
            <v>EMC</v>
          </cell>
          <cell r="AD106" t="str">
            <v>ST EM.4-40093</v>
          </cell>
          <cell r="AE106" t="str">
            <v xml:space="preserve">Caisse Confort </v>
          </cell>
          <cell r="AF106" t="str">
            <v>3.3</v>
          </cell>
          <cell r="AI106" t="str">
            <v>LIVRABLE</v>
          </cell>
          <cell r="AL106" t="str">
            <v>FP</v>
          </cell>
          <cell r="AN106" t="str">
            <v>FD</v>
          </cell>
          <cell r="CH106" t="e">
            <v>#N/A</v>
          </cell>
          <cell r="CI106" t="e">
            <v>#N/A</v>
          </cell>
          <cell r="CJ106" t="e">
            <v>#N/A</v>
          </cell>
        </row>
        <row r="107">
          <cell r="A107" t="str">
            <v>BTD0000009961</v>
          </cell>
          <cell r="B107" t="str">
            <v>Ligne_41.1_PPD</v>
          </cell>
          <cell r="C107" t="str">
            <v>41.1</v>
          </cell>
          <cell r="E107" t="str">
            <v>Les caractéristiques dimensionnelles : Elles comprennent les cotes principales du train et de chaque type de voiture (intérieures et extérieures)</v>
          </cell>
          <cell r="F107" t="str">
            <v>A</v>
          </cell>
          <cell r="G107" t="str">
            <v>PLAN DIMMENSIONNEL CHAUDRON S</v>
          </cell>
          <cell r="M107" t="str">
            <v>F-02_CAISSE</v>
          </cell>
          <cell r="N107" t="str">
            <v>DD</v>
          </cell>
          <cell r="O107" t="str">
            <v>PE_PLAN ENSEMBLE</v>
          </cell>
          <cell r="Q107">
            <v>0</v>
          </cell>
          <cell r="R107" t="str">
            <v>BT</v>
          </cell>
          <cell r="S107" t="str">
            <v>BT</v>
          </cell>
          <cell r="U107" t="str">
            <v>Alain Villain</v>
          </cell>
          <cell r="V107" t="str">
            <v>BOMBARDIER</v>
          </cell>
          <cell r="W107" t="str">
            <v>N</v>
          </cell>
          <cell r="X107" t="str">
            <v>Document contractuel FP</v>
          </cell>
          <cell r="Z107" t="str">
            <v>RTS 193 JS2 EMC 07/09/2020</v>
          </cell>
          <cell r="AA107" t="str">
            <v>E</v>
          </cell>
          <cell r="AB107" t="str">
            <v>Mécanique</v>
          </cell>
          <cell r="AC107" t="str">
            <v>EMC</v>
          </cell>
          <cell r="AD107" t="str">
            <v>ST EM.4-40093</v>
          </cell>
          <cell r="AE107" t="str">
            <v xml:space="preserve">Caisse Confort </v>
          </cell>
          <cell r="AF107" t="str">
            <v>3.3</v>
          </cell>
          <cell r="AI107">
            <v>1</v>
          </cell>
          <cell r="AL107" t="str">
            <v>FP</v>
          </cell>
          <cell r="AN107" t="str">
            <v>FD</v>
          </cell>
          <cell r="BJ107">
            <v>44029</v>
          </cell>
          <cell r="CH107" t="str">
            <v>MF19_BORD_BT_00015</v>
          </cell>
          <cell r="CI107" t="str">
            <v>AR</v>
          </cell>
          <cell r="CJ107" t="str">
            <v>FP</v>
          </cell>
        </row>
        <row r="108">
          <cell r="A108" t="str">
            <v>BTD0000009963</v>
          </cell>
          <cell r="B108" t="str">
            <v>Ligne_41.2_PPD</v>
          </cell>
          <cell r="C108" t="str">
            <v>41.2</v>
          </cell>
          <cell r="E108" t="str">
            <v>Les caractéristiques dimensionnelles : Elles comprennent les cotes principales du train et de chaque type de voiture (intérieures et extérieures)</v>
          </cell>
          <cell r="F108" t="str">
            <v>A</v>
          </cell>
          <cell r="G108" t="str">
            <v>PLAN DIMMENSIONNEL CHAUDRON N</v>
          </cell>
          <cell r="M108" t="str">
            <v>F-02_CAISSE</v>
          </cell>
          <cell r="N108" t="str">
            <v>DD</v>
          </cell>
          <cell r="O108" t="str">
            <v>PE_PLAN ENSEMBLE</v>
          </cell>
          <cell r="Q108">
            <v>0</v>
          </cell>
          <cell r="R108" t="str">
            <v>BT</v>
          </cell>
          <cell r="S108" t="str">
            <v>BT</v>
          </cell>
          <cell r="U108" t="str">
            <v>Alain Villain</v>
          </cell>
          <cell r="V108" t="str">
            <v>BOMBARDIER</v>
          </cell>
          <cell r="W108" t="str">
            <v>N</v>
          </cell>
          <cell r="X108" t="str">
            <v>Document contractuel FP</v>
          </cell>
          <cell r="Z108" t="str">
            <v>RTS 193 JS2 EMC 07/09/2020</v>
          </cell>
          <cell r="AA108" t="str">
            <v>E</v>
          </cell>
          <cell r="AB108" t="str">
            <v>Mécanique</v>
          </cell>
          <cell r="AC108" t="str">
            <v>EMC</v>
          </cell>
          <cell r="AD108" t="str">
            <v>ST EM.4-40093</v>
          </cell>
          <cell r="AE108" t="str">
            <v xml:space="preserve">Caisse Confort </v>
          </cell>
          <cell r="AF108" t="str">
            <v>3.3</v>
          </cell>
          <cell r="AI108">
            <v>1</v>
          </cell>
          <cell r="AL108" t="str">
            <v>FP</v>
          </cell>
          <cell r="AN108" t="str">
            <v>FD</v>
          </cell>
          <cell r="BJ108">
            <v>44029</v>
          </cell>
          <cell r="CH108" t="str">
            <v>MF19_BORD_BT_00015</v>
          </cell>
          <cell r="CI108" t="str">
            <v>A</v>
          </cell>
          <cell r="CJ108" t="str">
            <v>FP</v>
          </cell>
        </row>
        <row r="109">
          <cell r="A109">
            <v>100435128</v>
          </cell>
          <cell r="B109" t="str">
            <v>Ligne_43_PPD</v>
          </cell>
          <cell r="C109">
            <v>43</v>
          </cell>
          <cell r="E109" t="str">
            <v>Bilan masse (Note d’allocation; Note de calcul préliminaire; Note de calcul détaillée; Mise à jour note de calcul détaillée
à chaque jalon)</v>
          </cell>
          <cell r="F109" t="str">
            <v>B</v>
          </cell>
          <cell r="G109" t="str">
            <v>NOTE DE CALCUL BILAN DES MASSES</v>
          </cell>
          <cell r="M109" t="str">
            <v>SYS-04_BILAN_MASSE</v>
          </cell>
          <cell r="N109" t="str">
            <v>DS</v>
          </cell>
          <cell r="O109" t="str">
            <v>NC_NOTE DE CALCUL</v>
          </cell>
          <cell r="Q109">
            <v>0</v>
          </cell>
          <cell r="R109" t="str">
            <v>BT</v>
          </cell>
          <cell r="S109" t="str">
            <v>BT</v>
          </cell>
          <cell r="T109" t="str">
            <v>AT</v>
          </cell>
          <cell r="U109" t="str">
            <v>Abdelhak El Mokadem</v>
          </cell>
          <cell r="V109" t="str">
            <v>BOMBARDIER</v>
          </cell>
          <cell r="W109" t="str">
            <v>N</v>
          </cell>
          <cell r="X109" t="str">
            <v>Document contractuel FP</v>
          </cell>
          <cell r="Z109" t="str">
            <v>RTS 159 JS2 ETS 02/07/2020</v>
          </cell>
          <cell r="AA109" t="str">
            <v>E</v>
          </cell>
          <cell r="AB109" t="str">
            <v>Transversal</v>
          </cell>
          <cell r="AC109" t="str">
            <v>ETS</v>
          </cell>
          <cell r="AD109" t="str">
            <v>ST ET.4-10549</v>
          </cell>
          <cell r="AE109" t="str">
            <v>Masse des Matériels Roulants Ferroviaires</v>
          </cell>
          <cell r="AF109" t="str">
            <v>8.1</v>
          </cell>
          <cell r="AI109">
            <v>1</v>
          </cell>
          <cell r="AJ109" t="str">
            <v>FP</v>
          </cell>
          <cell r="AL109" t="str">
            <v>FP</v>
          </cell>
          <cell r="AN109" t="str">
            <v>FP</v>
          </cell>
          <cell r="AP109" t="str">
            <v>FD</v>
          </cell>
          <cell r="BA109" t="str">
            <v>Maj</v>
          </cell>
          <cell r="BE109" t="str">
            <v>Maj</v>
          </cell>
          <cell r="BJ109">
            <v>44008</v>
          </cell>
          <cell r="CG109" t="str">
            <v>30/09/2020 : Retiré le "barré" de la FD de JU2.T1 pour pouvoir importer dans la base arbo</v>
          </cell>
          <cell r="CH109" t="str">
            <v>MF19_BORD_BT_00011</v>
          </cell>
          <cell r="CI109" t="str">
            <v>AR</v>
          </cell>
          <cell r="CJ109" t="str">
            <v>FP</v>
          </cell>
        </row>
        <row r="110">
          <cell r="B110" t="str">
            <v>Ligne_44_PPD</v>
          </cell>
          <cell r="C110">
            <v>44</v>
          </cell>
          <cell r="E110" t="str">
            <v>Bilan des énergies :
• Pneumatique/hydraulique, comprenant la pression utilisée, la consommation horaire ou en fonctionnement,
• Electrique, comprenant la tension utilisée, la puissance des principaux produits au niveau du train, les courants de démarrage, leur mode de secours en cas d’absence HT.</v>
          </cell>
          <cell r="G110" t="str">
            <v>LIVRABLE</v>
          </cell>
          <cell r="R110" t="str">
            <v>NA</v>
          </cell>
          <cell r="S110" t="str">
            <v>AT</v>
          </cell>
          <cell r="T110" t="str">
            <v>NA</v>
          </cell>
          <cell r="U110" t="str">
            <v>NA</v>
          </cell>
          <cell r="AA110" t="str">
            <v>E</v>
          </cell>
          <cell r="AB110" t="str">
            <v>Electrique</v>
          </cell>
          <cell r="AC110" t="str">
            <v>SME/EMC</v>
          </cell>
          <cell r="AD110" t="str">
            <v>RPC MF19</v>
          </cell>
          <cell r="AF110" t="str">
            <v>8.2</v>
          </cell>
          <cell r="AI110" t="str">
            <v>LIVRABLE</v>
          </cell>
          <cell r="AJ110" t="str">
            <v>FP</v>
          </cell>
          <cell r="AL110" t="str">
            <v>FD</v>
          </cell>
          <cell r="BE110" t="str">
            <v>Maj</v>
          </cell>
          <cell r="CH110" t="e">
            <v>#N/A</v>
          </cell>
          <cell r="CI110" t="e">
            <v>#N/A</v>
          </cell>
          <cell r="CJ110" t="e">
            <v>#N/A</v>
          </cell>
        </row>
        <row r="111">
          <cell r="A111" t="str">
            <v>ADD0003308408</v>
          </cell>
          <cell r="B111" t="str">
            <v>modifié spec RATP</v>
          </cell>
          <cell r="C111" t="str">
            <v>44.1</v>
          </cell>
          <cell r="E111" t="str">
            <v>Bilan des énergies :
• Pneumatique/hydraulique, comprenant la pression utilisée, la consommation horaire ou en fonctionnement,
• Electrique, comprenant la tension utilisée, la puissance des principaux produits au niveau du train, les courants de démarrage, leur mode de secours en cas d’absence HT.</v>
          </cell>
          <cell r="F111" t="str">
            <v>C</v>
          </cell>
          <cell r="G111" t="str">
            <v>BILAN ENERGIE PNEUMATIQUE</v>
          </cell>
          <cell r="M111" t="str">
            <v>SYS-05_BILANS_ENERGETIQUES</v>
          </cell>
          <cell r="N111" t="str">
            <v>DJD</v>
          </cell>
          <cell r="O111" t="str">
            <v>NC_NOTE DE CALCUL</v>
          </cell>
          <cell r="Q111">
            <v>0</v>
          </cell>
          <cell r="R111" t="str">
            <v>VPF</v>
          </cell>
          <cell r="S111" t="str">
            <v>AT</v>
          </cell>
          <cell r="T111" t="str">
            <v>BT</v>
          </cell>
          <cell r="U111" t="str">
            <v>D.SIMON</v>
          </cell>
          <cell r="V111" t="str">
            <v xml:space="preserve">ALSTOM </v>
          </cell>
          <cell r="W111" t="str">
            <v>N</v>
          </cell>
          <cell r="X111" t="str">
            <v>Document contractuel FD</v>
          </cell>
          <cell r="AA111" t="str">
            <v>E</v>
          </cell>
          <cell r="AB111" t="str">
            <v>Electrique</v>
          </cell>
          <cell r="AC111" t="str">
            <v>EMC</v>
          </cell>
          <cell r="AD111" t="str">
            <v>SF EM.40091
ST EM.20031
ST EM.20010</v>
          </cell>
          <cell r="AF111" t="str">
            <v>8.2</v>
          </cell>
          <cell r="AI111">
            <v>1</v>
          </cell>
          <cell r="AJ111" t="str">
            <v>FP</v>
          </cell>
          <cell r="AL111" t="str">
            <v>FD</v>
          </cell>
          <cell r="BE111" t="str">
            <v>Maj</v>
          </cell>
          <cell r="BJ111">
            <v>44008</v>
          </cell>
          <cell r="CH111" t="str">
            <v>MF19_BORD_AT_00015</v>
          </cell>
          <cell r="CI111" t="str">
            <v>A</v>
          </cell>
          <cell r="CJ111" t="str">
            <v>FD</v>
          </cell>
        </row>
        <row r="112">
          <cell r="A112" t="str">
            <v>ADD0003308407</v>
          </cell>
          <cell r="B112" t="str">
            <v>Ligne_44.2_PPD</v>
          </cell>
          <cell r="C112" t="str">
            <v>44.2</v>
          </cell>
          <cell r="E112" t="str">
            <v>Bilan des énergies :
• Pneumatique/hydraulique, comprenant la pression utilisée, la consommation horaire ou en fonctionnement,
• Electrique, comprenant la tension utilisée, la puissance des principaux produits au niveau du train, les courants de démarrage, leur mode de secours en cas d’absence HT.</v>
          </cell>
          <cell r="F112" t="str">
            <v>B</v>
          </cell>
          <cell r="G112" t="str">
            <v>BILAN ENERGIE ELECTRIQUE</v>
          </cell>
          <cell r="M112" t="str">
            <v>SYS-05_BILANS_ENERGETIQUES</v>
          </cell>
          <cell r="N112" t="str">
            <v>DJD</v>
          </cell>
          <cell r="O112" t="str">
            <v>NC_NOTE DE CALCUL</v>
          </cell>
          <cell r="Q112">
            <v>0</v>
          </cell>
          <cell r="R112" t="str">
            <v>VPF</v>
          </cell>
          <cell r="S112" t="str">
            <v>AT</v>
          </cell>
          <cell r="T112" t="str">
            <v>BT</v>
          </cell>
          <cell r="U112" t="str">
            <v>T.LEROY</v>
          </cell>
          <cell r="V112" t="str">
            <v>ALSTOM</v>
          </cell>
          <cell r="W112" t="str">
            <v>N</v>
          </cell>
          <cell r="X112" t="str">
            <v>Document contractuel FD</v>
          </cell>
          <cell r="AA112" t="str">
            <v>E</v>
          </cell>
          <cell r="AB112" t="str">
            <v>Electrique</v>
          </cell>
          <cell r="AC112" t="str">
            <v>SME</v>
          </cell>
          <cell r="AD112" t="str">
            <v>RPC MF19</v>
          </cell>
          <cell r="AF112" t="str">
            <v>8.2</v>
          </cell>
          <cell r="AI112">
            <v>1</v>
          </cell>
          <cell r="AJ112" t="str">
            <v>FP</v>
          </cell>
          <cell r="AL112" t="str">
            <v>FD</v>
          </cell>
          <cell r="BE112" t="str">
            <v>Maj</v>
          </cell>
          <cell r="BJ112">
            <v>44022</v>
          </cell>
          <cell r="CH112" t="str">
            <v>MF19_BORD_AT_00029</v>
          </cell>
          <cell r="CI112" t="str">
            <v>R</v>
          </cell>
          <cell r="CJ112" t="str">
            <v>FD</v>
          </cell>
        </row>
        <row r="113">
          <cell r="A113">
            <v>100438594</v>
          </cell>
          <cell r="B113" t="str">
            <v>Ligne_45_PPD</v>
          </cell>
          <cell r="C113">
            <v>45</v>
          </cell>
          <cell r="E113" t="str">
            <v>Note de capacité en voyageurs par voiture : Elle contient par voiture et pour l’élément complet :
• Le nombre de places assises fixes,
• Le nombre de places assises relevables,
• Le nombre de voyageurs pour tous les cas de charges,
• La surface au sol complète prise par les sièges fixes, les sièges relevables, libre pour les voyageurs debout,
• La synthèse des trois premières informations pour tous les cas de charges.</v>
          </cell>
          <cell r="F113" t="str">
            <v>C</v>
          </cell>
          <cell r="G113" t="str">
            <v xml:space="preserve">DIAGRAMMES INTERIEURS ET CAPACITES </v>
          </cell>
          <cell r="M113" t="str">
            <v>080_DIAGRAMME_ET_CAPACITE</v>
          </cell>
          <cell r="N113" t="str">
            <v>DS</v>
          </cell>
          <cell r="O113" t="str">
            <v>SP_SPECIF</v>
          </cell>
          <cell r="Q113">
            <v>0</v>
          </cell>
          <cell r="R113" t="str">
            <v>BT</v>
          </cell>
          <cell r="S113" t="str">
            <v>BT</v>
          </cell>
          <cell r="U113" t="str">
            <v>Mélanie Phan</v>
          </cell>
          <cell r="V113" t="str">
            <v>BOMBARDIER</v>
          </cell>
          <cell r="W113" t="str">
            <v>N</v>
          </cell>
          <cell r="X113" t="str">
            <v>Document contractuel FD</v>
          </cell>
          <cell r="Z113" t="str">
            <v>RTS 193 JS2 EMC 07/09/2020</v>
          </cell>
          <cell r="AA113" t="str">
            <v>E</v>
          </cell>
          <cell r="AB113" t="str">
            <v>Mécanique</v>
          </cell>
          <cell r="AC113" t="str">
            <v>EMC</v>
          </cell>
          <cell r="AD113" t="str">
            <v>RPC MF19</v>
          </cell>
          <cell r="AF113" t="str">
            <v>8.2</v>
          </cell>
          <cell r="AI113">
            <v>1</v>
          </cell>
          <cell r="AJ113" t="str">
            <v>FP</v>
          </cell>
          <cell r="AL113" t="str">
            <v>FD</v>
          </cell>
          <cell r="AN113" t="str">
            <v>Maj</v>
          </cell>
          <cell r="AP113" t="str">
            <v>Maj</v>
          </cell>
          <cell r="BJ113">
            <v>44022</v>
          </cell>
          <cell r="CH113" t="str">
            <v>MF19_BORD_BT_00031</v>
          </cell>
          <cell r="CI113" t="str">
            <v>-</v>
          </cell>
          <cell r="CJ113" t="str">
            <v>FD</v>
          </cell>
        </row>
        <row r="114">
          <cell r="A114">
            <v>100435140</v>
          </cell>
          <cell r="B114" t="str">
            <v>Ligne_45.1_PPD</v>
          </cell>
          <cell r="C114" t="str">
            <v>45.1</v>
          </cell>
          <cell r="E114" t="str">
            <v>Note de capacité en voyageurs par voiture : Elle contient par voiture et pour l’élément complet :
• Le nombre de places assises fixes,
• Le nombre de places assises relevables,
• Le nombre de voyageurs pour tous les cas de charges,
• La surface au sol complète prise par les sièges fixes, les sièges relevables, libre pour les voyageurs debout,
• La synthèse des trois premières informations pour tous les cas de charges.</v>
          </cell>
          <cell r="F114" t="str">
            <v>G</v>
          </cell>
          <cell r="G114" t="str">
            <v>RAME 5 CAISSES 2+1 76m</v>
          </cell>
          <cell r="M114" t="str">
            <v>080_DIAGRAMME_ET_CAPACITE</v>
          </cell>
          <cell r="N114" t="str">
            <v>DD</v>
          </cell>
          <cell r="O114" t="str">
            <v>PE_PLAN ENSEMBLE</v>
          </cell>
          <cell r="Q114">
            <v>0</v>
          </cell>
          <cell r="R114" t="str">
            <v>BT</v>
          </cell>
          <cell r="S114" t="str">
            <v>BT</v>
          </cell>
          <cell r="U114" t="str">
            <v>Mélanie Phan</v>
          </cell>
          <cell r="V114" t="str">
            <v>BOMBARDIER</v>
          </cell>
          <cell r="W114" t="str">
            <v>N</v>
          </cell>
          <cell r="X114" t="str">
            <v>Document contractuel FD</v>
          </cell>
          <cell r="Z114" t="str">
            <v>RTS 193 JS2 EMC 07/09/2020</v>
          </cell>
          <cell r="AA114" t="str">
            <v>E</v>
          </cell>
          <cell r="AB114" t="str">
            <v>Mécanique</v>
          </cell>
          <cell r="AC114" t="str">
            <v>EMC</v>
          </cell>
          <cell r="AD114" t="str">
            <v>RPC MF19</v>
          </cell>
          <cell r="AF114" t="str">
            <v>8.2</v>
          </cell>
          <cell r="AI114">
            <v>1</v>
          </cell>
          <cell r="AL114" t="str">
            <v>FD</v>
          </cell>
          <cell r="AN114" t="str">
            <v>Maj</v>
          </cell>
          <cell r="AP114" t="str">
            <v>Maj</v>
          </cell>
          <cell r="BJ114">
            <v>44022</v>
          </cell>
          <cell r="CH114" t="str">
            <v>MF19_BORD_BT_00031</v>
          </cell>
          <cell r="CI114" t="str">
            <v>-</v>
          </cell>
          <cell r="CJ114" t="str">
            <v>FD</v>
          </cell>
        </row>
        <row r="115">
          <cell r="A115">
            <v>100435141</v>
          </cell>
          <cell r="B115" t="str">
            <v>Ligne_45.2_PPD</v>
          </cell>
          <cell r="C115" t="str">
            <v>45.2</v>
          </cell>
          <cell r="E115" t="str">
            <v>Note de capacité en voyageurs par voiture : Elle contient par voiture et pour l’élément complet :
• Le nombre de places assises fixes,
• Le nombre de places assises relevables,
• Le nombre de voyageurs pour tous les cas de charges,
• La surface au sol complète prise par les sièges fixes, les sièges relevables, libre pour les voyageurs debout,
• La synthèse des trois premières informations pour tous les cas de charges.</v>
          </cell>
          <cell r="F115" t="str">
            <v>G</v>
          </cell>
          <cell r="G115" t="str">
            <v>RAME 5 CAISSES 2+1 77,44m</v>
          </cell>
          <cell r="M115" t="str">
            <v>080_DIAGRAMME_ET_CAPACITE</v>
          </cell>
          <cell r="N115" t="str">
            <v>DD</v>
          </cell>
          <cell r="O115" t="str">
            <v>PE_PLAN ENSEMBLE</v>
          </cell>
          <cell r="Q115">
            <v>0</v>
          </cell>
          <cell r="R115" t="str">
            <v>BT</v>
          </cell>
          <cell r="S115" t="str">
            <v>BT</v>
          </cell>
          <cell r="U115" t="str">
            <v>Mélanie Phan</v>
          </cell>
          <cell r="V115" t="str">
            <v>BOMBARDIER</v>
          </cell>
          <cell r="W115" t="str">
            <v>N</v>
          </cell>
          <cell r="X115" t="str">
            <v>Document contractuel FD</v>
          </cell>
          <cell r="Z115" t="str">
            <v>RTS 193 JS2 EMC 07/09/2020</v>
          </cell>
          <cell r="AA115" t="str">
            <v>E</v>
          </cell>
          <cell r="AB115" t="str">
            <v>Mécanique</v>
          </cell>
          <cell r="AC115" t="str">
            <v>EMC</v>
          </cell>
          <cell r="AD115" t="str">
            <v>RPC MF19</v>
          </cell>
          <cell r="AF115" t="str">
            <v>8.2</v>
          </cell>
          <cell r="AI115">
            <v>1</v>
          </cell>
          <cell r="AL115" t="str">
            <v>FD</v>
          </cell>
          <cell r="AN115" t="str">
            <v>Maj</v>
          </cell>
          <cell r="AP115" t="str">
            <v>Maj</v>
          </cell>
          <cell r="BJ115">
            <v>44022</v>
          </cell>
          <cell r="CH115" t="str">
            <v>MF19_BORD_BT_00031</v>
          </cell>
          <cell r="CI115" t="str">
            <v>-</v>
          </cell>
          <cell r="CJ115" t="str">
            <v>FD</v>
          </cell>
        </row>
        <row r="116">
          <cell r="A116">
            <v>100435142</v>
          </cell>
          <cell r="B116" t="str">
            <v>Ligne_45.3_PPD</v>
          </cell>
          <cell r="C116" t="str">
            <v>45.3</v>
          </cell>
          <cell r="E116" t="str">
            <v>Note de capacité en voyageurs par voiture : Elle contient par voiture et pour l’élément complet :
• Le nombre de places assises fixes,
• Le nombre de places assises relevables,
• Le nombre de voyageurs pour tous les cas de charges,
• La surface au sol complète prise par les sièges fixes, les sièges relevables, libre pour les voyageurs debout,
• La synthèse des trois premières informations pour tous les cas de charges.</v>
          </cell>
          <cell r="F116" t="str">
            <v>G</v>
          </cell>
          <cell r="G116" t="str">
            <v>RAME 4 CAISSES 2+1 60,86m</v>
          </cell>
          <cell r="M116" t="str">
            <v>080_DIAGRAMME_ET_CAPACITE</v>
          </cell>
          <cell r="N116" t="str">
            <v>DD</v>
          </cell>
          <cell r="O116" t="str">
            <v>PE_PLAN ENSEMBLE</v>
          </cell>
          <cell r="Q116">
            <v>0</v>
          </cell>
          <cell r="R116" t="str">
            <v>BT</v>
          </cell>
          <cell r="S116" t="str">
            <v>BT</v>
          </cell>
          <cell r="U116" t="str">
            <v>Mélanie Phan</v>
          </cell>
          <cell r="V116" t="str">
            <v>BOMBARDIER</v>
          </cell>
          <cell r="W116" t="str">
            <v>N</v>
          </cell>
          <cell r="X116" t="str">
            <v>Document contractuel FD</v>
          </cell>
          <cell r="Z116" t="str">
            <v>RTS 193 JS2 EMC 07/09/2020</v>
          </cell>
          <cell r="AA116" t="str">
            <v>E</v>
          </cell>
          <cell r="AB116" t="str">
            <v>Mécanique</v>
          </cell>
          <cell r="AC116" t="str">
            <v>EMC</v>
          </cell>
          <cell r="AD116" t="str">
            <v>RPC MF19</v>
          </cell>
          <cell r="AF116" t="str">
            <v>8.2</v>
          </cell>
          <cell r="AI116">
            <v>1</v>
          </cell>
          <cell r="AL116" t="str">
            <v>FD</v>
          </cell>
          <cell r="AN116" t="str">
            <v>Maj</v>
          </cell>
          <cell r="AP116" t="str">
            <v>Maj</v>
          </cell>
          <cell r="BJ116">
            <v>44022</v>
          </cell>
          <cell r="CH116" t="str">
            <v>MF19_BORD_BT_00031</v>
          </cell>
          <cell r="CI116" t="str">
            <v>-</v>
          </cell>
          <cell r="CJ116" t="str">
            <v>FD</v>
          </cell>
        </row>
        <row r="117">
          <cell r="A117">
            <v>100435143</v>
          </cell>
          <cell r="B117" t="str">
            <v>Ligne_45.4_PPD</v>
          </cell>
          <cell r="C117" t="str">
            <v>45.4</v>
          </cell>
          <cell r="E117" t="str">
            <v>Note de capacité en voyageurs par voiture : Elle contient par voiture et pour l’élément complet :
• Le nombre de places assises fixes,
• Le nombre de places assises relevables,
• Le nombre de voyageurs pour tous les cas de charges,
• La surface au sol complète prise par les sièges fixes, les sièges relevables, libre pour les voyageurs debout,
• La synthèse des trois premières informations pour tous les cas de charges.</v>
          </cell>
          <cell r="F117" t="str">
            <v>E</v>
          </cell>
          <cell r="G117" t="str">
            <v>RAME 4 CAISSES 1+1 60,86m</v>
          </cell>
          <cell r="M117" t="str">
            <v>080_DIAGRAMME_ET_CAPACITE</v>
          </cell>
          <cell r="N117" t="str">
            <v>DD</v>
          </cell>
          <cell r="O117" t="str">
            <v>PE_PLAN ENSEMBLE</v>
          </cell>
          <cell r="Q117">
            <v>0</v>
          </cell>
          <cell r="R117" t="str">
            <v>BT</v>
          </cell>
          <cell r="S117" t="str">
            <v>BT</v>
          </cell>
          <cell r="U117" t="str">
            <v>Mélanie Phan</v>
          </cell>
          <cell r="V117" t="str">
            <v>BOMBARDIER</v>
          </cell>
          <cell r="W117" t="str">
            <v>N</v>
          </cell>
          <cell r="X117" t="str">
            <v>Document contractuel FD</v>
          </cell>
          <cell r="Z117" t="str">
            <v>RTS 193 JS2 EMC 07/09/2020</v>
          </cell>
          <cell r="AA117" t="str">
            <v>E</v>
          </cell>
          <cell r="AB117" t="str">
            <v>Mécanique</v>
          </cell>
          <cell r="AC117" t="str">
            <v>EMC</v>
          </cell>
          <cell r="AD117" t="str">
            <v>RPC MF19</v>
          </cell>
          <cell r="AF117" t="str">
            <v>8.2</v>
          </cell>
          <cell r="AI117">
            <v>1</v>
          </cell>
          <cell r="AL117" t="str">
            <v>FD</v>
          </cell>
          <cell r="AN117" t="str">
            <v>Maj</v>
          </cell>
          <cell r="AP117" t="str">
            <v>Maj</v>
          </cell>
          <cell r="BJ117">
            <v>44022</v>
          </cell>
          <cell r="CH117" t="str">
            <v>MF19_BORD_BT_00031</v>
          </cell>
          <cell r="CI117" t="str">
            <v>-</v>
          </cell>
          <cell r="CJ117" t="str">
            <v>FD</v>
          </cell>
        </row>
        <row r="118">
          <cell r="A118">
            <v>100435144</v>
          </cell>
          <cell r="B118" t="str">
            <v>Ligne_45.5_PPD</v>
          </cell>
          <cell r="C118" t="str">
            <v>45.5</v>
          </cell>
          <cell r="E118" t="str">
            <v>Note de capacité en voyageurs par voiture : Elle contient par voiture et pour l’élément complet :
• Le nombre de places assises fixes,
• Le nombre de places assises relevables,
• Le nombre de voyageurs pour tous les cas de charges,
• La surface au sol complète prise par les sièges fixes, les sièges relevables, libre pour les voyageurs debout,
• La synthèse des trois premières informations pour tous les cas de charges.</v>
          </cell>
          <cell r="F118" t="str">
            <v>G</v>
          </cell>
          <cell r="G118" t="str">
            <v>RAME 5 CAISSES 1+1 76m</v>
          </cell>
          <cell r="M118" t="str">
            <v>080_DIAGRAMME_ET_CAPACITE</v>
          </cell>
          <cell r="N118" t="str">
            <v>DD</v>
          </cell>
          <cell r="O118" t="str">
            <v>PE_PLAN ENSEMBLE</v>
          </cell>
          <cell r="Q118">
            <v>0</v>
          </cell>
          <cell r="R118" t="str">
            <v>BT</v>
          </cell>
          <cell r="S118" t="str">
            <v>BT</v>
          </cell>
          <cell r="U118" t="str">
            <v>Mélanie Phan</v>
          </cell>
          <cell r="V118" t="str">
            <v>BOMBARDIER</v>
          </cell>
          <cell r="W118" t="str">
            <v>N</v>
          </cell>
          <cell r="X118" t="str">
            <v>Document contractuel FD</v>
          </cell>
          <cell r="Z118" t="str">
            <v>RTS 193 JS2 EMC 07/09/2020</v>
          </cell>
          <cell r="AA118" t="str">
            <v>E</v>
          </cell>
          <cell r="AB118" t="str">
            <v>Mécanique</v>
          </cell>
          <cell r="AC118" t="str">
            <v>EMC</v>
          </cell>
          <cell r="AD118" t="str">
            <v>RPC MF19</v>
          </cell>
          <cell r="AF118" t="str">
            <v>8.2</v>
          </cell>
          <cell r="AI118">
            <v>1</v>
          </cell>
          <cell r="AL118" t="str">
            <v>FD</v>
          </cell>
          <cell r="AN118" t="str">
            <v>Maj</v>
          </cell>
          <cell r="AP118" t="str">
            <v>Maj</v>
          </cell>
          <cell r="BJ118">
            <v>44022</v>
          </cell>
          <cell r="CH118" t="str">
            <v>MF19_BORD_BT_00031</v>
          </cell>
          <cell r="CI118" t="str">
            <v>-</v>
          </cell>
          <cell r="CJ118" t="str">
            <v>FD</v>
          </cell>
        </row>
        <row r="119">
          <cell r="A119">
            <v>100435145</v>
          </cell>
          <cell r="B119" t="str">
            <v>Ligne_45.6_PPD</v>
          </cell>
          <cell r="C119" t="str">
            <v>45.6</v>
          </cell>
          <cell r="E119" t="str">
            <v>Note de capacité en voyageurs par voiture : Elle contient par voiture et pour l’élément complet :
• Le nombre de places assises fixes,
• Le nombre de places assises relevables,
• Le nombre de voyageurs pour tous les cas de charges,
• La surface au sol complète prise par les sièges fixes, les sièges relevables, libre pour les voyageurs debout,
• La synthèse des trois premières informations pour tous les cas de charges.</v>
          </cell>
          <cell r="F119" t="str">
            <v>G</v>
          </cell>
          <cell r="G119" t="str">
            <v>RAME 5 CAISSES 1+1 77,44m</v>
          </cell>
          <cell r="M119" t="str">
            <v>080_DIAGRAMME_ET_CAPACITE</v>
          </cell>
          <cell r="N119" t="str">
            <v>DD</v>
          </cell>
          <cell r="O119" t="str">
            <v>PE_PLAN ENSEMBLE</v>
          </cell>
          <cell r="Q119">
            <v>0</v>
          </cell>
          <cell r="R119" t="str">
            <v>BT</v>
          </cell>
          <cell r="S119" t="str">
            <v>BT</v>
          </cell>
          <cell r="U119" t="str">
            <v>Mélanie Phan</v>
          </cell>
          <cell r="V119" t="str">
            <v>BOMBARDIER</v>
          </cell>
          <cell r="W119" t="str">
            <v>N</v>
          </cell>
          <cell r="X119" t="str">
            <v>Document contractuel FD</v>
          </cell>
          <cell r="Z119" t="str">
            <v>RTS 193 JS2 EMC 07/09/2020</v>
          </cell>
          <cell r="AA119" t="str">
            <v>E</v>
          </cell>
          <cell r="AB119" t="str">
            <v>Mécanique</v>
          </cell>
          <cell r="AC119" t="str">
            <v>EMC</v>
          </cell>
          <cell r="AD119" t="str">
            <v>RPC MF19</v>
          </cell>
          <cell r="AF119" t="str">
            <v>8.2</v>
          </cell>
          <cell r="AI119">
            <v>1</v>
          </cell>
          <cell r="AL119" t="str">
            <v>FD</v>
          </cell>
          <cell r="AN119" t="str">
            <v>Maj</v>
          </cell>
          <cell r="AP119" t="str">
            <v>Maj</v>
          </cell>
          <cell r="BJ119">
            <v>44022</v>
          </cell>
          <cell r="CH119" t="str">
            <v>MF19_BORD_BT_00031</v>
          </cell>
          <cell r="CI119" t="str">
            <v>-</v>
          </cell>
          <cell r="CJ119" t="str">
            <v>FD</v>
          </cell>
        </row>
        <row r="120">
          <cell r="A120">
            <v>100435146</v>
          </cell>
          <cell r="B120" t="str">
            <v>Ligne_45.7_PPD</v>
          </cell>
          <cell r="C120" t="str">
            <v>45.7</v>
          </cell>
          <cell r="E120" t="str">
            <v>Note de capacité en voyageurs par voiture : Elle contient par voiture et pour l’élément complet :
• Le nombre de places assises fixes,
• Le nombre de places assises relevables,
• Le nombre de voyageurs pour tous les cas de charges,
• La surface au sol complète prise par les sièges fixes, les sièges relevables, libre pour les voyageurs debout,
• La synthèse des trois premières informations pour tous les cas de charges.</v>
          </cell>
          <cell r="F120" t="str">
            <v>G</v>
          </cell>
          <cell r="G120" t="str">
            <v>SECTION VEHICULE</v>
          </cell>
          <cell r="M120" t="str">
            <v>080_DIAGRAMME_ET_CAPACITE</v>
          </cell>
          <cell r="N120" t="str">
            <v>DD</v>
          </cell>
          <cell r="O120" t="str">
            <v>PE_PLAN ENSEMBLE</v>
          </cell>
          <cell r="Q120">
            <v>0</v>
          </cell>
          <cell r="R120" t="str">
            <v>BT</v>
          </cell>
          <cell r="S120" t="str">
            <v>BT</v>
          </cell>
          <cell r="U120" t="str">
            <v>Mélanie Phan</v>
          </cell>
          <cell r="V120" t="str">
            <v>BOMBARDIER</v>
          </cell>
          <cell r="W120" t="str">
            <v>N</v>
          </cell>
          <cell r="X120" t="str">
            <v>Document contractuel FD</v>
          </cell>
          <cell r="Z120" t="str">
            <v>RTS 193 JS2 EMC 07/09/2020</v>
          </cell>
          <cell r="AA120" t="str">
            <v>E</v>
          </cell>
          <cell r="AB120" t="str">
            <v>Mécanique</v>
          </cell>
          <cell r="AC120" t="str">
            <v>EMC</v>
          </cell>
          <cell r="AD120" t="str">
            <v>RPC MF19</v>
          </cell>
          <cell r="AF120" t="str">
            <v>8.2</v>
          </cell>
          <cell r="AI120">
            <v>1</v>
          </cell>
          <cell r="AL120" t="str">
            <v>FD</v>
          </cell>
          <cell r="AN120" t="str">
            <v>Maj</v>
          </cell>
          <cell r="AP120" t="str">
            <v>Maj</v>
          </cell>
          <cell r="BJ120">
            <v>44022</v>
          </cell>
          <cell r="CH120" t="str">
            <v>MF19_BORD_BT_00031</v>
          </cell>
          <cell r="CI120" t="str">
            <v>-</v>
          </cell>
          <cell r="CJ120" t="str">
            <v>FD</v>
          </cell>
        </row>
        <row r="121">
          <cell r="A121">
            <v>100435147</v>
          </cell>
          <cell r="B121" t="str">
            <v>Ligne_45.8_PPD</v>
          </cell>
          <cell r="C121" t="str">
            <v>45.8</v>
          </cell>
          <cell r="E121" t="str">
            <v>Note de capacité en voyageurs par voiture : Elle contient par voiture et pour l’élément complet :
• Le nombre de places assises fixes,
• Le nombre de places assises relevables,
• Le nombre de voyageurs pour tous les cas de charges,
• La surface au sol complète prise par les sièges fixes, les sièges relevables, libre pour les voyageurs debout,
• La synthèse des trois premières informations pour tous les cas de charges.</v>
          </cell>
          <cell r="F121" t="str">
            <v>J</v>
          </cell>
          <cell r="G121" t="str">
            <v>DIAGRAMME 4 CAISSES A CAPACITE REDUITE 60,86m</v>
          </cell>
          <cell r="M121" t="str">
            <v>080_DIAGRAMME_ET_CAPACITE</v>
          </cell>
          <cell r="N121" t="str">
            <v>DD</v>
          </cell>
          <cell r="O121" t="str">
            <v>PE_PLAN ENSEMBLE</v>
          </cell>
          <cell r="Q121">
            <v>0</v>
          </cell>
          <cell r="R121" t="str">
            <v>BT</v>
          </cell>
          <cell r="S121" t="str">
            <v>BT</v>
          </cell>
          <cell r="U121" t="str">
            <v>Mélanie Phan</v>
          </cell>
          <cell r="V121" t="str">
            <v>BOMBARDIER</v>
          </cell>
          <cell r="W121" t="str">
            <v>N</v>
          </cell>
          <cell r="X121" t="str">
            <v>Document contractuel FD</v>
          </cell>
          <cell r="Z121" t="str">
            <v>RTS 193 JS2 EMC 07/09/2020</v>
          </cell>
          <cell r="AA121" t="str">
            <v>E</v>
          </cell>
          <cell r="AB121" t="str">
            <v>Mécanique</v>
          </cell>
          <cell r="AC121" t="str">
            <v>EMC</v>
          </cell>
          <cell r="AD121" t="str">
            <v>RPC MF19</v>
          </cell>
          <cell r="AF121" t="str">
            <v>8.2</v>
          </cell>
          <cell r="AI121">
            <v>1</v>
          </cell>
          <cell r="AL121" t="str">
            <v>FD</v>
          </cell>
          <cell r="AN121" t="str">
            <v>Maj</v>
          </cell>
          <cell r="AP121" t="str">
            <v>Maj</v>
          </cell>
          <cell r="BJ121">
            <v>44022</v>
          </cell>
          <cell r="CH121" t="str">
            <v>MF19_BORD_BT_00031</v>
          </cell>
          <cell r="CI121" t="str">
            <v>-</v>
          </cell>
          <cell r="CJ121" t="str">
            <v>FD</v>
          </cell>
        </row>
        <row r="122">
          <cell r="A122">
            <v>100447028</v>
          </cell>
          <cell r="B122" t="str">
            <v>Ligne_45.9_PPD</v>
          </cell>
          <cell r="C122" t="str">
            <v>45.9</v>
          </cell>
          <cell r="E122" t="str">
            <v>Note de capacité en voyageurs par voiture : Elle contient par voiture et pour l’élément complet :
• Le nombre de places assises fixes,
• Le nombre de places assises relevables,
• Le nombre de voyageurs pour tous les cas de charges,
• La surface au sol complète prise par les sièges fixes, les sièges relevables, libre pour les voyageurs debout,
• La synthèse des trois premières informations pour tous les cas de charges.</v>
          </cell>
          <cell r="F122" t="str">
            <v>B</v>
          </cell>
          <cell r="G122" t="str">
            <v>DIAGRAMME HYPOCAPACITAIRE</v>
          </cell>
          <cell r="M122" t="str">
            <v>080_DIAGRAMME_ET_CAPACITE</v>
          </cell>
          <cell r="N122" t="str">
            <v>DS</v>
          </cell>
          <cell r="O122" t="str">
            <v>SP_SPECIF</v>
          </cell>
          <cell r="Q122">
            <v>0</v>
          </cell>
          <cell r="R122" t="str">
            <v>BT</v>
          </cell>
          <cell r="S122" t="str">
            <v>BT</v>
          </cell>
          <cell r="U122" t="str">
            <v>Mélanie Phan</v>
          </cell>
          <cell r="V122" t="str">
            <v>BOMBARDIER</v>
          </cell>
          <cell r="W122" t="str">
            <v>N</v>
          </cell>
          <cell r="X122" t="str">
            <v>Document contractuel FD</v>
          </cell>
          <cell r="Z122" t="str">
            <v>RTS 193 JS2 EMC 07/09/2020</v>
          </cell>
          <cell r="AA122" t="str">
            <v>E</v>
          </cell>
          <cell r="AB122" t="str">
            <v>Mécanique</v>
          </cell>
          <cell r="AC122" t="str">
            <v>EMC</v>
          </cell>
          <cell r="AD122" t="str">
            <v>RPC MF19</v>
          </cell>
          <cell r="AF122" t="str">
            <v>8.2</v>
          </cell>
          <cell r="AI122">
            <v>1</v>
          </cell>
          <cell r="AL122" t="str">
            <v>FD</v>
          </cell>
          <cell r="AN122" t="str">
            <v>Maj</v>
          </cell>
          <cell r="AP122" t="str">
            <v>Maj</v>
          </cell>
          <cell r="BJ122">
            <v>44022</v>
          </cell>
          <cell r="CH122" t="str">
            <v>MF19_BORD_BT_00031</v>
          </cell>
          <cell r="CI122" t="str">
            <v>-</v>
          </cell>
          <cell r="CJ122" t="str">
            <v>FD</v>
          </cell>
        </row>
        <row r="123">
          <cell r="B123" t="str">
            <v>Ligne_46_PPD</v>
          </cell>
          <cell r="C123">
            <v>46</v>
          </cell>
          <cell r="E123" t="str">
            <v>L'architecture réseau du logiciel : Le besoin selon le type de composant programmable est exprimé par la Spécification Technique ST-MRF EZ.4-20051 et / ou ST-MRF EZ.4-20055.</v>
          </cell>
          <cell r="G123" t="str">
            <v>renvoi au livrable 39</v>
          </cell>
          <cell r="R123" t="str">
            <v>NA</v>
          </cell>
          <cell r="S123" t="str">
            <v>AT</v>
          </cell>
          <cell r="T123" t="str">
            <v>NA</v>
          </cell>
          <cell r="U123" t="str">
            <v>NA</v>
          </cell>
          <cell r="Z123" t="str">
            <v>RTS 174 JS2 EAI 20/07/2020</v>
          </cell>
          <cell r="AA123" t="str">
            <v>E</v>
          </cell>
          <cell r="AB123" t="str">
            <v>Logiciel</v>
          </cell>
          <cell r="AC123" t="str">
            <v>EAI</v>
          </cell>
          <cell r="AD123" t="str">
            <v>ST EZ.4-20051 
ST EZ.4-20055</v>
          </cell>
          <cell r="AE123" t="str">
            <v>Spécification pour la réalisation des logiciels embarqués
Composants électroniques complexes</v>
          </cell>
          <cell r="AF123" t="str">
            <v>9.3.2</v>
          </cell>
          <cell r="AI123" t="str">
            <v>RENVOI</v>
          </cell>
          <cell r="AL123" t="str">
            <v>FP</v>
          </cell>
          <cell r="AN123" t="str">
            <v>FP</v>
          </cell>
          <cell r="AP123" t="str">
            <v>FD</v>
          </cell>
          <cell r="CH123" t="e">
            <v>#N/A</v>
          </cell>
          <cell r="CI123" t="e">
            <v>#N/A</v>
          </cell>
          <cell r="CJ123" t="e">
            <v>#N/A</v>
          </cell>
        </row>
        <row r="124">
          <cell r="B124" t="str">
            <v>Ligne_46.1_PPD</v>
          </cell>
          <cell r="C124" t="str">
            <v>46.1</v>
          </cell>
          <cell r="E124" t="str">
            <v>L'architecture réseau du logiciel : Le besoin selon le type de composant programmable est exprimé par la Spécification Technique ST-MRF EZ.4-20051 et / ou ST-MRF EZ.4-20055.</v>
          </cell>
          <cell r="G124" t="str">
            <v>DEFINITION DETAILLEE DE L'ARCHITECTURE RESEAU inclus dans doc 39</v>
          </cell>
          <cell r="R124" t="str">
            <v>NA</v>
          </cell>
          <cell r="S124" t="str">
            <v>AT</v>
          </cell>
          <cell r="T124" t="str">
            <v>NA</v>
          </cell>
          <cell r="U124" t="str">
            <v>C.SION</v>
          </cell>
          <cell r="Z124" t="str">
            <v>RTS 174 JS2 EAI 20/07/2020</v>
          </cell>
          <cell r="AA124" t="str">
            <v>E</v>
          </cell>
          <cell r="AB124" t="str">
            <v>Logiciel</v>
          </cell>
          <cell r="AC124" t="str">
            <v>EAI</v>
          </cell>
          <cell r="AD124" t="str">
            <v>ST EZ.4-20051 
ST EZ.4-20055</v>
          </cell>
          <cell r="AE124" t="str">
            <v>Spécification pour la réalisation des logiciels embarqués
Composants électroniques complexes</v>
          </cell>
          <cell r="AF124" t="str">
            <v>9.3.2.1</v>
          </cell>
          <cell r="AI124" t="str">
            <v>RENVOI</v>
          </cell>
          <cell r="AN124" t="str">
            <v>FD</v>
          </cell>
          <cell r="AP124" t="str">
            <v>FD</v>
          </cell>
          <cell r="CH124" t="e">
            <v>#N/A</v>
          </cell>
          <cell r="CI124" t="e">
            <v>#N/A</v>
          </cell>
          <cell r="CJ124" t="e">
            <v>#N/A</v>
          </cell>
        </row>
        <row r="125">
          <cell r="B125" t="str">
            <v>Ligne_46.2_PPD</v>
          </cell>
          <cell r="C125" t="str">
            <v>46.2</v>
          </cell>
          <cell r="E125" t="str">
            <v>L'architecture réseau du logiciel : Le besoin selon le type de composant programmable est exprimé par la Spécification Technique ST-MRF EZ.4-20051 et / ou ST-MRF EZ.4-20055.</v>
          </cell>
          <cell r="G125" t="str">
            <v>ANALYSE DES PERFORMANCE inclus dans doc 39</v>
          </cell>
          <cell r="R125" t="str">
            <v>NA</v>
          </cell>
          <cell r="S125" t="str">
            <v>AT</v>
          </cell>
          <cell r="T125" t="str">
            <v>NA</v>
          </cell>
          <cell r="U125" t="str">
            <v>C.SION</v>
          </cell>
          <cell r="Z125" t="str">
            <v>RTS 174 JS2 EAI 20/07/2020</v>
          </cell>
          <cell r="AA125" t="str">
            <v>E</v>
          </cell>
          <cell r="AB125" t="str">
            <v>Logiciel</v>
          </cell>
          <cell r="AC125" t="str">
            <v>EAI</v>
          </cell>
          <cell r="AD125" t="str">
            <v>ST EZ.4-20051 
ST EZ.4-20055</v>
          </cell>
          <cell r="AE125" t="str">
            <v>Spécification pour la réalisation des logiciels embarqués
Composants électroniques complexes</v>
          </cell>
          <cell r="AF125" t="str">
            <v>9.3.2.2</v>
          </cell>
          <cell r="AI125" t="str">
            <v>RENVOI</v>
          </cell>
          <cell r="AN125" t="str">
            <v>FD</v>
          </cell>
          <cell r="AP125" t="str">
            <v>FD</v>
          </cell>
          <cell r="CH125" t="e">
            <v>#N/A</v>
          </cell>
          <cell r="CI125" t="e">
            <v>#N/A</v>
          </cell>
          <cell r="CJ125" t="e">
            <v>#N/A</v>
          </cell>
        </row>
        <row r="126">
          <cell r="B126" t="str">
            <v>Ligne_46.3_PPD</v>
          </cell>
          <cell r="C126" t="str">
            <v>46.3</v>
          </cell>
          <cell r="E126" t="str">
            <v>L'architecture réseau du logiciel : Le besoin selon le type de composant programmable est exprimé par la Spécification Technique ST-MRF EZ.4-20051 et / ou ST-MRF EZ.4-20055.</v>
          </cell>
          <cell r="G126" t="str">
            <v>JUSTIFICATION DE L'INTERCONNEXION DES RESEAUX inclus dans doc 39</v>
          </cell>
          <cell r="R126" t="str">
            <v>NA</v>
          </cell>
          <cell r="S126" t="str">
            <v>AT</v>
          </cell>
          <cell r="T126" t="str">
            <v>NA</v>
          </cell>
          <cell r="U126" t="str">
            <v>C.SION</v>
          </cell>
          <cell r="Z126" t="str">
            <v>RTS 174 JS2 EAI 20/07/2020</v>
          </cell>
          <cell r="AA126" t="str">
            <v>E</v>
          </cell>
          <cell r="AB126" t="str">
            <v>Logiciel</v>
          </cell>
          <cell r="AC126" t="str">
            <v>EAI</v>
          </cell>
          <cell r="AD126" t="str">
            <v>ST EZ.4-20051 
ST EZ.4-20055</v>
          </cell>
          <cell r="AE126" t="str">
            <v>Spécification pour la réalisation des logiciels embarqués
Composants électroniques complexes</v>
          </cell>
          <cell r="AF126" t="str">
            <v>9.3.2.3</v>
          </cell>
          <cell r="AI126" t="str">
            <v>RENVOI</v>
          </cell>
          <cell r="AN126" t="str">
            <v>FD</v>
          </cell>
          <cell r="AP126" t="str">
            <v>FD</v>
          </cell>
          <cell r="CH126" t="e">
            <v>#N/A</v>
          </cell>
          <cell r="CI126" t="e">
            <v>#N/A</v>
          </cell>
          <cell r="CJ126" t="e">
            <v>#N/A</v>
          </cell>
        </row>
        <row r="127">
          <cell r="B127" t="str">
            <v>Ligne_46.4_PPD</v>
          </cell>
          <cell r="C127" t="str">
            <v>46.4</v>
          </cell>
          <cell r="E127" t="str">
            <v>L'architecture réseau du logiciel : Le besoin selon le type de composant programmable est exprimé par la Spécification Technique ST-MRF EZ.4-20051 et / ou ST-MRF EZ.4-20055.</v>
          </cell>
          <cell r="G127" t="str">
            <v>JUSTIFICATION DE L’ARCHITECTURE RESEAU PAR RAPPORT AUX BESOINS OPERATIONNELS inclus dans doc 39</v>
          </cell>
          <cell r="R127" t="str">
            <v>NA</v>
          </cell>
          <cell r="S127" t="str">
            <v>AT</v>
          </cell>
          <cell r="T127" t="str">
            <v>NA</v>
          </cell>
          <cell r="U127" t="str">
            <v>C.SION</v>
          </cell>
          <cell r="Z127" t="str">
            <v>RTS 174 JS2 EAI 20/07/2020</v>
          </cell>
          <cell r="AA127" t="str">
            <v>E</v>
          </cell>
          <cell r="AB127" t="str">
            <v>Logiciel</v>
          </cell>
          <cell r="AC127" t="str">
            <v>EAI</v>
          </cell>
          <cell r="AD127" t="str">
            <v>ST EZ.4-20051 
ST EZ.4-20055</v>
          </cell>
          <cell r="AE127" t="str">
            <v>Spécification pour la réalisation des logiciels embarqués
Composants électroniques complexes</v>
          </cell>
          <cell r="AF127" t="str">
            <v>9.3.2.4</v>
          </cell>
          <cell r="AI127" t="str">
            <v>RENVOI</v>
          </cell>
          <cell r="AN127" t="str">
            <v>FD</v>
          </cell>
          <cell r="AP127" t="str">
            <v>FD</v>
          </cell>
          <cell r="CH127" t="e">
            <v>#N/A</v>
          </cell>
          <cell r="CI127" t="e">
            <v>#N/A</v>
          </cell>
          <cell r="CJ127" t="e">
            <v>#N/A</v>
          </cell>
        </row>
        <row r="128">
          <cell r="B128" t="str">
            <v>Ligne_46.5_PPD</v>
          </cell>
          <cell r="C128" t="str">
            <v>46.5</v>
          </cell>
          <cell r="E128" t="str">
            <v>L'architecture réseau du logiciel : Le besoin selon le type de composant programmable est exprimé par la Spécification Technique ST-MRF EZ.4-20051 et / ou ST-MRF EZ.4-20055.</v>
          </cell>
          <cell r="G128" t="str">
            <v>JUSTIFICATION DE L’ARCHITECTURE RESEAU PAR RAPPORT AU COUT TOTAL DE POSSESSION inclus dans doc 39</v>
          </cell>
          <cell r="R128" t="str">
            <v>NA</v>
          </cell>
          <cell r="S128" t="str">
            <v>AT</v>
          </cell>
          <cell r="T128" t="str">
            <v>NA</v>
          </cell>
          <cell r="U128" t="str">
            <v>C.SION</v>
          </cell>
          <cell r="Z128" t="str">
            <v>RTS 174 JS2 EAI 20/07/2020</v>
          </cell>
          <cell r="AA128" t="str">
            <v>E</v>
          </cell>
          <cell r="AB128" t="str">
            <v>Logiciel</v>
          </cell>
          <cell r="AC128" t="str">
            <v>EAI</v>
          </cell>
          <cell r="AD128" t="str">
            <v>ST EZ.4-20051 
ST EZ.4-20055</v>
          </cell>
          <cell r="AE128" t="str">
            <v>Spécification pour la réalisation des logiciels embarqués
Composants électroniques complexes</v>
          </cell>
          <cell r="AF128" t="str">
            <v>9.3.2.5</v>
          </cell>
          <cell r="AI128" t="str">
            <v>RENVOI</v>
          </cell>
          <cell r="AN128" t="str">
            <v>FD</v>
          </cell>
          <cell r="AP128" t="str">
            <v>FD</v>
          </cell>
          <cell r="CH128" t="e">
            <v>#N/A</v>
          </cell>
          <cell r="CI128" t="e">
            <v>#N/A</v>
          </cell>
          <cell r="CJ128" t="e">
            <v>#N/A</v>
          </cell>
        </row>
        <row r="129">
          <cell r="B129" t="str">
            <v>Ligne_46.6_PPD</v>
          </cell>
          <cell r="C129" t="str">
            <v>46.6</v>
          </cell>
          <cell r="E129" t="str">
            <v>L'architecture réseau du logiciel : Le besoin selon le type de composant programmable est exprimé par la Spécification Technique ST-MRF EZ.4-20051 et / ou ST-MRF EZ.4-20055.</v>
          </cell>
          <cell r="G129" t="str">
            <v>JUSTIFICATION DE LA PERENNITE DE LA SOLUTION PROPOSEE inclus dans doc 39</v>
          </cell>
          <cell r="R129" t="str">
            <v>NA</v>
          </cell>
          <cell r="S129" t="str">
            <v>AT</v>
          </cell>
          <cell r="T129" t="str">
            <v>NA</v>
          </cell>
          <cell r="U129" t="str">
            <v>C.SION</v>
          </cell>
          <cell r="Z129" t="str">
            <v>RTS 174 JS2 EAI 20/07/2020</v>
          </cell>
          <cell r="AA129" t="str">
            <v>E</v>
          </cell>
          <cell r="AB129" t="str">
            <v>Logiciel</v>
          </cell>
          <cell r="AC129" t="str">
            <v>EAI</v>
          </cell>
          <cell r="AD129" t="str">
            <v>ST EZ.4-20051 
ST EZ.4-20055</v>
          </cell>
          <cell r="AE129" t="str">
            <v>Spécification pour la réalisation des logiciels embarqués
Composants électroniques complexes</v>
          </cell>
          <cell r="AF129" t="str">
            <v>9.3.2.6</v>
          </cell>
          <cell r="AI129" t="str">
            <v>RENVOI</v>
          </cell>
          <cell r="AN129" t="str">
            <v>FD</v>
          </cell>
          <cell r="AP129" t="str">
            <v>FD</v>
          </cell>
          <cell r="CH129" t="e">
            <v>#N/A</v>
          </cell>
          <cell r="CI129" t="e">
            <v>#N/A</v>
          </cell>
          <cell r="CJ129" t="e">
            <v>#N/A</v>
          </cell>
        </row>
        <row r="130">
          <cell r="A130" t="str">
            <v>ADD0003308516</v>
          </cell>
          <cell r="B130" t="str">
            <v>Ligne_47_PPD</v>
          </cell>
          <cell r="C130">
            <v>47</v>
          </cell>
          <cell r="E130" t="str">
            <v>L’arborescence fonctionnelle</v>
          </cell>
          <cell r="F130" t="str">
            <v>A</v>
          </cell>
          <cell r="G130" t="str">
            <v>ARBORESCENCE FONCTIONNELLE</v>
          </cell>
          <cell r="M130" t="str">
            <v>F-00_SYSTEME_TRAIN</v>
          </cell>
          <cell r="N130" t="str">
            <v>DM</v>
          </cell>
          <cell r="O130" t="str">
            <v>SP_SPECIF</v>
          </cell>
          <cell r="Q130">
            <v>0</v>
          </cell>
          <cell r="R130" t="str">
            <v>VPF</v>
          </cell>
          <cell r="S130" t="str">
            <v>AT</v>
          </cell>
          <cell r="T130" t="str">
            <v>BT</v>
          </cell>
          <cell r="U130" t="str">
            <v>B.VIDAL</v>
          </cell>
          <cell r="V130" t="str">
            <v>ALSTOM</v>
          </cell>
          <cell r="W130" t="str">
            <v>N</v>
          </cell>
          <cell r="X130" t="str">
            <v>Contractuel Management</v>
          </cell>
          <cell r="AA130" t="str">
            <v>E</v>
          </cell>
          <cell r="AB130" t="str">
            <v>Projet</v>
          </cell>
          <cell r="AC130" t="str">
            <v>RP11/CA</v>
          </cell>
          <cell r="AD130" t="str">
            <v>SM ET.4-10639</v>
          </cell>
          <cell r="AE130" t="str">
            <v>Spécification de management MF19</v>
          </cell>
          <cell r="AF130" t="str">
            <v>3.1.1</v>
          </cell>
          <cell r="AI130">
            <v>1</v>
          </cell>
          <cell r="AL130" t="str">
            <v>FD</v>
          </cell>
          <cell r="BJ130">
            <v>44011</v>
          </cell>
          <cell r="CH130" t="str">
            <v>MF19_BORD_AT_00025</v>
          </cell>
          <cell r="CI130" t="str">
            <v>R</v>
          </cell>
          <cell r="CJ130" t="str">
            <v>FD</v>
          </cell>
        </row>
        <row r="131">
          <cell r="A131" t="str">
            <v>ADD0003308515</v>
          </cell>
          <cell r="B131" t="str">
            <v>Ligne_48_PPD</v>
          </cell>
          <cell r="C131">
            <v>48</v>
          </cell>
          <cell r="E131" t="str">
            <v>L'arborescence produit
Ce document mis à jour en permanence est présenté notamment à chaque revue mensuelle de projet.</v>
          </cell>
          <cell r="F131" t="str">
            <v>A</v>
          </cell>
          <cell r="G131" t="str">
            <v>ARBORESCENCE PRODUIT</v>
          </cell>
          <cell r="M131" t="str">
            <v>M-00_GENERALITES</v>
          </cell>
          <cell r="N131" t="str">
            <v>DM</v>
          </cell>
          <cell r="O131" t="str">
            <v>SP_SPECIF</v>
          </cell>
          <cell r="Q131">
            <v>0</v>
          </cell>
          <cell r="R131" t="str">
            <v>VPF</v>
          </cell>
          <cell r="S131" t="str">
            <v>AT</v>
          </cell>
          <cell r="T131" t="str">
            <v>BT</v>
          </cell>
          <cell r="U131" t="str">
            <v>B.VIDAL</v>
          </cell>
          <cell r="V131" t="str">
            <v>ALSTOM</v>
          </cell>
          <cell r="W131" t="str">
            <v>N</v>
          </cell>
          <cell r="X131" t="str">
            <v>Contractuel Management</v>
          </cell>
          <cell r="AA131" t="str">
            <v>E</v>
          </cell>
          <cell r="AB131" t="str">
            <v>Projet</v>
          </cell>
          <cell r="AC131" t="str">
            <v>RP11/CA</v>
          </cell>
          <cell r="AD131" t="str">
            <v>SM ET.4-10639</v>
          </cell>
          <cell r="AE131" t="str">
            <v>Spécification de management MF19</v>
          </cell>
          <cell r="AF131" t="str">
            <v>3.1.2</v>
          </cell>
          <cell r="AI131">
            <v>1</v>
          </cell>
          <cell r="AL131" t="str">
            <v>FD</v>
          </cell>
          <cell r="BJ131">
            <v>44011</v>
          </cell>
          <cell r="CH131" t="str">
            <v>MF19_BORD_AT_00025</v>
          </cell>
          <cell r="CI131" t="str">
            <v>R</v>
          </cell>
          <cell r="CJ131" t="str">
            <v>FD</v>
          </cell>
        </row>
        <row r="132">
          <cell r="B132" t="str">
            <v>Ligne_49_PPD</v>
          </cell>
          <cell r="C132">
            <v>49</v>
          </cell>
          <cell r="E132" t="str">
            <v>La matrice fonction / produit
La matrice permet de lier l’arborescence fonctionnelle et l’arborescence produit. Elle permet donc de savoir quel produit traite une (ou plusieurs) fonction(s) ou une sous-fonction donnée, ou par quel(s) produit(s) est traitée une fonction ou une sous-fonction. Elle permet notamment de vérifier l’exhaustivité de la prise en compte de toutes les fonctions détaillées.</v>
          </cell>
          <cell r="G132" t="str">
            <v>LIVRABLE</v>
          </cell>
          <cell r="R132" t="str">
            <v>NA</v>
          </cell>
          <cell r="S132" t="str">
            <v>AT</v>
          </cell>
          <cell r="T132" t="str">
            <v>NA</v>
          </cell>
          <cell r="U132" t="str">
            <v>NA</v>
          </cell>
          <cell r="AA132" t="str">
            <v>E</v>
          </cell>
          <cell r="AB132" t="str">
            <v>Projet</v>
          </cell>
          <cell r="AC132" t="str">
            <v>RP11/CA</v>
          </cell>
          <cell r="AD132" t="str">
            <v>SM ET.4-10639</v>
          </cell>
          <cell r="AE132" t="str">
            <v>Spécification de management MF19</v>
          </cell>
          <cell r="AF132" t="str">
            <v>3.1.2</v>
          </cell>
          <cell r="AI132" t="str">
            <v>LIVRABLE</v>
          </cell>
          <cell r="AL132" t="str">
            <v>FD</v>
          </cell>
          <cell r="CH132" t="e">
            <v>#N/A</v>
          </cell>
          <cell r="CI132" t="e">
            <v>#N/A</v>
          </cell>
          <cell r="CJ132" t="e">
            <v>#N/A</v>
          </cell>
        </row>
        <row r="133">
          <cell r="A133" t="str">
            <v>ADD0003308409</v>
          </cell>
          <cell r="B133" t="str">
            <v>Ligne_49.1_PPD</v>
          </cell>
          <cell r="C133" t="str">
            <v>49.1</v>
          </cell>
          <cell r="E133" t="str">
            <v>La matrice fonction / produit
La matrice permet de lier l’arborescence fonctionnelle et l’arborescence produit. Elle permet donc de savoir quel produit traite une (ou plusieurs) fonction(s) ou une sous-fonction donnée, ou par quel(s) produit(s) est traitée une fonction ou une sous-fonction. Elle permet notamment de vérifier l’exhaustivité de la prise en compte de toutes les fonctions détaillées.</v>
          </cell>
          <cell r="F133" t="str">
            <v>B</v>
          </cell>
          <cell r="G133" t="str">
            <v>MATRICE FONCTION-PRODUIT</v>
          </cell>
          <cell r="M133" t="str">
            <v>M-02_ORGANIGRAMME_DES_TACHES_ARBORESCENCE</v>
          </cell>
          <cell r="N133" t="str">
            <v>DJCC</v>
          </cell>
          <cell r="O133" t="str">
            <v>TDB_TABLEAU DE BORD</v>
          </cell>
          <cell r="Q133">
            <v>0</v>
          </cell>
          <cell r="R133" t="str">
            <v>VPF</v>
          </cell>
          <cell r="S133" t="str">
            <v>AT</v>
          </cell>
          <cell r="T133" t="str">
            <v>BT</v>
          </cell>
          <cell r="U133" t="str">
            <v>B.VIDAL</v>
          </cell>
          <cell r="V133" t="str">
            <v>ALSTOM</v>
          </cell>
          <cell r="W133" t="str">
            <v>N</v>
          </cell>
          <cell r="X133" t="str">
            <v>Document contractuel FD</v>
          </cell>
          <cell r="AA133" t="str">
            <v>E</v>
          </cell>
          <cell r="AB133" t="str">
            <v>Projet</v>
          </cell>
          <cell r="AC133" t="str">
            <v>RP11/CA</v>
          </cell>
          <cell r="AD133" t="str">
            <v>SM ET.4-10639</v>
          </cell>
          <cell r="AE133" t="str">
            <v>Spécification de management MF19</v>
          </cell>
          <cell r="AF133" t="str">
            <v>3.1.2</v>
          </cell>
          <cell r="AI133">
            <v>1</v>
          </cell>
          <cell r="AL133" t="str">
            <v>FD</v>
          </cell>
          <cell r="BJ133">
            <v>44011</v>
          </cell>
          <cell r="CH133" t="str">
            <v>MF19_BORD_AT_00025</v>
          </cell>
          <cell r="CI133" t="str">
            <v>R</v>
          </cell>
          <cell r="CJ133" t="str">
            <v>FD</v>
          </cell>
        </row>
        <row r="134">
          <cell r="B134" t="str">
            <v>Ligne_49.2_PPD</v>
          </cell>
          <cell r="C134" t="str">
            <v>49.2</v>
          </cell>
          <cell r="E134" t="str">
            <v>La matrice fonction / produit
La matrice permet de lier l’arborescence fonctionnelle et l’arborescence produit. Elle permet donc de savoir quel produit traite une (ou plusieurs) fonction(s) ou une sous-fonction donnée, ou par quel(s) produit(s) est traitée une fonction ou une sous-fonction. Elle permet notamment de vérifier l’exhaustivité de la prise en compte de toutes les fonctions détaillées.</v>
          </cell>
          <cell r="G134" t="str">
            <v>MATRICE EXIGENCE-PRODUIT (intégré au 49.1)</v>
          </cell>
          <cell r="R134" t="str">
            <v>NA</v>
          </cell>
          <cell r="S134" t="str">
            <v>AT</v>
          </cell>
          <cell r="T134" t="str">
            <v>NA</v>
          </cell>
          <cell r="U134" t="str">
            <v>B.VIDAL</v>
          </cell>
          <cell r="AA134" t="str">
            <v>E</v>
          </cell>
          <cell r="AB134" t="str">
            <v>Projet</v>
          </cell>
          <cell r="AC134" t="str">
            <v>RP11/CA</v>
          </cell>
          <cell r="AD134" t="str">
            <v>SM ET.4-10639</v>
          </cell>
          <cell r="AE134" t="str">
            <v>Spécification de management MF19</v>
          </cell>
          <cell r="AF134" t="str">
            <v>3.1.2</v>
          </cell>
          <cell r="AI134" t="str">
            <v>RENVOI</v>
          </cell>
          <cell r="AL134" t="str">
            <v>FD</v>
          </cell>
          <cell r="CH134" t="e">
            <v>#N/A</v>
          </cell>
          <cell r="CI134" t="e">
            <v>#N/A</v>
          </cell>
          <cell r="CJ134" t="e">
            <v>#N/A</v>
          </cell>
        </row>
        <row r="135">
          <cell r="B135" t="str">
            <v>Ligne_49.3_PPD</v>
          </cell>
          <cell r="C135" t="str">
            <v>49.3</v>
          </cell>
          <cell r="E135" t="str">
            <v>Matrice de correspondance entre les exigences fonctionnelles du DDF et les exigences fonctionnelles RATP du marché</v>
          </cell>
          <cell r="G135" t="str">
            <v>MATRICE TRACABILITE (intégré au 49.1)</v>
          </cell>
          <cell r="R135" t="str">
            <v>NA</v>
          </cell>
          <cell r="S135" t="str">
            <v>AT</v>
          </cell>
          <cell r="T135" t="str">
            <v>NA</v>
          </cell>
          <cell r="U135" t="str">
            <v>B.VIDAL</v>
          </cell>
          <cell r="Z135" t="str">
            <v>RTS 178 JS2 RP11 22/07/2020</v>
          </cell>
          <cell r="AA135" t="str">
            <v>E</v>
          </cell>
          <cell r="AB135" t="str">
            <v>Projet</v>
          </cell>
          <cell r="AC135" t="str">
            <v>RP11/CA</v>
          </cell>
          <cell r="AD135" t="str">
            <v>SM ET.4-10639</v>
          </cell>
          <cell r="AE135" t="str">
            <v>Spécification de management MF19</v>
          </cell>
          <cell r="AF135" t="str">
            <v>3.1.2</v>
          </cell>
          <cell r="AI135" t="str">
            <v>RENVOI</v>
          </cell>
          <cell r="AL135" t="str">
            <v>FD</v>
          </cell>
          <cell r="AN135" t="str">
            <v>Maj</v>
          </cell>
          <cell r="CG135" t="str">
            <v>30/09/2020 : dans la colonne "livrable" le texte "La matrice fonction / produit
La matrice permet de lier l’arborescence fonctionnelle et l’arborescence produit. Elle permet donc de savoir quel produit traite une (ou plusieurs) fonction(s) ou une sous-fonction donnée, ou par quel(s) produit(s) est traitée une fonction ou une sous-fonction. Elle permet notamment de vérifier l’exhaustivité de la prise en compte de toutes les fonctions détaillées." était barré. Pour l'import dans la base arbo, ce texte barré a été supprimé</v>
          </cell>
          <cell r="CH135" t="e">
            <v>#N/A</v>
          </cell>
          <cell r="CI135" t="e">
            <v>#N/A</v>
          </cell>
          <cell r="CJ135" t="e">
            <v>#N/A</v>
          </cell>
        </row>
        <row r="136">
          <cell r="A136" t="str">
            <v>ADD0003308413</v>
          </cell>
          <cell r="B136" t="str">
            <v>Ligne_50_PPD</v>
          </cell>
          <cell r="C136">
            <v>50</v>
          </cell>
          <cell r="E136" t="str">
            <v>La liste et la définition des interfaces :
Elle précise et décrit pour chaque produit non fourni par le Titulaire et interfacé avec l’élément la spécification d’interface applicable.</v>
          </cell>
          <cell r="F136" t="str">
            <v>C</v>
          </cell>
          <cell r="G136" t="str">
            <v>INTERFACES FOURNITURES HORS MARCHE MATERIEL ROULANT</v>
          </cell>
          <cell r="M136" t="str">
            <v>M-00_GENERALITES</v>
          </cell>
          <cell r="N136" t="str">
            <v>DM</v>
          </cell>
          <cell r="O136" t="str">
            <v>SP_SPECIF</v>
          </cell>
          <cell r="Q136">
            <v>0</v>
          </cell>
          <cell r="R136" t="str">
            <v>VPF</v>
          </cell>
          <cell r="S136" t="str">
            <v>AT</v>
          </cell>
          <cell r="T136" t="str">
            <v>BT</v>
          </cell>
          <cell r="U136" t="str">
            <v>L.DERU</v>
          </cell>
          <cell r="V136" t="str">
            <v>ALSTOM</v>
          </cell>
          <cell r="W136" t="str">
            <v>N</v>
          </cell>
          <cell r="X136" t="str">
            <v>Document contractuel FD</v>
          </cell>
          <cell r="Z136" t="str">
            <v>RTS JS1 EZ/EAI 26/03/2020</v>
          </cell>
          <cell r="AA136" t="str">
            <v>E</v>
          </cell>
          <cell r="AB136" t="str">
            <v>Projet</v>
          </cell>
          <cell r="AC136" t="str">
            <v>ETS/EAI/SIT</v>
          </cell>
          <cell r="AD136" t="str">
            <v>RPC MF19</v>
          </cell>
          <cell r="AF136" t="str">
            <v>8.2</v>
          </cell>
          <cell r="AI136">
            <v>1</v>
          </cell>
          <cell r="AJ136" t="str">
            <v>FP</v>
          </cell>
          <cell r="AL136" t="str">
            <v>FD</v>
          </cell>
          <cell r="BJ136">
            <v>44022</v>
          </cell>
          <cell r="CH136" t="str">
            <v>MF19_BORD_AT_00032</v>
          </cell>
          <cell r="CI136" t="str">
            <v>-</v>
          </cell>
          <cell r="CJ136" t="str">
            <v>FD</v>
          </cell>
        </row>
        <row r="137">
          <cell r="B137" t="str">
            <v>Ligne_51_PPD</v>
          </cell>
          <cell r="C137">
            <v>51</v>
          </cell>
          <cell r="E137" t="str">
            <v>Dossier Descriptif du Fonctionnel (DDF)</v>
          </cell>
          <cell r="G137" t="str">
            <v>LIVRABLE</v>
          </cell>
          <cell r="R137" t="str">
            <v>NA</v>
          </cell>
          <cell r="S137" t="str">
            <v>ABT</v>
          </cell>
          <cell r="T137" t="str">
            <v>NA</v>
          </cell>
          <cell r="U137" t="str">
            <v>NA</v>
          </cell>
          <cell r="AA137" t="str">
            <v>E</v>
          </cell>
          <cell r="AB137" t="str">
            <v>Projet</v>
          </cell>
          <cell r="AC137" t="str">
            <v>RP11/CA</v>
          </cell>
          <cell r="AD137" t="str">
            <v>SM ET.4-10639</v>
          </cell>
          <cell r="AE137" t="str">
            <v>Spécification de management MF19</v>
          </cell>
          <cell r="AF137" t="str">
            <v>3.2.1</v>
          </cell>
          <cell r="AI137" t="str">
            <v>LIVRABLE</v>
          </cell>
          <cell r="AL137" t="str">
            <v>FD</v>
          </cell>
          <cell r="CH137" t="e">
            <v>#N/A</v>
          </cell>
          <cell r="CI137" t="e">
            <v>#N/A</v>
          </cell>
          <cell r="CJ137" t="e">
            <v>#N/A</v>
          </cell>
        </row>
        <row r="138">
          <cell r="A138" t="str">
            <v>ADD0003308471</v>
          </cell>
          <cell r="B138" t="str">
            <v>Ligne_51.1_PPD</v>
          </cell>
          <cell r="C138" t="str">
            <v>51.1</v>
          </cell>
          <cell r="E138" t="str">
            <v>Dossier Descriptif du Fonctionnel (DDF)</v>
          </cell>
          <cell r="F138" t="str">
            <v>C</v>
          </cell>
          <cell r="G138" t="str">
            <v>DDF CONDUITE</v>
          </cell>
          <cell r="I138" t="str">
            <v>D000</v>
          </cell>
          <cell r="J138" t="str">
            <v>AA</v>
          </cell>
          <cell r="K138" t="str">
            <v>D00045</v>
          </cell>
          <cell r="L138" t="str">
            <v>TC</v>
          </cell>
          <cell r="M138" t="str">
            <v>F-03_CONDUITE</v>
          </cell>
          <cell r="N138" t="str">
            <v>DDF</v>
          </cell>
          <cell r="O138" t="str">
            <v>SP_SPECIF</v>
          </cell>
          <cell r="Q138">
            <v>0</v>
          </cell>
          <cell r="R138" t="str">
            <v>VPF</v>
          </cell>
          <cell r="S138" t="str">
            <v>AT</v>
          </cell>
          <cell r="U138" t="str">
            <v>J.L.BOEZ</v>
          </cell>
          <cell r="V138" t="str">
            <v>ALSTOM</v>
          </cell>
          <cell r="W138" t="str">
            <v>N</v>
          </cell>
          <cell r="X138" t="str">
            <v>Document contractuel FD</v>
          </cell>
          <cell r="AA138" t="str">
            <v>E</v>
          </cell>
          <cell r="AB138" t="str">
            <v>Projet</v>
          </cell>
          <cell r="AC138" t="str">
            <v>ETS/EAI</v>
          </cell>
          <cell r="AD138" t="str">
            <v>SM ET.4-10639</v>
          </cell>
          <cell r="AE138" t="str">
            <v>Spécification de management MF19</v>
          </cell>
          <cell r="AF138" t="str">
            <v>3.2.1</v>
          </cell>
          <cell r="AI138">
            <v>1</v>
          </cell>
          <cell r="AL138" t="str">
            <v>FD</v>
          </cell>
          <cell r="BJ138">
            <v>44027</v>
          </cell>
          <cell r="CH138" t="str">
            <v>MF19_BORD_AT_00039</v>
          </cell>
          <cell r="CI138" t="str">
            <v>-</v>
          </cell>
          <cell r="CJ138" t="str">
            <v>FD</v>
          </cell>
        </row>
        <row r="139">
          <cell r="A139" t="str">
            <v>ADD0003308472</v>
          </cell>
          <cell r="B139" t="str">
            <v>Ligne_51.2_PPD</v>
          </cell>
          <cell r="C139" t="str">
            <v>51.2</v>
          </cell>
          <cell r="E139" t="str">
            <v>Dossier Descriptif du Fonctionnel (DDF)</v>
          </cell>
          <cell r="F139" t="str">
            <v>B</v>
          </cell>
          <cell r="G139" t="str">
            <v>DDF MOTRICITE</v>
          </cell>
          <cell r="I139" t="str">
            <v>D000</v>
          </cell>
          <cell r="M139" t="str">
            <v>F-04_MOTRICITE</v>
          </cell>
          <cell r="N139" t="str">
            <v>DDF</v>
          </cell>
          <cell r="O139" t="str">
            <v>SP_SPECIF</v>
          </cell>
          <cell r="Q139">
            <v>0</v>
          </cell>
          <cell r="R139" t="str">
            <v>VPF</v>
          </cell>
          <cell r="S139" t="str">
            <v>AT</v>
          </cell>
          <cell r="T139" t="str">
            <v>BT</v>
          </cell>
          <cell r="U139" t="str">
            <v>F.HOUZE</v>
          </cell>
          <cell r="V139" t="str">
            <v>ALSTOM</v>
          </cell>
          <cell r="W139" t="str">
            <v>N</v>
          </cell>
          <cell r="X139" t="str">
            <v>Document contractuel FD</v>
          </cell>
          <cell r="AA139" t="str">
            <v>E</v>
          </cell>
          <cell r="AB139" t="str">
            <v>Projet</v>
          </cell>
          <cell r="AC139" t="str">
            <v>SME</v>
          </cell>
          <cell r="AD139" t="str">
            <v>SM ET.4-10639</v>
          </cell>
          <cell r="AE139" t="str">
            <v>Spécification de management MF19</v>
          </cell>
          <cell r="AF139" t="str">
            <v>3.2.1</v>
          </cell>
          <cell r="AI139">
            <v>1</v>
          </cell>
          <cell r="AL139" t="str">
            <v>FD</v>
          </cell>
          <cell r="BJ139">
            <v>44022</v>
          </cell>
          <cell r="CH139" t="str">
            <v>MF19_BORD_AT_00025</v>
          </cell>
          <cell r="CI139" t="str">
            <v>R</v>
          </cell>
          <cell r="CJ139" t="str">
            <v>FD</v>
          </cell>
        </row>
        <row r="140">
          <cell r="A140" t="str">
            <v>ADD0003308473</v>
          </cell>
          <cell r="B140" t="str">
            <v>Ligne_51.3_PPD</v>
          </cell>
          <cell r="C140" t="str">
            <v>51.3</v>
          </cell>
          <cell r="E140" t="str">
            <v>Dossier Descriptif du Fonctionnel (DDF)</v>
          </cell>
          <cell r="F140" t="str">
            <v>B</v>
          </cell>
          <cell r="G140" t="str">
            <v>DDF ENERGIE PNEUMATIQUE</v>
          </cell>
          <cell r="I140" t="str">
            <v>D000</v>
          </cell>
          <cell r="M140" t="str">
            <v>F-05_ENERGIE_PNEUMATIQUE</v>
          </cell>
          <cell r="N140" t="str">
            <v>DDF</v>
          </cell>
          <cell r="O140" t="str">
            <v>SP_SPECIF</v>
          </cell>
          <cell r="Q140">
            <v>0</v>
          </cell>
          <cell r="R140" t="str">
            <v>VPF</v>
          </cell>
          <cell r="S140" t="str">
            <v>AT</v>
          </cell>
          <cell r="T140" t="str">
            <v>BT</v>
          </cell>
          <cell r="U140" t="str">
            <v>D.SIMON</v>
          </cell>
          <cell r="V140" t="str">
            <v xml:space="preserve">ALSTOM </v>
          </cell>
          <cell r="W140" t="str">
            <v>N</v>
          </cell>
          <cell r="X140" t="str">
            <v>Document contractuel FD</v>
          </cell>
          <cell r="AA140" t="str">
            <v>E</v>
          </cell>
          <cell r="AB140" t="str">
            <v>Projet</v>
          </cell>
          <cell r="AC140" t="str">
            <v>EMC</v>
          </cell>
          <cell r="AD140" t="str">
            <v>SM ET.4-10639</v>
          </cell>
          <cell r="AE140" t="str">
            <v>Spécification de management MF19</v>
          </cell>
          <cell r="AF140" t="str">
            <v>3.2.1</v>
          </cell>
          <cell r="AI140">
            <v>1</v>
          </cell>
          <cell r="AL140" t="str">
            <v>FD</v>
          </cell>
          <cell r="BJ140">
            <v>44022</v>
          </cell>
          <cell r="CH140" t="str">
            <v>MF19_BORD_AT_00042</v>
          </cell>
          <cell r="CI140" t="str">
            <v>-</v>
          </cell>
          <cell r="CJ140" t="str">
            <v>FD</v>
          </cell>
        </row>
        <row r="141">
          <cell r="A141" t="str">
            <v>ADD0003308474</v>
          </cell>
          <cell r="B141" t="str">
            <v>Ligne_51.4_PPD</v>
          </cell>
          <cell r="C141" t="str">
            <v>51.4</v>
          </cell>
          <cell r="E141" t="str">
            <v>Dossier Descriptif du Fonctionnel (DDF)</v>
          </cell>
          <cell r="F141" t="str">
            <v>B</v>
          </cell>
          <cell r="G141" t="str">
            <v>DDF ENERGIE ELECTRIQUE</v>
          </cell>
          <cell r="I141" t="str">
            <v>D000</v>
          </cell>
          <cell r="M141" t="str">
            <v>F-06_ENERGIE_ELECTRIQUE</v>
          </cell>
          <cell r="N141" t="str">
            <v>DDF</v>
          </cell>
          <cell r="O141" t="str">
            <v>SP_SPECIF</v>
          </cell>
          <cell r="Q141">
            <v>0</v>
          </cell>
          <cell r="R141" t="str">
            <v>VPF</v>
          </cell>
          <cell r="S141" t="str">
            <v>AT</v>
          </cell>
          <cell r="T141" t="str">
            <v>BT</v>
          </cell>
          <cell r="U141" t="str">
            <v>G.NOTARD</v>
          </cell>
          <cell r="V141" t="str">
            <v>ALSTOM</v>
          </cell>
          <cell r="W141" t="str">
            <v>N</v>
          </cell>
          <cell r="X141" t="str">
            <v>Document contractuel FD</v>
          </cell>
          <cell r="AA141" t="str">
            <v>E</v>
          </cell>
          <cell r="AB141" t="str">
            <v>Projet</v>
          </cell>
          <cell r="AC141" t="str">
            <v>SME</v>
          </cell>
          <cell r="AD141" t="str">
            <v>SM ET.4-10639</v>
          </cell>
          <cell r="AE141" t="str">
            <v>Spécification de management MF19</v>
          </cell>
          <cell r="AF141" t="str">
            <v>3.2.1</v>
          </cell>
          <cell r="AI141">
            <v>1</v>
          </cell>
          <cell r="AL141" t="str">
            <v>FD</v>
          </cell>
          <cell r="BJ141">
            <v>44022</v>
          </cell>
          <cell r="CH141" t="str">
            <v>MF19_BORD_AT_00025</v>
          </cell>
          <cell r="CI141" t="str">
            <v>R</v>
          </cell>
          <cell r="CJ141" t="str">
            <v>FD</v>
          </cell>
        </row>
        <row r="142">
          <cell r="A142" t="str">
            <v>ADD0003308475</v>
          </cell>
          <cell r="B142" t="str">
            <v>Ligne_51.5_PPD</v>
          </cell>
          <cell r="C142" t="str">
            <v>51.5</v>
          </cell>
          <cell r="E142" t="str">
            <v>Dossier Descriptif du Fonctionnel (DDF)</v>
          </cell>
          <cell r="F142" t="str">
            <v>B</v>
          </cell>
          <cell r="G142" t="str">
            <v>DDF PORTES VOYAGEURS</v>
          </cell>
          <cell r="I142" t="str">
            <v>D000</v>
          </cell>
          <cell r="M142" t="str">
            <v>F-08_PORTES</v>
          </cell>
          <cell r="N142" t="str">
            <v>DDF</v>
          </cell>
          <cell r="O142" t="str">
            <v>SP_SPECIF</v>
          </cell>
          <cell r="Q142">
            <v>0</v>
          </cell>
          <cell r="R142" t="str">
            <v>VPF</v>
          </cell>
          <cell r="S142" t="str">
            <v>AT</v>
          </cell>
          <cell r="T142" t="str">
            <v>BT</v>
          </cell>
          <cell r="U142" t="str">
            <v>C.INDRIAMIHAJA</v>
          </cell>
          <cell r="V142" t="str">
            <v>ALSTOM</v>
          </cell>
          <cell r="W142" t="str">
            <v>N</v>
          </cell>
          <cell r="X142" t="str">
            <v>Document contractuel FD</v>
          </cell>
          <cell r="AA142" t="str">
            <v>E</v>
          </cell>
          <cell r="AB142" t="str">
            <v>Projet</v>
          </cell>
          <cell r="AC142" t="str">
            <v>SME</v>
          </cell>
          <cell r="AD142" t="str">
            <v>SM ET.4-10639</v>
          </cell>
          <cell r="AE142" t="str">
            <v>Spécification de management MF19</v>
          </cell>
          <cell r="AF142" t="str">
            <v>3.2.1</v>
          </cell>
          <cell r="AI142">
            <v>1</v>
          </cell>
          <cell r="AL142" t="str">
            <v>FD</v>
          </cell>
          <cell r="BJ142">
            <v>44022</v>
          </cell>
          <cell r="CH142" t="str">
            <v>MF19_BORD_AT_00025</v>
          </cell>
          <cell r="CI142" t="str">
            <v>R</v>
          </cell>
          <cell r="CJ142" t="str">
            <v>FD</v>
          </cell>
        </row>
        <row r="143">
          <cell r="A143" t="str">
            <v>ADD0003308476</v>
          </cell>
          <cell r="B143" t="str">
            <v>Ligne_51.6_PPD</v>
          </cell>
          <cell r="C143" t="str">
            <v>51.6</v>
          </cell>
          <cell r="E143" t="str">
            <v>Dossier Descriptif du Fonctionnel (DDF)</v>
          </cell>
          <cell r="F143" t="str">
            <v>B</v>
          </cell>
          <cell r="G143" t="str">
            <v>DDF AIDE A LA MAINTENANCE CENTRALISEE</v>
          </cell>
          <cell r="I143" t="str">
            <v>D000</v>
          </cell>
          <cell r="M143" t="str">
            <v>F-10_AIDE_A_LA_MAINTENANCE</v>
          </cell>
          <cell r="N143" t="str">
            <v>DDF</v>
          </cell>
          <cell r="O143" t="str">
            <v>SP_SPECIF</v>
          </cell>
          <cell r="Q143">
            <v>0</v>
          </cell>
          <cell r="R143" t="str">
            <v>VPF</v>
          </cell>
          <cell r="S143" t="str">
            <v>AT</v>
          </cell>
          <cell r="T143" t="str">
            <v>BT</v>
          </cell>
          <cell r="U143" t="str">
            <v>M.MURA</v>
          </cell>
          <cell r="V143" t="str">
            <v>ALSTOM</v>
          </cell>
          <cell r="W143" t="str">
            <v>N</v>
          </cell>
          <cell r="X143" t="str">
            <v>Document contractuel FD</v>
          </cell>
          <cell r="AA143" t="str">
            <v>E</v>
          </cell>
          <cell r="AB143" t="str">
            <v>Projet</v>
          </cell>
          <cell r="AC143" t="str">
            <v>M2I/ETS</v>
          </cell>
          <cell r="AD143" t="str">
            <v>SM ET.4-10639</v>
          </cell>
          <cell r="AE143" t="str">
            <v>Spécification de management MF19</v>
          </cell>
          <cell r="AF143" t="str">
            <v>3.2.1</v>
          </cell>
          <cell r="AI143">
            <v>1</v>
          </cell>
          <cell r="AL143" t="str">
            <v>FD</v>
          </cell>
          <cell r="BJ143">
            <v>44022</v>
          </cell>
          <cell r="CH143" t="str">
            <v>MF19_BORD_AT_00040</v>
          </cell>
          <cell r="CI143" t="str">
            <v>-</v>
          </cell>
          <cell r="CJ143" t="str">
            <v>FD</v>
          </cell>
        </row>
        <row r="144">
          <cell r="A144" t="str">
            <v>ADD0003308477</v>
          </cell>
          <cell r="B144" t="str">
            <v>Ligne_51.7_PPD</v>
          </cell>
          <cell r="C144" t="str">
            <v>51.7</v>
          </cell>
          <cell r="E144" t="str">
            <v>Dossier Descriptif du Fonctionnel (DDF)</v>
          </cell>
          <cell r="F144" t="str">
            <v>B</v>
          </cell>
          <cell r="G144" t="str">
            <v>DDF AIDE A L’EXPLOITATION</v>
          </cell>
          <cell r="I144" t="str">
            <v>D000</v>
          </cell>
          <cell r="M144" t="str">
            <v>F-11_AIDE_A_L_EXPLOITATION</v>
          </cell>
          <cell r="N144" t="str">
            <v>DDF</v>
          </cell>
          <cell r="O144" t="str">
            <v>SP_SPECIF</v>
          </cell>
          <cell r="Q144">
            <v>0</v>
          </cell>
          <cell r="R144" t="str">
            <v>VPF</v>
          </cell>
          <cell r="S144" t="str">
            <v>AT</v>
          </cell>
          <cell r="T144" t="str">
            <v>BT</v>
          </cell>
          <cell r="U144" t="str">
            <v>S.LADJ-MERABET</v>
          </cell>
          <cell r="V144" t="str">
            <v>ALSTOM</v>
          </cell>
          <cell r="W144" t="str">
            <v>N</v>
          </cell>
          <cell r="X144" t="str">
            <v>Document contractuel FD</v>
          </cell>
          <cell r="AA144" t="str">
            <v>E</v>
          </cell>
          <cell r="AB144" t="str">
            <v>Projet</v>
          </cell>
          <cell r="AC144" t="str">
            <v>ETS/SME</v>
          </cell>
          <cell r="AD144" t="str">
            <v>SM ET.4-10639</v>
          </cell>
          <cell r="AE144" t="str">
            <v>Spécification de management MF19</v>
          </cell>
          <cell r="AF144" t="str">
            <v>3.2.1</v>
          </cell>
          <cell r="AI144">
            <v>1</v>
          </cell>
          <cell r="AL144" t="str">
            <v>FD</v>
          </cell>
          <cell r="BJ144">
            <v>44027</v>
          </cell>
          <cell r="CH144" t="str">
            <v>MF19_BORD_AT_00040</v>
          </cell>
          <cell r="CI144" t="str">
            <v>-</v>
          </cell>
          <cell r="CJ144" t="str">
            <v>FD</v>
          </cell>
        </row>
        <row r="145">
          <cell r="A145" t="str">
            <v>ADD0003308478</v>
          </cell>
          <cell r="B145" t="str">
            <v>Ligne_51.8_PPD</v>
          </cell>
          <cell r="C145" t="str">
            <v>51.8</v>
          </cell>
          <cell r="E145" t="str">
            <v>Dossier Descriptif du Fonctionnel (DDF)</v>
          </cell>
          <cell r="F145" t="str">
            <v>C</v>
          </cell>
          <cell r="G145" t="str">
            <v>DDF PASSERELLE SOL</v>
          </cell>
          <cell r="M145" t="str">
            <v>F-12_PASSERELLE_SOL</v>
          </cell>
          <cell r="N145" t="str">
            <v>DDF</v>
          </cell>
          <cell r="O145" t="str">
            <v>SP_SPECIF</v>
          </cell>
          <cell r="Q145">
            <v>0</v>
          </cell>
          <cell r="R145" t="str">
            <v>VBN</v>
          </cell>
          <cell r="S145" t="str">
            <v>AT</v>
          </cell>
          <cell r="T145" t="str">
            <v>NA</v>
          </cell>
          <cell r="U145" t="str">
            <v>P.DENIS</v>
          </cell>
          <cell r="V145" t="str">
            <v>ALSTOM</v>
          </cell>
          <cell r="W145" t="str">
            <v>N</v>
          </cell>
          <cell r="X145" t="str">
            <v>Document contractuel FD</v>
          </cell>
          <cell r="Z145" t="str">
            <v>RTS JS1 EZ/EAI 26/03/2020</v>
          </cell>
          <cell r="AA145" t="str">
            <v>E</v>
          </cell>
          <cell r="AB145" t="str">
            <v>Projet</v>
          </cell>
          <cell r="AC145" t="str">
            <v>SIT</v>
          </cell>
          <cell r="AD145" t="str">
            <v>SM ET.4-10639</v>
          </cell>
          <cell r="AE145" t="str">
            <v>Spécification de management MF19</v>
          </cell>
          <cell r="AF145" t="str">
            <v>3.2.1</v>
          </cell>
          <cell r="AI145">
            <v>1</v>
          </cell>
          <cell r="AL145" t="str">
            <v>FD</v>
          </cell>
          <cell r="BJ145">
            <v>43987</v>
          </cell>
          <cell r="CH145" t="str">
            <v>MF19_BORD_AT_00041</v>
          </cell>
          <cell r="CI145" t="str">
            <v>-</v>
          </cell>
          <cell r="CJ145" t="str">
            <v>FD</v>
          </cell>
        </row>
        <row r="146">
          <cell r="A146" t="str">
            <v>ADD0003308479</v>
          </cell>
          <cell r="B146" t="str">
            <v>Ligne_51.9_PPD</v>
          </cell>
          <cell r="C146" t="str">
            <v>51.9</v>
          </cell>
          <cell r="E146" t="str">
            <v>Dossier Descriptif du Fonctionnel (DDF)</v>
          </cell>
          <cell r="F146" t="str">
            <v>B</v>
          </cell>
          <cell r="G146" t="str">
            <v>DDF IVSC-INCLUANT OPTION PUB</v>
          </cell>
          <cell r="I146" t="str">
            <v>D000</v>
          </cell>
          <cell r="M146" t="str">
            <v>F-09_MOYEN_AUDIO_VISUEL</v>
          </cell>
          <cell r="N146" t="str">
            <v>DDF</v>
          </cell>
          <cell r="O146" t="str">
            <v>SP_SPECIF</v>
          </cell>
          <cell r="Q146">
            <v>0</v>
          </cell>
          <cell r="R146" t="str">
            <v>VPF</v>
          </cell>
          <cell r="S146" t="str">
            <v>AT</v>
          </cell>
          <cell r="U146" t="str">
            <v>V.PIQUE</v>
          </cell>
          <cell r="V146" t="str">
            <v xml:space="preserve">ALSTOM </v>
          </cell>
          <cell r="W146" t="str">
            <v>N</v>
          </cell>
          <cell r="X146" t="str">
            <v>Document contractuel FD</v>
          </cell>
          <cell r="Z146" t="str">
            <v>RTS JS1 EZ/EAI 26/03/2020</v>
          </cell>
          <cell r="AA146" t="str">
            <v>E</v>
          </cell>
          <cell r="AB146" t="str">
            <v>Projet</v>
          </cell>
          <cell r="AC146" t="str">
            <v>EAI/SIT</v>
          </cell>
          <cell r="AD146" t="str">
            <v>SM ET.4-10639</v>
          </cell>
          <cell r="AE146" t="str">
            <v>Spécification de management MF19</v>
          </cell>
          <cell r="AF146" t="str">
            <v>3.2.1</v>
          </cell>
          <cell r="AI146">
            <v>1</v>
          </cell>
          <cell r="AL146" t="str">
            <v>FD</v>
          </cell>
          <cell r="BJ146">
            <v>44022</v>
          </cell>
          <cell r="CH146" t="str">
            <v>MF19_BORD_AT_00025</v>
          </cell>
          <cell r="CI146" t="str">
            <v>AR</v>
          </cell>
          <cell r="CJ146" t="str">
            <v>FD</v>
          </cell>
        </row>
        <row r="147">
          <cell r="A147" t="str">
            <v>ADD0003308480</v>
          </cell>
          <cell r="B147" t="str">
            <v>Ligne_51.10_PPD</v>
          </cell>
          <cell r="C147" t="str">
            <v>51.10</v>
          </cell>
          <cell r="E147" t="str">
            <v>Dossier Descriptif du Fonctionnel (DDF)</v>
          </cell>
          <cell r="F147" t="str">
            <v>C</v>
          </cell>
          <cell r="G147" t="str">
            <v>DDF CCTV</v>
          </cell>
          <cell r="I147" t="str">
            <v>D000</v>
          </cell>
          <cell r="M147" t="str">
            <v>F-09_MOYEN_AUDIO_VISUEL</v>
          </cell>
          <cell r="N147" t="str">
            <v>DDF</v>
          </cell>
          <cell r="O147" t="str">
            <v>SP_SPECIF</v>
          </cell>
          <cell r="Q147">
            <v>0</v>
          </cell>
          <cell r="R147" t="str">
            <v>VPF</v>
          </cell>
          <cell r="S147" t="str">
            <v>AT</v>
          </cell>
          <cell r="U147" t="str">
            <v>V.PIQUE</v>
          </cell>
          <cell r="V147" t="str">
            <v xml:space="preserve">ALSTOM </v>
          </cell>
          <cell r="W147" t="str">
            <v>N</v>
          </cell>
          <cell r="X147" t="str">
            <v>Document contractuel FD</v>
          </cell>
          <cell r="Z147" t="str">
            <v>RTS JS1 EZ/EAI 26/03/2020</v>
          </cell>
          <cell r="AA147" t="str">
            <v>E</v>
          </cell>
          <cell r="AB147" t="str">
            <v>Projet</v>
          </cell>
          <cell r="AC147" t="str">
            <v>SIT</v>
          </cell>
          <cell r="AD147" t="str">
            <v>SM ET.4-10639</v>
          </cell>
          <cell r="AE147" t="str">
            <v>Spécification de management MF19</v>
          </cell>
          <cell r="AF147" t="str">
            <v>3.2.1</v>
          </cell>
          <cell r="AI147">
            <v>1</v>
          </cell>
          <cell r="AL147" t="str">
            <v>FD</v>
          </cell>
          <cell r="BJ147">
            <v>44022</v>
          </cell>
          <cell r="CH147" t="str">
            <v>MF19_BORD_AT_00041</v>
          </cell>
          <cell r="CI147" t="str">
            <v>-</v>
          </cell>
          <cell r="CJ147" t="str">
            <v>FD</v>
          </cell>
        </row>
        <row r="148">
          <cell r="A148">
            <v>100438618</v>
          </cell>
          <cell r="B148" t="str">
            <v>Ligne_51.11_PPD</v>
          </cell>
          <cell r="C148" t="str">
            <v>51.11</v>
          </cell>
          <cell r="E148" t="str">
            <v>Dossier Descriptif du Fonctionnel (DDF)</v>
          </cell>
          <cell r="F148" t="str">
            <v>C</v>
          </cell>
          <cell r="G148" t="str">
            <v>DDF CONFORT HVAC</v>
          </cell>
          <cell r="I148" t="str">
            <v>D000</v>
          </cell>
          <cell r="M148" t="str">
            <v>F-07_CONFORT</v>
          </cell>
          <cell r="N148" t="str">
            <v>DDF</v>
          </cell>
          <cell r="O148" t="str">
            <v>SP_SPECIF</v>
          </cell>
          <cell r="Q148">
            <v>0</v>
          </cell>
          <cell r="R148" t="str">
            <v>BT</v>
          </cell>
          <cell r="S148" t="str">
            <v>BT</v>
          </cell>
          <cell r="T148" t="str">
            <v>AT</v>
          </cell>
          <cell r="U148" t="str">
            <v>Boualem Aouchiche</v>
          </cell>
          <cell r="V148" t="str">
            <v>BOMBARDIER</v>
          </cell>
          <cell r="W148" t="str">
            <v>N</v>
          </cell>
          <cell r="X148" t="str">
            <v>Document contractuel FD</v>
          </cell>
          <cell r="AA148" t="str">
            <v>E</v>
          </cell>
          <cell r="AB148" t="str">
            <v>Projet</v>
          </cell>
          <cell r="AC148" t="str">
            <v>EMC</v>
          </cell>
          <cell r="AD148" t="str">
            <v>SM ET.4-10639</v>
          </cell>
          <cell r="AE148" t="str">
            <v>Spécification de management MF19</v>
          </cell>
          <cell r="AF148" t="str">
            <v>3.2.1</v>
          </cell>
          <cell r="AI148">
            <v>1</v>
          </cell>
          <cell r="AL148" t="str">
            <v>FD</v>
          </cell>
          <cell r="BJ148">
            <v>44022</v>
          </cell>
          <cell r="CH148" t="str">
            <v>MF19_BORD_BT_00034</v>
          </cell>
          <cell r="CI148" t="str">
            <v>-</v>
          </cell>
          <cell r="CJ148" t="str">
            <v>FD</v>
          </cell>
        </row>
        <row r="149">
          <cell r="A149">
            <v>100438619</v>
          </cell>
          <cell r="B149" t="str">
            <v>Ligne_51.12_PPD</v>
          </cell>
          <cell r="C149" t="str">
            <v>51.12</v>
          </cell>
          <cell r="E149" t="str">
            <v>Dossier Descriptif du Fonctionnel (DDF)</v>
          </cell>
          <cell r="F149" t="str">
            <v>B</v>
          </cell>
          <cell r="G149" t="str">
            <v>DDF ECLAIRAGE INTERIEUR</v>
          </cell>
          <cell r="I149" t="str">
            <v>D000</v>
          </cell>
          <cell r="M149" t="str">
            <v>F-07_CONFORT</v>
          </cell>
          <cell r="N149" t="str">
            <v>DDF</v>
          </cell>
          <cell r="O149" t="str">
            <v>SP_SPECIF</v>
          </cell>
          <cell r="Q149">
            <v>0</v>
          </cell>
          <cell r="R149" t="str">
            <v>BT</v>
          </cell>
          <cell r="S149" t="str">
            <v>BT</v>
          </cell>
          <cell r="T149" t="str">
            <v>AT</v>
          </cell>
          <cell r="U149" t="str">
            <v>Nada Cherkaoui</v>
          </cell>
          <cell r="V149" t="str">
            <v>BOMBARDIER</v>
          </cell>
          <cell r="W149" t="str">
            <v>N</v>
          </cell>
          <cell r="X149" t="str">
            <v>Document contractuel FD</v>
          </cell>
          <cell r="Z149" t="str">
            <v>RTS JS1 EZ/EAI 26/03/2020</v>
          </cell>
          <cell r="AA149" t="str">
            <v>E</v>
          </cell>
          <cell r="AB149" t="str">
            <v>Projet</v>
          </cell>
          <cell r="AC149" t="str">
            <v>EAI</v>
          </cell>
          <cell r="AD149" t="str">
            <v>SM ET.4-10639</v>
          </cell>
          <cell r="AE149" t="str">
            <v>Spécification de management MF19</v>
          </cell>
          <cell r="AF149" t="str">
            <v>3.2.1</v>
          </cell>
          <cell r="AI149">
            <v>1</v>
          </cell>
          <cell r="AL149" t="str">
            <v>FD</v>
          </cell>
          <cell r="BJ149">
            <v>44022</v>
          </cell>
          <cell r="CH149" t="str">
            <v>MF19_BORD_BT_00022</v>
          </cell>
          <cell r="CI149" t="str">
            <v>AR</v>
          </cell>
          <cell r="CJ149" t="str">
            <v>FD</v>
          </cell>
        </row>
        <row r="150">
          <cell r="A150">
            <v>100438620</v>
          </cell>
          <cell r="B150" t="str">
            <v>Ligne_51.13_PPD</v>
          </cell>
          <cell r="C150" t="str">
            <v>51.13</v>
          </cell>
          <cell r="E150" t="str">
            <v>Dossier Descriptif du Fonctionnel (DDF)</v>
          </cell>
          <cell r="F150" t="str">
            <v>B</v>
          </cell>
          <cell r="G150" t="str">
            <v>DDF CABINE DE CONDUITE</v>
          </cell>
          <cell r="I150" t="str">
            <v>D000</v>
          </cell>
          <cell r="M150" t="str">
            <v>F-03_CONDUITE</v>
          </cell>
          <cell r="N150" t="str">
            <v>DDF</v>
          </cell>
          <cell r="O150" t="str">
            <v>SP_SPECIF</v>
          </cell>
          <cell r="Q150">
            <v>0</v>
          </cell>
          <cell r="R150" t="str">
            <v>BT</v>
          </cell>
          <cell r="S150" t="str">
            <v>BT</v>
          </cell>
          <cell r="T150" t="str">
            <v>AT</v>
          </cell>
          <cell r="U150" t="str">
            <v>Yousra Aboulhassan</v>
          </cell>
          <cell r="V150" t="str">
            <v>BOMBARDIER</v>
          </cell>
          <cell r="W150" t="str">
            <v>N</v>
          </cell>
          <cell r="X150" t="str">
            <v>Document contractuel FD</v>
          </cell>
          <cell r="AA150" t="str">
            <v>E</v>
          </cell>
          <cell r="AB150" t="str">
            <v>Projet</v>
          </cell>
          <cell r="AC150" t="str">
            <v>ETS/EMC</v>
          </cell>
          <cell r="AD150" t="str">
            <v>SM ET.4-10639</v>
          </cell>
          <cell r="AE150" t="str">
            <v>Spécification de management MF19</v>
          </cell>
          <cell r="AF150" t="str">
            <v>3.2.1</v>
          </cell>
          <cell r="AI150">
            <v>1</v>
          </cell>
          <cell r="AL150" t="str">
            <v>FD</v>
          </cell>
          <cell r="BJ150">
            <v>44022</v>
          </cell>
          <cell r="CH150" t="str">
            <v>MF19_BORD_BT_00022</v>
          </cell>
          <cell r="CI150" t="str">
            <v>AR</v>
          </cell>
          <cell r="CJ150" t="str">
            <v>FD</v>
          </cell>
        </row>
        <row r="151">
          <cell r="A151">
            <v>100438810</v>
          </cell>
          <cell r="B151" t="str">
            <v>Ligne_51.14_PPD</v>
          </cell>
          <cell r="C151" t="str">
            <v>51.14</v>
          </cell>
          <cell r="E151" t="str">
            <v>Dossier Descriptif du Fonctionnel (DDF)</v>
          </cell>
          <cell r="F151" t="str">
            <v>D</v>
          </cell>
          <cell r="G151" t="str">
            <v>DDF ROULEMENT</v>
          </cell>
          <cell r="I151" t="str">
            <v>D000</v>
          </cell>
          <cell r="M151" t="str">
            <v>F-01_ROULEMENT</v>
          </cell>
          <cell r="N151" t="str">
            <v>DDF</v>
          </cell>
          <cell r="O151" t="str">
            <v>SP_SPECIF</v>
          </cell>
          <cell r="Q151">
            <v>0</v>
          </cell>
          <cell r="R151" t="str">
            <v>BT</v>
          </cell>
          <cell r="S151" t="str">
            <v>BT</v>
          </cell>
          <cell r="T151" t="str">
            <v>AT</v>
          </cell>
          <cell r="U151" t="str">
            <v>Dominique Morel</v>
          </cell>
          <cell r="V151" t="str">
            <v>BOMBARDIER</v>
          </cell>
          <cell r="W151" t="str">
            <v>N</v>
          </cell>
          <cell r="X151" t="str">
            <v>Document contractuel FD</v>
          </cell>
          <cell r="AA151" t="str">
            <v>E</v>
          </cell>
          <cell r="AB151" t="str">
            <v>Projet</v>
          </cell>
          <cell r="AC151" t="str">
            <v>EMR</v>
          </cell>
          <cell r="AD151" t="str">
            <v>SM ET.4-10639</v>
          </cell>
          <cell r="AE151" t="str">
            <v>Spécification de management MF19</v>
          </cell>
          <cell r="AF151" t="str">
            <v>3.2.1</v>
          </cell>
          <cell r="AI151">
            <v>1</v>
          </cell>
          <cell r="AL151" t="str">
            <v>FD</v>
          </cell>
          <cell r="BJ151">
            <v>44022</v>
          </cell>
          <cell r="CH151" t="str">
            <v>MF19_BORD_BT_00032</v>
          </cell>
          <cell r="CI151" t="str">
            <v>-</v>
          </cell>
          <cell r="CJ151" t="str">
            <v>FD</v>
          </cell>
        </row>
        <row r="152">
          <cell r="A152">
            <v>100438623</v>
          </cell>
          <cell r="B152" t="str">
            <v>Ligne_51.15_PPD</v>
          </cell>
          <cell r="C152" t="str">
            <v>51.15</v>
          </cell>
          <cell r="E152" t="str">
            <v>Dossier Descriptif du Fonctionnel (DDF)</v>
          </cell>
          <cell r="F152" t="str">
            <v>C</v>
          </cell>
          <cell r="G152" t="str">
            <v>DDF CAISSE CONFORT</v>
          </cell>
          <cell r="I152" t="str">
            <v>D000</v>
          </cell>
          <cell r="M152" t="str">
            <v>F-07_CONFORT</v>
          </cell>
          <cell r="N152" t="str">
            <v>DDF</v>
          </cell>
          <cell r="O152" t="str">
            <v>SP_SPECIF</v>
          </cell>
          <cell r="Q152">
            <v>0</v>
          </cell>
          <cell r="R152" t="str">
            <v>BT</v>
          </cell>
          <cell r="S152" t="str">
            <v>BT</v>
          </cell>
          <cell r="T152" t="str">
            <v>AT</v>
          </cell>
          <cell r="U152" t="str">
            <v>Mélanie Phan</v>
          </cell>
          <cell r="V152" t="str">
            <v>BOMBARDIER</v>
          </cell>
          <cell r="W152" t="str">
            <v>N</v>
          </cell>
          <cell r="X152" t="str">
            <v>Document contractuel FD</v>
          </cell>
          <cell r="AA152" t="str">
            <v>E</v>
          </cell>
          <cell r="AB152" t="str">
            <v>Projet</v>
          </cell>
          <cell r="AC152" t="str">
            <v>EMC</v>
          </cell>
          <cell r="AD152" t="str">
            <v>SM ET.4-10639</v>
          </cell>
          <cell r="AE152" t="str">
            <v>Spécification de management MF19</v>
          </cell>
          <cell r="AF152" t="str">
            <v>3.2.1</v>
          </cell>
          <cell r="AI152">
            <v>1</v>
          </cell>
          <cell r="AL152" t="str">
            <v>FD</v>
          </cell>
          <cell r="BJ152">
            <v>44022</v>
          </cell>
          <cell r="CH152" t="str">
            <v>MF19_BORD_BT_00034</v>
          </cell>
          <cell r="CI152" t="str">
            <v>-</v>
          </cell>
          <cell r="CJ152" t="str">
            <v>FD</v>
          </cell>
        </row>
        <row r="153">
          <cell r="A153">
            <v>100438625</v>
          </cell>
          <cell r="B153" t="str">
            <v>Ligne_51.16_PPD</v>
          </cell>
          <cell r="C153" t="str">
            <v>51.16</v>
          </cell>
          <cell r="E153" t="str">
            <v>Dossier Descriptif du Fonctionnel (DDF)</v>
          </cell>
          <cell r="F153" t="str">
            <v>B</v>
          </cell>
          <cell r="G153" t="str">
            <v>DDF CAISSE CARBODY</v>
          </cell>
          <cell r="I153" t="str">
            <v>D000</v>
          </cell>
          <cell r="M153" t="str">
            <v>F-02_CAISSE</v>
          </cell>
          <cell r="N153" t="str">
            <v>DDF</v>
          </cell>
          <cell r="O153" t="str">
            <v>SP_SPECIF</v>
          </cell>
          <cell r="Q153">
            <v>0</v>
          </cell>
          <cell r="R153" t="str">
            <v>BT</v>
          </cell>
          <cell r="S153" t="str">
            <v>BT</v>
          </cell>
          <cell r="T153" t="str">
            <v>AT</v>
          </cell>
          <cell r="U153" t="str">
            <v>Alain Villain</v>
          </cell>
          <cell r="V153" t="str">
            <v>BOMBARDIER</v>
          </cell>
          <cell r="W153" t="str">
            <v>N</v>
          </cell>
          <cell r="X153" t="str">
            <v>Document contractuel FD</v>
          </cell>
          <cell r="AA153" t="str">
            <v>E</v>
          </cell>
          <cell r="AB153" t="str">
            <v>Projet</v>
          </cell>
          <cell r="AC153" t="str">
            <v>EMC</v>
          </cell>
          <cell r="AD153" t="str">
            <v>SM ET.4-10639</v>
          </cell>
          <cell r="AE153" t="str">
            <v>Spécification de management MF19</v>
          </cell>
          <cell r="AF153" t="str">
            <v>3.2.1</v>
          </cell>
          <cell r="AI153">
            <v>1</v>
          </cell>
          <cell r="AL153" t="str">
            <v>FD</v>
          </cell>
          <cell r="BJ153">
            <v>44022</v>
          </cell>
          <cell r="CH153" t="str">
            <v>MF19_BORD_BT_00021</v>
          </cell>
          <cell r="CI153" t="str">
            <v>A</v>
          </cell>
          <cell r="CJ153" t="str">
            <v>FD</v>
          </cell>
        </row>
        <row r="154">
          <cell r="A154" t="str">
            <v>ADD0003308470</v>
          </cell>
          <cell r="B154" t="str">
            <v>Ligne_51.17_PPD</v>
          </cell>
          <cell r="C154" t="str">
            <v>51.17</v>
          </cell>
          <cell r="E154" t="str">
            <v>Dossier Descriptif du Fonctionnel (DDF)</v>
          </cell>
          <cell r="F154" t="str">
            <v>A</v>
          </cell>
          <cell r="G154" t="str">
            <v>DDF TRAIN</v>
          </cell>
          <cell r="M154" t="str">
            <v>F-00_SYSTEME_TRAIN</v>
          </cell>
          <cell r="N154" t="str">
            <v>DDF</v>
          </cell>
          <cell r="O154" t="str">
            <v>SP_SPECIF</v>
          </cell>
          <cell r="Q154">
            <v>0</v>
          </cell>
          <cell r="R154" t="str">
            <v>VPF</v>
          </cell>
          <cell r="S154" t="str">
            <v>AT</v>
          </cell>
          <cell r="T154" t="str">
            <v>BT</v>
          </cell>
          <cell r="U154" t="str">
            <v>L.DERU</v>
          </cell>
          <cell r="V154" t="str">
            <v>ALSTOM</v>
          </cell>
          <cell r="W154" t="str">
            <v>N</v>
          </cell>
          <cell r="X154" t="str">
            <v>Document contractuel FD</v>
          </cell>
          <cell r="AA154" t="str">
            <v>E</v>
          </cell>
          <cell r="AB154" t="str">
            <v>Projet</v>
          </cell>
          <cell r="AC154" t="str">
            <v>ETS</v>
          </cell>
          <cell r="AD154" t="str">
            <v>SM ET.4-10639</v>
          </cell>
          <cell r="AE154" t="str">
            <v>Spécification de management MF19</v>
          </cell>
          <cell r="AF154" t="str">
            <v>3.2.1</v>
          </cell>
          <cell r="AI154">
            <v>1</v>
          </cell>
          <cell r="AL154" t="str">
            <v>FD</v>
          </cell>
          <cell r="BJ154">
            <v>44022</v>
          </cell>
          <cell r="CH154" t="str">
            <v>MF19_BORD_AT_00025</v>
          </cell>
          <cell r="CI154" t="str">
            <v>AR</v>
          </cell>
          <cell r="CJ154" t="str">
            <v>FD</v>
          </cell>
        </row>
        <row r="155">
          <cell r="B155" t="str">
            <v>Ligne_52_PPD</v>
          </cell>
          <cell r="C155">
            <v>52</v>
          </cell>
          <cell r="E155" t="str">
            <v>Matrice de correspondance entre les exigences fonctionnelles du DDF et les exigences fonctionnelles RATP du marché</v>
          </cell>
          <cell r="G155" t="str">
            <v>renvoi vers 49.1</v>
          </cell>
          <cell r="R155" t="str">
            <v>NA</v>
          </cell>
          <cell r="S155" t="str">
            <v>AT</v>
          </cell>
          <cell r="T155" t="str">
            <v>NA</v>
          </cell>
          <cell r="U155" t="str">
            <v>M.LEGROS</v>
          </cell>
          <cell r="Z155" t="str">
            <v>RTS 178 JS2 RP11 22/07/2020</v>
          </cell>
          <cell r="AA155" t="str">
            <v>E</v>
          </cell>
          <cell r="AB155" t="str">
            <v>Projet</v>
          </cell>
          <cell r="AC155" t="str">
            <v>RP11/CA</v>
          </cell>
          <cell r="AD155" t="str">
            <v>SM ET.4-10639</v>
          </cell>
          <cell r="AE155" t="str">
            <v>Spécification de management MF19</v>
          </cell>
          <cell r="AF155" t="str">
            <v>3.2.1</v>
          </cell>
          <cell r="AI155" t="str">
            <v>RENVOI</v>
          </cell>
          <cell r="AL155" t="str">
            <v>FP</v>
          </cell>
          <cell r="AN155" t="str">
            <v>FD</v>
          </cell>
          <cell r="CH155" t="e">
            <v>#N/A</v>
          </cell>
          <cell r="CI155" t="e">
            <v>#N/A</v>
          </cell>
          <cell r="CJ155" t="e">
            <v>#N/A</v>
          </cell>
        </row>
        <row r="156">
          <cell r="B156" t="str">
            <v>Ligne_53_PPD</v>
          </cell>
          <cell r="C156">
            <v>53</v>
          </cell>
          <cell r="E156" t="str">
            <v>Planning Général du Projet  (PGP)</v>
          </cell>
          <cell r="G156" t="str">
            <v>LIVRABLE</v>
          </cell>
          <cell r="R156" t="str">
            <v>NA</v>
          </cell>
          <cell r="S156" t="str">
            <v>AT</v>
          </cell>
          <cell r="T156" t="str">
            <v>NA</v>
          </cell>
          <cell r="U156" t="str">
            <v>NA</v>
          </cell>
          <cell r="AA156" t="str">
            <v>E</v>
          </cell>
          <cell r="AB156" t="str">
            <v>Projet</v>
          </cell>
          <cell r="AC156" t="str">
            <v>RP11/CA</v>
          </cell>
          <cell r="AD156" t="str">
            <v>SM ET.4-10639</v>
          </cell>
          <cell r="AE156" t="str">
            <v>Spécification de management MF19</v>
          </cell>
          <cell r="AF156" t="str">
            <v>4.2</v>
          </cell>
          <cell r="AI156" t="str">
            <v>LIVRABLE</v>
          </cell>
          <cell r="AJ156" t="str">
            <v>FP</v>
          </cell>
          <cell r="AL156" t="str">
            <v>FD</v>
          </cell>
          <cell r="CH156" t="e">
            <v>#N/A</v>
          </cell>
          <cell r="CI156" t="e">
            <v>#N/A</v>
          </cell>
          <cell r="CJ156" t="e">
            <v>#N/A</v>
          </cell>
        </row>
        <row r="157">
          <cell r="A157" t="str">
            <v>ADD0003308401</v>
          </cell>
          <cell r="B157" t="str">
            <v>Ligne_53.1_PPD</v>
          </cell>
          <cell r="C157" t="str">
            <v>53.1</v>
          </cell>
          <cell r="E157" t="str">
            <v>Planning Général du Projet  (PGP)</v>
          </cell>
          <cell r="F157" t="str">
            <v>B</v>
          </cell>
          <cell r="G157" t="str">
            <v>PLANNING PROJET-PRE-SERIE</v>
          </cell>
          <cell r="M157" t="str">
            <v>M-04_DEROULEMENT_ET_SUIVI_DU_PROJET</v>
          </cell>
          <cell r="N157" t="str">
            <v>DM</v>
          </cell>
          <cell r="O157" t="str">
            <v>PLN_PLANNING</v>
          </cell>
          <cell r="Q157">
            <v>0</v>
          </cell>
          <cell r="R157" t="str">
            <v>VPF</v>
          </cell>
          <cell r="S157" t="str">
            <v>AT</v>
          </cell>
          <cell r="T157" t="str">
            <v>BT</v>
          </cell>
          <cell r="U157" t="str">
            <v>H.EL-BOUSSAIRI</v>
          </cell>
          <cell r="V157" t="str">
            <v xml:space="preserve">ALSTOM </v>
          </cell>
          <cell r="W157" t="str">
            <v>N</v>
          </cell>
          <cell r="X157" t="str">
            <v>Contractuel Management</v>
          </cell>
          <cell r="AA157" t="str">
            <v>E</v>
          </cell>
          <cell r="AB157" t="str">
            <v>Projet</v>
          </cell>
          <cell r="AC157" t="str">
            <v>RP11/CA</v>
          </cell>
          <cell r="AD157" t="str">
            <v>SM ET.4-10639</v>
          </cell>
          <cell r="AE157" t="str">
            <v>Spécification de management MF19</v>
          </cell>
          <cell r="AF157" t="str">
            <v>4.2</v>
          </cell>
          <cell r="AI157">
            <v>1</v>
          </cell>
          <cell r="AJ157" t="str">
            <v>FP</v>
          </cell>
          <cell r="AL157" t="str">
            <v>FD</v>
          </cell>
          <cell r="BJ157">
            <v>44027</v>
          </cell>
          <cell r="CH157" t="str">
            <v>MF19_BORD_AT_00021</v>
          </cell>
          <cell r="CI157" t="str">
            <v>A</v>
          </cell>
          <cell r="CJ157" t="str">
            <v>FD</v>
          </cell>
        </row>
        <row r="158">
          <cell r="A158" t="str">
            <v>ADD0003308453</v>
          </cell>
          <cell r="B158" t="str">
            <v>Ligne_53.2_PPD</v>
          </cell>
          <cell r="C158" t="str">
            <v>53.2</v>
          </cell>
          <cell r="E158" t="str">
            <v>Planning Général du Projet  (PGP)</v>
          </cell>
          <cell r="F158" t="str">
            <v>B</v>
          </cell>
          <cell r="G158" t="str">
            <v>PLANNING PROJET-TRANCHE FERME-SERIE</v>
          </cell>
          <cell r="M158" t="str">
            <v>M-04_DEROULEMENT_ET_SUIVI_DU_PROJET</v>
          </cell>
          <cell r="N158" t="str">
            <v>DM</v>
          </cell>
          <cell r="O158" t="str">
            <v>PLN_PLANNING</v>
          </cell>
          <cell r="Q158">
            <v>0</v>
          </cell>
          <cell r="R158" t="str">
            <v>VPF</v>
          </cell>
          <cell r="S158" t="str">
            <v>AT</v>
          </cell>
          <cell r="T158" t="str">
            <v>BT</v>
          </cell>
          <cell r="U158" t="str">
            <v>H.EL-BOUSSAIRI</v>
          </cell>
          <cell r="V158" t="str">
            <v xml:space="preserve">ALSTOM </v>
          </cell>
          <cell r="W158" t="str">
            <v>N</v>
          </cell>
          <cell r="X158" t="str">
            <v>Contractuel Management</v>
          </cell>
          <cell r="AA158" t="str">
            <v>E</v>
          </cell>
          <cell r="AB158" t="str">
            <v>Projet</v>
          </cell>
          <cell r="AC158" t="str">
            <v>RP11/CA</v>
          </cell>
          <cell r="AD158" t="str">
            <v>SM ET.4-10639</v>
          </cell>
          <cell r="AE158" t="str">
            <v>Spécification de management MF19</v>
          </cell>
          <cell r="AF158" t="str">
            <v>4.2</v>
          </cell>
          <cell r="AI158">
            <v>1</v>
          </cell>
          <cell r="AJ158" t="str">
            <v>FP</v>
          </cell>
          <cell r="AL158" t="str">
            <v>FD</v>
          </cell>
          <cell r="BJ158">
            <v>44027</v>
          </cell>
          <cell r="CH158" t="str">
            <v>MF19_BORD_AT_00021</v>
          </cell>
          <cell r="CI158" t="str">
            <v>A</v>
          </cell>
          <cell r="CJ158" t="str">
            <v>FD</v>
          </cell>
        </row>
        <row r="159">
          <cell r="B159" t="str">
            <v>Ligne_55_PPD</v>
          </cell>
          <cell r="C159">
            <v>55</v>
          </cell>
          <cell r="E159" t="str">
            <v>Procédure de gestion des modifications (dont modèle de fiche de modification, modèle de devis, modèle de tableau de suivi des modifications, …)</v>
          </cell>
          <cell r="G159" t="str">
            <v>LIVRABLE</v>
          </cell>
          <cell r="R159" t="str">
            <v>NA</v>
          </cell>
          <cell r="S159" t="str">
            <v>AT</v>
          </cell>
          <cell r="T159" t="str">
            <v>NA</v>
          </cell>
          <cell r="U159" t="str">
            <v>NA</v>
          </cell>
          <cell r="AA159" t="str">
            <v>E</v>
          </cell>
          <cell r="AB159" t="str">
            <v>Projet</v>
          </cell>
          <cell r="AC159" t="str">
            <v>RP11/CA</v>
          </cell>
          <cell r="AD159" t="str">
            <v>SM ET.4-10639</v>
          </cell>
          <cell r="AE159" t="str">
            <v>Spécification de management MF19</v>
          </cell>
          <cell r="AF159" t="str">
            <v>3.3.1</v>
          </cell>
          <cell r="AI159" t="str">
            <v>LIVRABLE</v>
          </cell>
          <cell r="AL159" t="str">
            <v>FD</v>
          </cell>
          <cell r="CH159" t="e">
            <v>#N/A</v>
          </cell>
          <cell r="CI159" t="e">
            <v>#N/A</v>
          </cell>
          <cell r="CJ159" t="e">
            <v>#N/A</v>
          </cell>
        </row>
        <row r="160">
          <cell r="A160" t="str">
            <v>ADD0003308444</v>
          </cell>
          <cell r="B160" t="str">
            <v>Ligne_55.1_PPD</v>
          </cell>
          <cell r="C160" t="str">
            <v>55.1</v>
          </cell>
          <cell r="E160" t="str">
            <v>Procédure de gestion des modifications (dont modèle de fiche de modification, modèle de devis, modèle de tableau de suivi des modifications, …)</v>
          </cell>
          <cell r="F160" t="str">
            <v>A</v>
          </cell>
          <cell r="G160" t="str">
            <v>PLAN DE MANAGEMENT DE LA MODIFICATION</v>
          </cell>
          <cell r="M160" t="str">
            <v>M-06_GESTION_CONFIGURATION</v>
          </cell>
          <cell r="N160" t="str">
            <v>DM</v>
          </cell>
          <cell r="O160" t="str">
            <v>PMN_PLAN MANAGMT</v>
          </cell>
          <cell r="Q160">
            <v>0</v>
          </cell>
          <cell r="R160" t="str">
            <v>VPF</v>
          </cell>
          <cell r="S160" t="str">
            <v>AT</v>
          </cell>
          <cell r="T160" t="str">
            <v>BT</v>
          </cell>
          <cell r="U160" t="str">
            <v>M.FAGLIN-RHUE</v>
          </cell>
          <cell r="V160" t="str">
            <v xml:space="preserve">ALSTOM </v>
          </cell>
          <cell r="W160" t="str">
            <v>N</v>
          </cell>
          <cell r="X160" t="str">
            <v>Contractuel Management</v>
          </cell>
          <cell r="AA160" t="str">
            <v>E</v>
          </cell>
          <cell r="AB160" t="str">
            <v>Projet</v>
          </cell>
          <cell r="AC160" t="str">
            <v>RP11/CA</v>
          </cell>
          <cell r="AD160" t="str">
            <v>SM ET.4-10639</v>
          </cell>
          <cell r="AE160" t="str">
            <v>Spécification de management MF19</v>
          </cell>
          <cell r="AF160" t="str">
            <v>3.3.1</v>
          </cell>
          <cell r="AI160">
            <v>1</v>
          </cell>
          <cell r="AL160" t="str">
            <v>FD</v>
          </cell>
          <cell r="BJ160">
            <v>44011</v>
          </cell>
          <cell r="CH160" t="str">
            <v>MF19_BORD_AT_00013</v>
          </cell>
          <cell r="CI160" t="str">
            <v>A</v>
          </cell>
          <cell r="CJ160" t="str">
            <v>FD</v>
          </cell>
        </row>
        <row r="161">
          <cell r="A161" t="str">
            <v>ADD0003308448</v>
          </cell>
          <cell r="B161" t="str">
            <v>Ligne_55.2_PPD</v>
          </cell>
          <cell r="C161" t="str">
            <v>55.2</v>
          </cell>
          <cell r="E161" t="str">
            <v>Procédure de gestion des modifications (dont modèle de fiche de modification, modèle de devis, modèle de tableau de suivi des modifications, …)</v>
          </cell>
          <cell r="F161" t="str">
            <v>A</v>
          </cell>
          <cell r="G161" t="str">
            <v>TEMPLATE LIVRET EQUIPEMENTS TRAIN</v>
          </cell>
          <cell r="M161" t="str">
            <v>M-06_GESTION_CONFIGURATION</v>
          </cell>
          <cell r="N161" t="str">
            <v>DM</v>
          </cell>
          <cell r="O161" t="str">
            <v>SP_SPECIF</v>
          </cell>
          <cell r="Q161">
            <v>0</v>
          </cell>
          <cell r="R161" t="str">
            <v>VPF</v>
          </cell>
          <cell r="S161" t="str">
            <v>AT</v>
          </cell>
          <cell r="T161" t="str">
            <v>BT</v>
          </cell>
          <cell r="U161" t="str">
            <v>M.FAGLIN-RHUE</v>
          </cell>
          <cell r="V161" t="str">
            <v xml:space="preserve">ALSTOM </v>
          </cell>
          <cell r="W161" t="str">
            <v>N</v>
          </cell>
          <cell r="X161" t="str">
            <v>Contractuel Management</v>
          </cell>
          <cell r="AA161" t="str">
            <v>E</v>
          </cell>
          <cell r="AB161" t="str">
            <v>Projet</v>
          </cell>
          <cell r="AC161" t="str">
            <v>RP11/CA</v>
          </cell>
          <cell r="AD161" t="str">
            <v>SM ET.4-10639</v>
          </cell>
          <cell r="AE161" t="str">
            <v>Spécification de management MF19</v>
          </cell>
          <cell r="AF161" t="str">
            <v>3.3.1</v>
          </cell>
          <cell r="AI161">
            <v>1</v>
          </cell>
          <cell r="AL161" t="str">
            <v>FP</v>
          </cell>
          <cell r="AY161" t="str">
            <v>FD</v>
          </cell>
          <cell r="BJ161">
            <v>44011</v>
          </cell>
          <cell r="CH161" t="str">
            <v>MF19_BORD_AT_00018</v>
          </cell>
          <cell r="CI161" t="str">
            <v>AR</v>
          </cell>
          <cell r="CJ161" t="str">
            <v>FP</v>
          </cell>
        </row>
        <row r="162">
          <cell r="A162" t="str">
            <v>ADD0003308443</v>
          </cell>
          <cell r="B162" t="str">
            <v>Ligne_55.3_PPD</v>
          </cell>
          <cell r="C162" t="str">
            <v>55.3</v>
          </cell>
          <cell r="E162" t="str">
            <v>Procédure de gestion des modifications (dont modèle de fiche de modification, modèle de devis, modèle de tableau de suivi des modifications, …)</v>
          </cell>
          <cell r="F162" t="str">
            <v>B</v>
          </cell>
          <cell r="G162" t="str">
            <v>PLAN DE MANAGEMENT DE LA CONFIGURATION GROUPEMENT</v>
          </cell>
          <cell r="M162" t="str">
            <v>M-06_GESTION_CONFIGURATION</v>
          </cell>
          <cell r="N162" t="str">
            <v>DM</v>
          </cell>
          <cell r="O162" t="str">
            <v>PMN_PLAN MANAGMT</v>
          </cell>
          <cell r="Q162">
            <v>0</v>
          </cell>
          <cell r="R162" t="str">
            <v>VPF</v>
          </cell>
          <cell r="S162" t="str">
            <v>AT</v>
          </cell>
          <cell r="T162" t="str">
            <v>BT</v>
          </cell>
          <cell r="U162" t="str">
            <v>M.FAGLIN-RHUE</v>
          </cell>
          <cell r="V162" t="str">
            <v xml:space="preserve">ALSTOM </v>
          </cell>
          <cell r="W162" t="str">
            <v>N</v>
          </cell>
          <cell r="X162" t="str">
            <v>Contractuel Management</v>
          </cell>
          <cell r="AA162" t="str">
            <v>E</v>
          </cell>
          <cell r="AB162" t="str">
            <v>Projet</v>
          </cell>
          <cell r="AC162" t="str">
            <v>RP11/CA</v>
          </cell>
          <cell r="AD162" t="str">
            <v>SM ET.4-10639</v>
          </cell>
          <cell r="AE162" t="str">
            <v>Spécification de management MF19</v>
          </cell>
          <cell r="AF162" t="str">
            <v>3.3.1</v>
          </cell>
          <cell r="AI162">
            <v>1</v>
          </cell>
          <cell r="AL162" t="str">
            <v>FD</v>
          </cell>
          <cell r="BJ162">
            <v>44011</v>
          </cell>
          <cell r="CH162" t="str">
            <v>MF19_BORD_AT_00034</v>
          </cell>
          <cell r="CI162" t="str">
            <v>-</v>
          </cell>
          <cell r="CJ162" t="str">
            <v>FD</v>
          </cell>
        </row>
        <row r="163">
          <cell r="A163" t="str">
            <v>ADD0003308457</v>
          </cell>
          <cell r="B163" t="str">
            <v>Ligne_55.4_PPD</v>
          </cell>
          <cell r="C163" t="str">
            <v>55.4</v>
          </cell>
          <cell r="E163" t="str">
            <v>Procédure de gestion des modifications (dont modèle de fiche de modification, modèle de devis, modèle de tableau de suivi des modifications, …)</v>
          </cell>
          <cell r="F163" t="str">
            <v>B</v>
          </cell>
          <cell r="G163" t="str">
            <v xml:space="preserve">SPECIFICATION DE MARQUAGE </v>
          </cell>
          <cell r="M163" t="str">
            <v>M-06_GESTION_CONFIGURATION</v>
          </cell>
          <cell r="N163" t="str">
            <v>DM</v>
          </cell>
          <cell r="O163" t="str">
            <v>SP_SPECIF</v>
          </cell>
          <cell r="Q163">
            <v>0</v>
          </cell>
          <cell r="R163" t="str">
            <v>VPF</v>
          </cell>
          <cell r="S163" t="str">
            <v>AT</v>
          </cell>
          <cell r="T163" t="str">
            <v>BT</v>
          </cell>
          <cell r="U163" t="str">
            <v>M.FAGLIN-RHUE</v>
          </cell>
          <cell r="V163" t="str">
            <v xml:space="preserve">ALSTOM </v>
          </cell>
          <cell r="W163" t="str">
            <v>N</v>
          </cell>
          <cell r="X163" t="str">
            <v>Contractuel Management</v>
          </cell>
          <cell r="AA163" t="str">
            <v>E</v>
          </cell>
          <cell r="AB163" t="str">
            <v>Projet</v>
          </cell>
          <cell r="AC163" t="str">
            <v>RP11/CA</v>
          </cell>
          <cell r="AD163" t="str">
            <v>SM ET.4-10639</v>
          </cell>
          <cell r="AE163" t="str">
            <v>Spécification de management MF19</v>
          </cell>
          <cell r="AF163" t="str">
            <v>3.3.1</v>
          </cell>
          <cell r="AI163">
            <v>1</v>
          </cell>
          <cell r="AL163" t="str">
            <v>FD</v>
          </cell>
          <cell r="BJ163">
            <v>43987</v>
          </cell>
          <cell r="CH163" t="str">
            <v>MF19_BORD_AT_00020</v>
          </cell>
          <cell r="CI163" t="str">
            <v>A</v>
          </cell>
          <cell r="CJ163" t="str">
            <v>FD</v>
          </cell>
        </row>
        <row r="164">
          <cell r="A164" t="str">
            <v>ADD0003308509</v>
          </cell>
          <cell r="B164" t="str">
            <v>Ligne_55.5_PPD</v>
          </cell>
          <cell r="C164" t="str">
            <v>55.5</v>
          </cell>
          <cell r="E164" t="str">
            <v>Procédure de gestion des modifications (dont modèle de fiche de modification, modèle de devis, modèle de tableau de suivi des modifications, …)</v>
          </cell>
          <cell r="G164" t="str">
            <v>LAC-LISTE DES ARTICLES SUIVANT EN CONFIGURATION</v>
          </cell>
          <cell r="M164" t="str">
            <v>M-06_GESTION_CONFIGURATION</v>
          </cell>
          <cell r="N164" t="str">
            <v>DM</v>
          </cell>
          <cell r="O164" t="str">
            <v>SP_SPECIF</v>
          </cell>
          <cell r="R164" t="str">
            <v>VPF</v>
          </cell>
          <cell r="S164" t="str">
            <v>AT</v>
          </cell>
          <cell r="T164" t="str">
            <v>BT</v>
          </cell>
          <cell r="U164" t="str">
            <v>M.FAGLIN-RHUE</v>
          </cell>
          <cell r="X164" t="str">
            <v>Contractuel Management</v>
          </cell>
          <cell r="AA164" t="str">
            <v>E</v>
          </cell>
          <cell r="AB164" t="str">
            <v>Projet</v>
          </cell>
          <cell r="AC164" t="str">
            <v>RP11/CA</v>
          </cell>
          <cell r="AD164" t="str">
            <v>SM ET.4-10639</v>
          </cell>
          <cell r="AE164" t="str">
            <v>Spécification de management MF19</v>
          </cell>
          <cell r="AF164" t="str">
            <v>3.3.1</v>
          </cell>
          <cell r="AI164">
            <v>1</v>
          </cell>
          <cell r="AY164" t="str">
            <v>FP</v>
          </cell>
          <cell r="CH164" t="e">
            <v>#N/A</v>
          </cell>
          <cell r="CI164" t="e">
            <v>#N/A</v>
          </cell>
          <cell r="CJ164" t="e">
            <v>#N/A</v>
          </cell>
        </row>
        <row r="165">
          <cell r="A165" t="str">
            <v>ADD0003308511</v>
          </cell>
          <cell r="B165" t="str">
            <v>Ligne_55.6_PPD</v>
          </cell>
          <cell r="C165" t="str">
            <v>55.6</v>
          </cell>
          <cell r="E165" t="str">
            <v>Procédure de gestion des modifications (dont modèle de fiche de modification, modèle de devis, modèle de tableau de suivi des modifications, …)</v>
          </cell>
          <cell r="G165" t="str">
            <v>LIVRET PHOTOS GMAO</v>
          </cell>
          <cell r="M165" t="str">
            <v>M-06_GESTION_CONFIGURATION</v>
          </cell>
          <cell r="N165" t="str">
            <v>DM</v>
          </cell>
          <cell r="O165" t="str">
            <v>SP_SPECIF</v>
          </cell>
          <cell r="R165" t="str">
            <v>VPF</v>
          </cell>
          <cell r="S165" t="str">
            <v>AT</v>
          </cell>
          <cell r="T165" t="str">
            <v>BT</v>
          </cell>
          <cell r="U165" t="str">
            <v>M.FAGLIN-RHUE</v>
          </cell>
          <cell r="X165" t="str">
            <v>Contractuel Management</v>
          </cell>
          <cell r="AA165" t="str">
            <v>E</v>
          </cell>
          <cell r="AB165" t="str">
            <v>Projet</v>
          </cell>
          <cell r="AC165" t="str">
            <v>RP11/CA</v>
          </cell>
          <cell r="AD165" t="str">
            <v>SM ET.4-10639</v>
          </cell>
          <cell r="AE165" t="str">
            <v>Spécification de management MF19</v>
          </cell>
          <cell r="AF165" t="str">
            <v>3.3.1</v>
          </cell>
          <cell r="AI165">
            <v>1</v>
          </cell>
          <cell r="AY165" t="str">
            <v>FP</v>
          </cell>
          <cell r="CH165" t="e">
            <v>#N/A</v>
          </cell>
          <cell r="CI165" t="e">
            <v>#N/A</v>
          </cell>
          <cell r="CJ165" t="e">
            <v>#N/A</v>
          </cell>
        </row>
        <row r="166">
          <cell r="B166" t="str">
            <v>Ligne_56_PPD</v>
          </cell>
          <cell r="C166">
            <v>56</v>
          </cell>
          <cell r="E166" t="str">
            <v xml:space="preserve">Liste des couples produits/fournisseurs (LCPF) </v>
          </cell>
          <cell r="G166" t="str">
            <v>LIVRABLE</v>
          </cell>
          <cell r="R166" t="str">
            <v>NA</v>
          </cell>
          <cell r="S166" t="str">
            <v>ABT</v>
          </cell>
          <cell r="T166" t="str">
            <v>NA</v>
          </cell>
          <cell r="AA166" t="str">
            <v>E</v>
          </cell>
          <cell r="AB166" t="str">
            <v>Projet</v>
          </cell>
          <cell r="AC166" t="str">
            <v>M2I</v>
          </cell>
          <cell r="AD166" t="str">
            <v>SM ET.4-10639</v>
          </cell>
          <cell r="AE166" t="str">
            <v>Spécification de management MF19</v>
          </cell>
          <cell r="AF166" t="str">
            <v>9.3.4.2</v>
          </cell>
          <cell r="AI166" t="str">
            <v>LIVRABLE</v>
          </cell>
          <cell r="AL166" t="str">
            <v>FP</v>
          </cell>
          <cell r="AP166" t="str">
            <v>FD</v>
          </cell>
          <cell r="CH166" t="e">
            <v>#N/A</v>
          </cell>
          <cell r="CI166" t="e">
            <v>#N/A</v>
          </cell>
          <cell r="CJ166" t="e">
            <v>#N/A</v>
          </cell>
        </row>
        <row r="167">
          <cell r="A167" t="str">
            <v>ADD0003308442</v>
          </cell>
          <cell r="B167" t="str">
            <v>Ligne_56.1_PPD</v>
          </cell>
          <cell r="C167" t="str">
            <v>56.1</v>
          </cell>
          <cell r="E167" t="str">
            <v xml:space="preserve">Liste des couples produits/fournisseurs (LCPF) </v>
          </cell>
          <cell r="F167" t="str">
            <v>A</v>
          </cell>
          <cell r="G167" t="str">
            <v>LCPF-LISTE COUPLES PRODUITS-FOURNISSEURS AT</v>
          </cell>
          <cell r="M167" t="str">
            <v>M-09_ASSURANCE_QUALITE</v>
          </cell>
          <cell r="N167" t="str">
            <v>DM</v>
          </cell>
          <cell r="O167" t="str">
            <v>LCPF_LISTE DES COUPLES PRODUIT-FOURNISSEURS</v>
          </cell>
          <cell r="Q167">
            <v>0</v>
          </cell>
          <cell r="R167" t="str">
            <v>VPF</v>
          </cell>
          <cell r="S167" t="str">
            <v>AT</v>
          </cell>
          <cell r="T167" t="str">
            <v>NA</v>
          </cell>
          <cell r="U167" t="str">
            <v>L.FREMY</v>
          </cell>
          <cell r="V167" t="str">
            <v xml:space="preserve">ALSTOM </v>
          </cell>
          <cell r="W167" t="str">
            <v>N</v>
          </cell>
          <cell r="X167" t="str">
            <v>Contractuel Management</v>
          </cell>
          <cell r="AA167" t="str">
            <v>E</v>
          </cell>
          <cell r="AB167" t="str">
            <v>Projet</v>
          </cell>
          <cell r="AC167" t="str">
            <v>M2I</v>
          </cell>
          <cell r="AD167" t="str">
            <v>SM ET.4-10639</v>
          </cell>
          <cell r="AE167" t="str">
            <v>Spécification de management MF19</v>
          </cell>
          <cell r="AF167" t="str">
            <v>9.3.4.2</v>
          </cell>
          <cell r="AI167">
            <v>1</v>
          </cell>
          <cell r="AJ167" t="str">
            <v>FP</v>
          </cell>
          <cell r="AL167" t="str">
            <v>FP</v>
          </cell>
          <cell r="AP167" t="str">
            <v>FD</v>
          </cell>
          <cell r="BJ167">
            <v>44018</v>
          </cell>
          <cell r="CH167" t="str">
            <v>MF19_BORD_AT_00019</v>
          </cell>
          <cell r="CI167" t="str">
            <v>AR</v>
          </cell>
          <cell r="CJ167" t="str">
            <v>FP</v>
          </cell>
        </row>
        <row r="168">
          <cell r="A168">
            <v>100448308</v>
          </cell>
          <cell r="B168" t="str">
            <v>Ligne_56.2_PPD</v>
          </cell>
          <cell r="C168" t="str">
            <v>56.2</v>
          </cell>
          <cell r="E168" t="str">
            <v xml:space="preserve">Liste des couples produits/fournisseurs (LCPF) </v>
          </cell>
          <cell r="F168" t="str">
            <v>A</v>
          </cell>
          <cell r="G168" t="str">
            <v>LISTE COUPLES PRODUITS FOURNISSEURS BOMBARDIER</v>
          </cell>
          <cell r="M168" t="str">
            <v>F-00_SYSTEME_TRAIN</v>
          </cell>
          <cell r="N168" t="str">
            <v>DS</v>
          </cell>
          <cell r="O168" t="str">
            <v>LCPF_LISTE DES COUPLES PRODUIT-FOURNISSEURS</v>
          </cell>
          <cell r="Q168">
            <v>0</v>
          </cell>
          <cell r="R168" t="str">
            <v>BT</v>
          </cell>
          <cell r="S168" t="str">
            <v>BT</v>
          </cell>
          <cell r="T168" t="str">
            <v>EX</v>
          </cell>
          <cell r="U168" t="str">
            <v>Marie rey</v>
          </cell>
          <cell r="V168" t="str">
            <v>BOMBARDIER</v>
          </cell>
          <cell r="W168" t="str">
            <v>N</v>
          </cell>
          <cell r="X168" t="str">
            <v>Document contractuel FP</v>
          </cell>
          <cell r="AA168" t="str">
            <v>E</v>
          </cell>
          <cell r="AB168" t="str">
            <v>Projet</v>
          </cell>
          <cell r="AC168" t="str">
            <v>M2I</v>
          </cell>
          <cell r="AD168" t="str">
            <v>SM ET.4-10639</v>
          </cell>
          <cell r="AE168" t="str">
            <v>Spécification de management MF19</v>
          </cell>
          <cell r="AF168" t="str">
            <v>9.3.4.2</v>
          </cell>
          <cell r="AI168">
            <v>1</v>
          </cell>
          <cell r="AL168" t="str">
            <v>FP</v>
          </cell>
          <cell r="AP168" t="str">
            <v>FD</v>
          </cell>
          <cell r="BJ168">
            <v>44018</v>
          </cell>
          <cell r="CH168" t="str">
            <v>MF19_BORD_BT_00019</v>
          </cell>
          <cell r="CI168" t="str">
            <v>AR</v>
          </cell>
          <cell r="CJ168" t="str">
            <v>FP</v>
          </cell>
        </row>
        <row r="169">
          <cell r="A169" t="str">
            <v>ADD0003308439</v>
          </cell>
          <cell r="B169" t="str">
            <v>Ligne_57_PPD</v>
          </cell>
          <cell r="C169">
            <v>57</v>
          </cell>
          <cell r="E169" t="str">
            <v>Plan d'assurance qualité (PAQL) relatif aux logiciels et aux composants programmables et planning de fourniture de la documentation associée</v>
          </cell>
          <cell r="F169" t="str">
            <v>A</v>
          </cell>
          <cell r="G169" t="str">
            <v>PLAN ASSURANCE QUALITE LOGICIELS ET COMPOSANTS PROGRAMMABLES</v>
          </cell>
          <cell r="M169" t="str">
            <v>M-09_ASSURANCE_QUALITE</v>
          </cell>
          <cell r="N169" t="str">
            <v>DM</v>
          </cell>
          <cell r="O169" t="str">
            <v xml:space="preserve">DLOG_DOC LOGICIEL </v>
          </cell>
          <cell r="Q169">
            <v>0</v>
          </cell>
          <cell r="R169" t="str">
            <v>NA</v>
          </cell>
          <cell r="S169" t="str">
            <v>AT</v>
          </cell>
          <cell r="T169" t="str">
            <v>BT</v>
          </cell>
          <cell r="U169" t="str">
            <v>J.DOMAS</v>
          </cell>
          <cell r="V169" t="str">
            <v xml:space="preserve">ALSTOM </v>
          </cell>
          <cell r="W169" t="str">
            <v>N</v>
          </cell>
          <cell r="X169" t="str">
            <v>Contractuel Management</v>
          </cell>
          <cell r="Z169" t="str">
            <v>RTS 174 JS2 EAI 20/07/2020</v>
          </cell>
          <cell r="AA169" t="str">
            <v>E</v>
          </cell>
          <cell r="AB169" t="str">
            <v>Logiciel</v>
          </cell>
          <cell r="AC169" t="str">
            <v>EAI</v>
          </cell>
          <cell r="AD169" t="str">
            <v>ST EZ.4-20051 
ST EZ.4-20055 
ST EZ.4-20058</v>
          </cell>
          <cell r="AE169" t="str">
            <v xml:space="preserve">
Spécification technique pour la réalisation des logiciels embarqués
Composants électroniques complexes
Spécification pour la réalisation des outils de maintenance de niveau 1 sur PC portable</v>
          </cell>
          <cell r="AF169" t="str">
            <v>6.1.2</v>
          </cell>
          <cell r="AI169">
            <v>1</v>
          </cell>
          <cell r="AM169" t="str">
            <v>FD</v>
          </cell>
          <cell r="CH169" t="str">
            <v>MF19_BORD_AT_00014</v>
          </cell>
          <cell r="CI169" t="str">
            <v>AR</v>
          </cell>
          <cell r="CJ169" t="str">
            <v>FD</v>
          </cell>
        </row>
        <row r="170">
          <cell r="A170" t="str">
            <v>ADD0003308464</v>
          </cell>
          <cell r="B170" t="str">
            <v>Ligne_57.1_PPD</v>
          </cell>
          <cell r="C170" t="str">
            <v>57.1</v>
          </cell>
          <cell r="E170" t="str">
            <v>Plan d'assurance qualité (PAQL) relatif aux logiciels et aux composants programmables et planning de fourniture de la documentation associée</v>
          </cell>
          <cell r="G170" t="str">
            <v>PAQL INFORMATIQUE DE CONFORT</v>
          </cell>
          <cell r="R170" t="str">
            <v>VPF</v>
          </cell>
          <cell r="S170" t="str">
            <v>AT</v>
          </cell>
          <cell r="T170" t="str">
            <v>BT</v>
          </cell>
          <cell r="U170" t="str">
            <v>J.DOMAS</v>
          </cell>
          <cell r="Z170" t="str">
            <v>RTS 174 JS2 EAI 20/07/2020</v>
          </cell>
          <cell r="AA170" t="str">
            <v>E</v>
          </cell>
          <cell r="AB170" t="str">
            <v>Logiciel</v>
          </cell>
          <cell r="AC170" t="str">
            <v>EAI</v>
          </cell>
          <cell r="AD170" t="str">
            <v>ST EZ.4-20051 
ST EZ.4-20055 
ST EZ.4-20058</v>
          </cell>
          <cell r="AE170" t="str">
            <v xml:space="preserve">
Spécification technique pour la réalisation des logiciels embarqués
Composants électroniques complexes
Spécification pour la réalisation des outils de maintenance de niveau 1 sur PC portable</v>
          </cell>
          <cell r="AF170" t="str">
            <v>6.1.2</v>
          </cell>
          <cell r="AI170">
            <v>1</v>
          </cell>
          <cell r="AM170" t="str">
            <v>FD</v>
          </cell>
          <cell r="CH170" t="e">
            <v>#N/A</v>
          </cell>
          <cell r="CI170" t="e">
            <v>#N/A</v>
          </cell>
          <cell r="CJ170" t="e">
            <v>#N/A</v>
          </cell>
        </row>
        <row r="171">
          <cell r="B171" t="str">
            <v>Ligne_57.2_PPD</v>
          </cell>
          <cell r="C171" t="str">
            <v>57.2</v>
          </cell>
          <cell r="E171" t="str">
            <v>Plan d'assurance qualité (PAQL) relatif aux logiciels et aux composants programmables et planning de fourniture de la documentation associée</v>
          </cell>
          <cell r="G171" t="str">
            <v>PAQL-IS</v>
          </cell>
          <cell r="R171" t="str">
            <v>AIX</v>
          </cell>
          <cell r="S171" t="str">
            <v>AT</v>
          </cell>
          <cell r="T171" t="str">
            <v>EX</v>
          </cell>
          <cell r="U171" t="str">
            <v>MA.SAILLARD</v>
          </cell>
          <cell r="Z171" t="str">
            <v>RTS 174 JS2 EAI 20/07/2020</v>
          </cell>
          <cell r="AA171" t="str">
            <v>E</v>
          </cell>
          <cell r="AB171" t="str">
            <v>Logiciel</v>
          </cell>
          <cell r="AC171" t="str">
            <v>EAI</v>
          </cell>
          <cell r="AD171" t="str">
            <v>ST EZ.4-20051 
ST EZ.4-20055 
ST EZ.4-20058</v>
          </cell>
          <cell r="AE171" t="str">
            <v xml:space="preserve">
Spécification technique pour la réalisation des logiciels embarqués
Composants électroniques complexes
Spécification pour la réalisation des outils de maintenance de niveau 1 sur PC portable</v>
          </cell>
          <cell r="AF171" t="str">
            <v>6.1.2</v>
          </cell>
          <cell r="AI171">
            <v>1</v>
          </cell>
          <cell r="AM171" t="str">
            <v>FD</v>
          </cell>
          <cell r="CH171" t="e">
            <v>#N/A</v>
          </cell>
          <cell r="CI171" t="e">
            <v>#N/A</v>
          </cell>
          <cell r="CJ171" t="e">
            <v>#N/A</v>
          </cell>
        </row>
        <row r="172">
          <cell r="B172" t="str">
            <v>Ligne_57.3_PPD</v>
          </cell>
          <cell r="C172" t="str">
            <v>57.3</v>
          </cell>
          <cell r="E172" t="str">
            <v>Plan d'assurance qualité (PAQL) relatif aux logiciels et aux composants programmables et planning de fourniture de la documentation associée</v>
          </cell>
          <cell r="G172" t="str">
            <v>PAQL-PORTE</v>
          </cell>
          <cell r="R172" t="str">
            <v>VPF</v>
          </cell>
          <cell r="S172" t="str">
            <v>AT</v>
          </cell>
          <cell r="T172" t="str">
            <v>BT</v>
          </cell>
          <cell r="U172" t="str">
            <v>J.DOMAS</v>
          </cell>
          <cell r="Z172" t="str">
            <v>RTS 174 JS2 EAI 20/07/2020</v>
          </cell>
          <cell r="AA172" t="str">
            <v>E</v>
          </cell>
          <cell r="AB172" t="str">
            <v>Logiciel</v>
          </cell>
          <cell r="AC172" t="str">
            <v>EAI</v>
          </cell>
          <cell r="AD172" t="str">
            <v>ST EZ.4-20051 
ST EZ.4-20055 
ST EZ.4-20058</v>
          </cell>
          <cell r="AE172" t="str">
            <v xml:space="preserve">
Spécification technique pour la réalisation des logiciels embarqués
Composants électroniques complexes
Spécification pour la réalisation des outils de maintenance de niveau 1 sur PC portable</v>
          </cell>
          <cell r="AF172" t="str">
            <v>6.1.2</v>
          </cell>
          <cell r="AI172">
            <v>1</v>
          </cell>
          <cell r="AM172" t="str">
            <v>FD</v>
          </cell>
          <cell r="CH172" t="e">
            <v>#N/A</v>
          </cell>
          <cell r="CI172" t="e">
            <v>#N/A</v>
          </cell>
          <cell r="CJ172" t="e">
            <v>#N/A</v>
          </cell>
        </row>
        <row r="173">
          <cell r="B173" t="str">
            <v>Ligne_57.4_PPD</v>
          </cell>
          <cell r="C173" t="str">
            <v>57.4</v>
          </cell>
          <cell r="E173" t="str">
            <v>Plan d'assurance qualité (PAQL) relatif aux logiciels et aux composants programmables et planning de fourniture de la documentation associée</v>
          </cell>
          <cell r="G173" t="str">
            <v>PAQL-HVAC</v>
          </cell>
          <cell r="R173" t="str">
            <v>BT</v>
          </cell>
          <cell r="S173" t="str">
            <v>BT</v>
          </cell>
          <cell r="T173" t="str">
            <v>AT</v>
          </cell>
          <cell r="U173" t="str">
            <v>Boualem Aouchiche</v>
          </cell>
          <cell r="Z173" t="str">
            <v>RTS 174 JS2 EAI 20/07/2020</v>
          </cell>
          <cell r="AA173" t="str">
            <v>E</v>
          </cell>
          <cell r="AB173" t="str">
            <v>Logiciel</v>
          </cell>
          <cell r="AC173" t="str">
            <v>EAI</v>
          </cell>
          <cell r="AD173" t="str">
            <v>ST EZ.4-20051 
ST EZ.4-20055 
ST EZ.4-20058</v>
          </cell>
          <cell r="AE173" t="str">
            <v xml:space="preserve">
Spécification technique pour la réalisation des logiciels embarqués
Composants électroniques complexes
Spécification pour la réalisation des outils de maintenance de niveau 1 sur PC portable</v>
          </cell>
          <cell r="AF173" t="str">
            <v>6.1.2</v>
          </cell>
          <cell r="AI173">
            <v>1</v>
          </cell>
          <cell r="AM173" t="str">
            <v>FD</v>
          </cell>
          <cell r="BK173">
            <v>44162</v>
          </cell>
          <cell r="CH173" t="e">
            <v>#N/A</v>
          </cell>
          <cell r="CI173" t="e">
            <v>#N/A</v>
          </cell>
          <cell r="CJ173" t="e">
            <v>#N/A</v>
          </cell>
        </row>
        <row r="174">
          <cell r="B174" t="str">
            <v>Ligne_57.5_PPD</v>
          </cell>
          <cell r="C174" t="str">
            <v>57.5</v>
          </cell>
          <cell r="E174" t="str">
            <v>Plan d'assurance qualité (PAQL) relatif aux logiciels et aux composants programmables et planning de fourniture de la documentation associée</v>
          </cell>
          <cell r="G174" t="str">
            <v>PAQL-TRACTION</v>
          </cell>
          <cell r="R174" t="str">
            <v>TRT</v>
          </cell>
          <cell r="S174" t="str">
            <v>AT</v>
          </cell>
          <cell r="T174" t="str">
            <v>BT</v>
          </cell>
          <cell r="U174" t="str">
            <v>G.BITRIA</v>
          </cell>
          <cell r="V174" t="str">
            <v>ALSTOM</v>
          </cell>
          <cell r="Z174" t="str">
            <v>RTS 174 JS2 EAI 20/07/2020</v>
          </cell>
          <cell r="AA174" t="str">
            <v>E</v>
          </cell>
          <cell r="AB174" t="str">
            <v>Logiciel</v>
          </cell>
          <cell r="AC174" t="str">
            <v>EAI</v>
          </cell>
          <cell r="AD174" t="str">
            <v>ST EZ.4-20051 
ST EZ.4-20055 
ST EZ.4-20058</v>
          </cell>
          <cell r="AE174" t="str">
            <v xml:space="preserve">
Spécification technique pour la réalisation des logiciels embarqués
Composants électroniques complexes
Spécification pour la réalisation des outils de maintenance de niveau 1 sur PC portable</v>
          </cell>
          <cell r="AF174" t="str">
            <v>6.1.2</v>
          </cell>
          <cell r="AI174">
            <v>1</v>
          </cell>
          <cell r="AM174" t="str">
            <v>FD</v>
          </cell>
          <cell r="CH174" t="e">
            <v>#N/A</v>
          </cell>
          <cell r="CI174" t="e">
            <v>#N/A</v>
          </cell>
          <cell r="CJ174" t="e">
            <v>#N/A</v>
          </cell>
        </row>
        <row r="175">
          <cell r="B175" t="str">
            <v>Ligne_57.6_PPD</v>
          </cell>
          <cell r="C175" t="str">
            <v>57.6</v>
          </cell>
          <cell r="E175" t="str">
            <v>Plan d'assurance qualité (PAQL) relatif aux logiciels et aux composants programmables et planning de fourniture de la documentation associée</v>
          </cell>
          <cell r="G175" t="str">
            <v>PAQL-FREINS</v>
          </cell>
          <cell r="R175" t="str">
            <v>TRT</v>
          </cell>
          <cell r="S175" t="str">
            <v>AT</v>
          </cell>
          <cell r="T175" t="str">
            <v>BT</v>
          </cell>
          <cell r="U175" t="str">
            <v>G.BITRIA</v>
          </cell>
          <cell r="V175" t="str">
            <v>ALSTOM</v>
          </cell>
          <cell r="Z175" t="str">
            <v>RTS 174 JS2 EAI 20/07/2020</v>
          </cell>
          <cell r="AA175" t="str">
            <v>E</v>
          </cell>
          <cell r="AB175" t="str">
            <v>Logiciel</v>
          </cell>
          <cell r="AC175" t="str">
            <v>EAI</v>
          </cell>
          <cell r="AD175" t="str">
            <v>ST EZ.4-20051 
ST EZ.4-20055 
ST EZ.4-20058</v>
          </cell>
          <cell r="AE175" t="str">
            <v xml:space="preserve">
Spécification technique pour la réalisation des logiciels embarqués
Composants électroniques complexes
Spécification pour la réalisation des outils de maintenance de niveau 1 sur PC portable</v>
          </cell>
          <cell r="AF175" t="str">
            <v>6.1.2</v>
          </cell>
          <cell r="AI175">
            <v>1</v>
          </cell>
          <cell r="AM175" t="str">
            <v>FD</v>
          </cell>
          <cell r="CH175" t="e">
            <v>#N/A</v>
          </cell>
          <cell r="CI175" t="e">
            <v>#N/A</v>
          </cell>
          <cell r="CJ175" t="e">
            <v>#N/A</v>
          </cell>
        </row>
        <row r="176">
          <cell r="B176" t="str">
            <v>Ligne_57.7_PPD</v>
          </cell>
          <cell r="C176" t="str">
            <v>57.7</v>
          </cell>
          <cell r="E176" t="str">
            <v>Plan d'assurance qualité (PAQL) relatif aux logiciels et aux composants programmables et planning de fourniture de la documentation associée</v>
          </cell>
          <cell r="G176" t="str">
            <v>PAQL-IVSC</v>
          </cell>
          <cell r="R176" t="str">
            <v>VBN</v>
          </cell>
          <cell r="S176" t="str">
            <v>AT</v>
          </cell>
          <cell r="T176" t="str">
            <v>EX</v>
          </cell>
          <cell r="U176" t="str">
            <v>P.DENIS</v>
          </cell>
          <cell r="V176" t="str">
            <v>ALSTOM</v>
          </cell>
          <cell r="Z176" t="str">
            <v>RTS 174 JS2 EAI 20/07/2020</v>
          </cell>
          <cell r="AA176" t="str">
            <v>E</v>
          </cell>
          <cell r="AB176" t="str">
            <v>Logiciel</v>
          </cell>
          <cell r="AC176" t="str">
            <v>EAI</v>
          </cell>
          <cell r="AD176" t="str">
            <v>ST EZ.4-20051 
ST EZ.4-20055 
ST EZ.4-20058</v>
          </cell>
          <cell r="AE176" t="str">
            <v xml:space="preserve">
Spécification technique pour la réalisation des logiciels embarqués
Composants électroniques complexes
Spécification pour la réalisation des outils de maintenance de niveau 1 sur PC portable</v>
          </cell>
          <cell r="AF176" t="str">
            <v>6.1.2</v>
          </cell>
          <cell r="AI176">
            <v>1</v>
          </cell>
          <cell r="AM176" t="str">
            <v>FD</v>
          </cell>
          <cell r="CH176" t="e">
            <v>#N/A</v>
          </cell>
          <cell r="CI176" t="e">
            <v>#N/A</v>
          </cell>
          <cell r="CJ176" t="e">
            <v>#N/A</v>
          </cell>
        </row>
        <row r="177">
          <cell r="B177" t="str">
            <v>Ligne_57.8_PPD</v>
          </cell>
          <cell r="C177" t="str">
            <v>57.8</v>
          </cell>
          <cell r="E177" t="str">
            <v>Plan d'assurance qualité (PAQL) relatif aux logiciels et aux composants programmables et planning de fourniture de la documentation associée</v>
          </cell>
          <cell r="G177" t="str">
            <v>PAQL-VIDEO PROTECTION</v>
          </cell>
          <cell r="R177" t="str">
            <v>VBN</v>
          </cell>
          <cell r="S177" t="str">
            <v>AT</v>
          </cell>
          <cell r="T177" t="str">
            <v>EX</v>
          </cell>
          <cell r="U177" t="str">
            <v>P.DENIS</v>
          </cell>
          <cell r="V177" t="str">
            <v>ALSTOM</v>
          </cell>
          <cell r="Z177" t="str">
            <v>RTS 174 JS2 EAI 20/07/2020</v>
          </cell>
          <cell r="AA177" t="str">
            <v>E</v>
          </cell>
          <cell r="AB177" t="str">
            <v>Logiciel</v>
          </cell>
          <cell r="AC177" t="str">
            <v>EAI</v>
          </cell>
          <cell r="AD177" t="str">
            <v>ST EZ.4-20051 
ST EZ.4-20055 
ST EZ.4-20058</v>
          </cell>
          <cell r="AE177" t="str">
            <v xml:space="preserve">
Spécification technique pour la réalisation des logiciels embarqués
Composants électroniques complexes
Spécification pour la réalisation des outils de maintenance de niveau 1 sur PC portable</v>
          </cell>
          <cell r="AF177" t="str">
            <v>6.1.2</v>
          </cell>
          <cell r="AI177">
            <v>1</v>
          </cell>
          <cell r="AM177" t="str">
            <v>FD</v>
          </cell>
          <cell r="CH177" t="e">
            <v>#N/A</v>
          </cell>
          <cell r="CI177" t="e">
            <v>#N/A</v>
          </cell>
          <cell r="CJ177" t="e">
            <v>#N/A</v>
          </cell>
        </row>
        <row r="178">
          <cell r="B178" t="str">
            <v>Ligne_57.9_PPD</v>
          </cell>
          <cell r="C178" t="str">
            <v>57.9</v>
          </cell>
          <cell r="E178" t="str">
            <v>Plan d'assurance qualité (PAQL) relatif aux logiciels et aux composants programmables et planning de fourniture de la documentation associée</v>
          </cell>
          <cell r="G178" t="str">
            <v>PAQL-CVS LOGICIEL APPLICATIF</v>
          </cell>
          <cell r="R178" t="str">
            <v>CHA</v>
          </cell>
          <cell r="S178" t="str">
            <v>AT</v>
          </cell>
          <cell r="T178" t="str">
            <v>BT</v>
          </cell>
          <cell r="V178" t="str">
            <v>ALSTOM</v>
          </cell>
          <cell r="Z178" t="str">
            <v>RTS 174 JS2 EAI 20/07/2020</v>
          </cell>
          <cell r="AA178" t="str">
            <v>E</v>
          </cell>
          <cell r="AB178" t="str">
            <v>Logiciel</v>
          </cell>
          <cell r="AC178" t="str">
            <v>EAI</v>
          </cell>
          <cell r="AD178" t="str">
            <v>ST EZ.4-20051 
ST EZ.4-20055 
ST EZ.4-20058</v>
          </cell>
          <cell r="AE178" t="str">
            <v xml:space="preserve">
Spécification technique pour la réalisation des logiciels embarqués
Composants électroniques complexes
Spécification pour la réalisation des outils de maintenance de niveau 1 sur PC portable</v>
          </cell>
          <cell r="AF178" t="str">
            <v>6.1.2</v>
          </cell>
          <cell r="AI178">
            <v>1</v>
          </cell>
          <cell r="AM178" t="str">
            <v>FD</v>
          </cell>
          <cell r="CH178" t="e">
            <v>#N/A</v>
          </cell>
          <cell r="CI178" t="e">
            <v>#N/A</v>
          </cell>
          <cell r="CJ178" t="e">
            <v>#N/A</v>
          </cell>
        </row>
        <row r="179">
          <cell r="B179" t="str">
            <v>Ligne_57.10_PPD</v>
          </cell>
          <cell r="C179" t="str">
            <v>57.10</v>
          </cell>
          <cell r="E179" t="str">
            <v>Plan d'assurance qualité (PAQL) relatif aux logiciels et aux composants programmables et planning de fourniture de la documentation associée</v>
          </cell>
          <cell r="G179" t="str">
            <v>PAQL-CVS LOGICIEL BASE</v>
          </cell>
          <cell r="R179" t="str">
            <v>CHA</v>
          </cell>
          <cell r="S179" t="str">
            <v>AT</v>
          </cell>
          <cell r="T179" t="str">
            <v>BT</v>
          </cell>
          <cell r="V179" t="str">
            <v>ALSTOM</v>
          </cell>
          <cell r="Z179" t="str">
            <v>RTS 174 JS2 EAI 20/07/2020</v>
          </cell>
          <cell r="AA179" t="str">
            <v>E</v>
          </cell>
          <cell r="AB179" t="str">
            <v>Logiciel</v>
          </cell>
          <cell r="AC179" t="str">
            <v>EAI</v>
          </cell>
          <cell r="AD179" t="str">
            <v>ST EZ.4-20051 
ST EZ.4-20055 
ST EZ.4-20058</v>
          </cell>
          <cell r="AE179" t="str">
            <v xml:space="preserve">
Spécification technique pour la réalisation des logiciels embarqués
Composants électroniques complexes
Spécification pour la réalisation des outils de maintenance de niveau 1 sur PC portable</v>
          </cell>
          <cell r="AF179" t="str">
            <v>6.1.2</v>
          </cell>
          <cell r="AI179">
            <v>1</v>
          </cell>
          <cell r="AM179" t="str">
            <v>FD</v>
          </cell>
          <cell r="CH179" t="e">
            <v>#N/A</v>
          </cell>
          <cell r="CI179" t="e">
            <v>#N/A</v>
          </cell>
          <cell r="CJ179" t="e">
            <v>#N/A</v>
          </cell>
        </row>
        <row r="180">
          <cell r="B180" t="str">
            <v>Ligne_57.11_PPD</v>
          </cell>
          <cell r="C180" t="str">
            <v>57.11</v>
          </cell>
          <cell r="E180" t="str">
            <v>Plan d'assurance qualité (PAQL) relatif aux logiciels et aux composants programmables et planning de fourniture de la documentation associée</v>
          </cell>
          <cell r="G180" t="str">
            <v>PAQL - PASSERELLE SOL ET COMPTAGE PASSAGER</v>
          </cell>
          <cell r="R180" t="str">
            <v>VBN</v>
          </cell>
          <cell r="S180" t="str">
            <v>AT</v>
          </cell>
          <cell r="T180" t="str">
            <v>BT</v>
          </cell>
          <cell r="U180" t="str">
            <v>P.DENIS</v>
          </cell>
          <cell r="V180" t="str">
            <v>ALSTOM</v>
          </cell>
          <cell r="Z180" t="str">
            <v>RTS 174 JS2 EAI 20/07/2020</v>
          </cell>
          <cell r="AA180" t="str">
            <v>E</v>
          </cell>
          <cell r="AB180" t="str">
            <v>Logiciel</v>
          </cell>
          <cell r="AC180" t="str">
            <v>EAI</v>
          </cell>
          <cell r="AD180" t="str">
            <v>ST EZ.4-20051 
ST EZ.4-20055 
ST EZ.4-20058</v>
          </cell>
          <cell r="AE180" t="str">
            <v xml:space="preserve">
Spécification technique pour la réalisation des logiciels embarqués
Composants électroniques complexes
Spécification pour la réalisation des outils de maintenance de niveau 1 sur PC portable</v>
          </cell>
          <cell r="AF180" t="str">
            <v>6.1.2</v>
          </cell>
          <cell r="AI180">
            <v>1</v>
          </cell>
          <cell r="AM180" t="str">
            <v>FD</v>
          </cell>
          <cell r="CH180" t="e">
            <v>#N/A</v>
          </cell>
          <cell r="CI180" t="e">
            <v>#N/A</v>
          </cell>
          <cell r="CJ180" t="e">
            <v>#N/A</v>
          </cell>
        </row>
        <row r="181">
          <cell r="B181" t="str">
            <v>Ligne_57.12_PPD</v>
          </cell>
          <cell r="C181" t="str">
            <v>57.12</v>
          </cell>
          <cell r="E181" t="str">
            <v>Plan d'assurance qualité (PAQL) relatif aux logiciels et aux composants programmables et planning de fourniture de la documentation associée</v>
          </cell>
          <cell r="G181" t="str">
            <v>PAQCP : Plan d’Assurance Qualité du LCEC</v>
          </cell>
          <cell r="R181" t="str">
            <v>NA</v>
          </cell>
          <cell r="S181" t="str">
            <v>AT</v>
          </cell>
          <cell r="T181" t="str">
            <v>NA</v>
          </cell>
          <cell r="U181" t="str">
            <v>J.DOMAS</v>
          </cell>
          <cell r="Z181" t="str">
            <v>RTS 174 JS2 EAI 20/07/2020</v>
          </cell>
          <cell r="AA181" t="str">
            <v>E</v>
          </cell>
          <cell r="AB181" t="str">
            <v>Logiciel</v>
          </cell>
          <cell r="AC181" t="str">
            <v>EAI</v>
          </cell>
          <cell r="AD181" t="str">
            <v>ST EZ.4-20055</v>
          </cell>
          <cell r="AE181" t="str">
            <v xml:space="preserve">
Spécification pour la réalisation des logiciels embarqués
Composants électroniques complexes
Spécification pour la réalisation des outils de maintenance de niveau 1 sur PC portable
</v>
          </cell>
          <cell r="AF181" t="str">
            <v>8.1.2.2</v>
          </cell>
          <cell r="AI181" t="str">
            <v>LIVRABLE</v>
          </cell>
          <cell r="AM181" t="str">
            <v>FD</v>
          </cell>
          <cell r="CG181" t="str">
            <v>11/10/2020 : avant c'était l'item 214.64 du PPD Contrat, qui n'existe plus</v>
          </cell>
          <cell r="CH181" t="e">
            <v>#N/A</v>
          </cell>
          <cell r="CI181" t="e">
            <v>#N/A</v>
          </cell>
          <cell r="CJ181" t="e">
            <v>#N/A</v>
          </cell>
        </row>
        <row r="182">
          <cell r="B182" t="str">
            <v>Ligne_57.12.1_PPD</v>
          </cell>
          <cell r="C182" t="str">
            <v>57.12.1</v>
          </cell>
          <cell r="E182" t="str">
            <v>Plan d'assurance qualité (PAQL) relatif aux logiciels et aux composants programmables et planning de fourniture de la documentation associée</v>
          </cell>
          <cell r="G182" t="str">
            <v>PAQCP IFEL-C2</v>
          </cell>
          <cell r="R182" t="str">
            <v>AIX</v>
          </cell>
          <cell r="S182" t="str">
            <v>AT</v>
          </cell>
          <cell r="T182" t="str">
            <v>BT</v>
          </cell>
          <cell r="U182" t="str">
            <v>MA.SAILLARD</v>
          </cell>
          <cell r="Z182" t="str">
            <v>RTS 174 JS2 EAI 20/07/2020</v>
          </cell>
          <cell r="AA182" t="str">
            <v>E</v>
          </cell>
          <cell r="AB182" t="str">
            <v>Logiciel</v>
          </cell>
          <cell r="AC182" t="str">
            <v>EAI</v>
          </cell>
          <cell r="AD182" t="str">
            <v>ST EZ.4-20055</v>
          </cell>
          <cell r="AE182" t="str">
            <v xml:space="preserve">
Spécification pour la réalisation des logiciels embarqués
Composants électroniques complexes
Spécification pour la réalisation des outils de maintenance de niveau 1 sur PC portable
</v>
          </cell>
          <cell r="AF182" t="str">
            <v>8.1.2.2</v>
          </cell>
          <cell r="AI182">
            <v>1</v>
          </cell>
          <cell r="AM182" t="str">
            <v>FD</v>
          </cell>
          <cell r="CH182" t="e">
            <v>#N/A</v>
          </cell>
          <cell r="CI182" t="e">
            <v>#N/A</v>
          </cell>
          <cell r="CJ182" t="e">
            <v>#N/A</v>
          </cell>
        </row>
        <row r="183">
          <cell r="B183" t="str">
            <v>Ligne_58_PPD</v>
          </cell>
          <cell r="C183">
            <v>58</v>
          </cell>
          <cell r="E183" t="str">
            <v>Plans de gestion de Configuration des logiciels (PGCL)</v>
          </cell>
          <cell r="G183" t="str">
            <v>LIVRABLE (selon fournisseur peut être inclus dans PAQL)</v>
          </cell>
          <cell r="R183" t="str">
            <v>NA</v>
          </cell>
          <cell r="S183" t="str">
            <v>AT</v>
          </cell>
          <cell r="T183" t="str">
            <v>NA</v>
          </cell>
          <cell r="U183" t="str">
            <v>NA</v>
          </cell>
          <cell r="Z183" t="str">
            <v>RTS 174 JS2 EAI 20/07/2020</v>
          </cell>
          <cell r="AA183" t="str">
            <v>E</v>
          </cell>
          <cell r="AB183" t="str">
            <v>Logiciel</v>
          </cell>
          <cell r="AC183" t="str">
            <v>EAI</v>
          </cell>
          <cell r="AD183" t="str">
            <v>ST EZ.4-20051</v>
          </cell>
          <cell r="AE183" t="str">
            <v>Spécification pour la réalisation des logiciels embarqués</v>
          </cell>
          <cell r="AF183" t="str">
            <v>6.1.3</v>
          </cell>
          <cell r="AI183" t="str">
            <v>LIVRABLE</v>
          </cell>
          <cell r="AM183" t="str">
            <v>FD</v>
          </cell>
          <cell r="CG183" t="str">
            <v>11/10/2020 : avant c'était l'item 214.5 du PPD Contrat, qui n'existe plus</v>
          </cell>
          <cell r="CH183" t="e">
            <v>#N/A</v>
          </cell>
          <cell r="CI183" t="e">
            <v>#N/A</v>
          </cell>
          <cell r="CJ183" t="e">
            <v>#N/A</v>
          </cell>
        </row>
        <row r="184">
          <cell r="A184" t="str">
            <v>ADD0003308467</v>
          </cell>
          <cell r="B184" t="str">
            <v>Ligne_58.1_PPD</v>
          </cell>
          <cell r="C184" t="str">
            <v>58.1</v>
          </cell>
          <cell r="E184" t="str">
            <v>Plans de gestion de Configuration des logiciels (PGCL)</v>
          </cell>
          <cell r="G184" t="str">
            <v>PGCL INFORMATIQUE DE CONFORT</v>
          </cell>
          <cell r="R184" t="str">
            <v>VPF</v>
          </cell>
          <cell r="S184" t="str">
            <v>AT</v>
          </cell>
          <cell r="T184" t="str">
            <v>EX</v>
          </cell>
          <cell r="U184" t="str">
            <v>F.LEBTAHI</v>
          </cell>
          <cell r="Z184" t="str">
            <v>RTS 174 JS2 EAI 20/07/2020</v>
          </cell>
          <cell r="AA184" t="str">
            <v>E</v>
          </cell>
          <cell r="AB184" t="str">
            <v>Logiciel</v>
          </cell>
          <cell r="AC184" t="str">
            <v>EAI</v>
          </cell>
          <cell r="AD184" t="str">
            <v>ST EZ.4-20051</v>
          </cell>
          <cell r="AE184" t="str">
            <v>Spécification pour la réalisation des logiciels embarqués</v>
          </cell>
          <cell r="AF184" t="str">
            <v>6.1.3</v>
          </cell>
          <cell r="AI184">
            <v>1</v>
          </cell>
          <cell r="AM184" t="str">
            <v>FD</v>
          </cell>
          <cell r="CH184" t="e">
            <v>#N/A</v>
          </cell>
          <cell r="CI184" t="e">
            <v>#N/A</v>
          </cell>
          <cell r="CJ184" t="e">
            <v>#N/A</v>
          </cell>
        </row>
        <row r="185">
          <cell r="B185" t="str">
            <v>Ligne_58.2_PPD</v>
          </cell>
          <cell r="C185" t="str">
            <v>58.2</v>
          </cell>
          <cell r="E185" t="str">
            <v>Plans de gestion de Configuration des logiciels (PGCL)</v>
          </cell>
          <cell r="G185" t="str">
            <v>PGCL-IS</v>
          </cell>
          <cell r="R185" t="str">
            <v>AIX</v>
          </cell>
          <cell r="S185" t="str">
            <v>AT</v>
          </cell>
          <cell r="T185" t="str">
            <v>EX</v>
          </cell>
          <cell r="U185" t="str">
            <v>MA.SAILLARD</v>
          </cell>
          <cell r="Z185" t="str">
            <v>RTS 174 JS2 EAI 20/07/2020</v>
          </cell>
          <cell r="AA185" t="str">
            <v>E</v>
          </cell>
          <cell r="AB185" t="str">
            <v>Logiciel</v>
          </cell>
          <cell r="AC185" t="str">
            <v>EAI</v>
          </cell>
          <cell r="AD185" t="str">
            <v>ST EZ.4-20051</v>
          </cell>
          <cell r="AE185" t="str">
            <v>Spécification pour la réalisation des logiciels embarqués</v>
          </cell>
          <cell r="AF185" t="str">
            <v>6.1.3</v>
          </cell>
          <cell r="AI185">
            <v>1</v>
          </cell>
          <cell r="AM185" t="str">
            <v>FD</v>
          </cell>
          <cell r="CH185" t="e">
            <v>#N/A</v>
          </cell>
          <cell r="CI185" t="e">
            <v>#N/A</v>
          </cell>
          <cell r="CJ185" t="e">
            <v>#N/A</v>
          </cell>
        </row>
        <row r="186">
          <cell r="B186" t="str">
            <v>Ligne_58.3_PPD</v>
          </cell>
          <cell r="C186" t="str">
            <v>58.3</v>
          </cell>
          <cell r="E186" t="str">
            <v>Plans de gestion de Configuration des logiciels (PGCL)</v>
          </cell>
          <cell r="G186" t="str">
            <v>PGCL-PORTE (inclus dasn PAQL 57.3)</v>
          </cell>
          <cell r="R186" t="str">
            <v>NA</v>
          </cell>
          <cell r="S186" t="str">
            <v>AT</v>
          </cell>
          <cell r="T186" t="str">
            <v>NA</v>
          </cell>
          <cell r="U186" t="str">
            <v>H.FIEVET</v>
          </cell>
          <cell r="Z186" t="str">
            <v>RTS 174 JS2 EAI 20/07/2020</v>
          </cell>
          <cell r="AA186" t="str">
            <v>E</v>
          </cell>
          <cell r="AB186" t="str">
            <v>Logiciel</v>
          </cell>
          <cell r="AC186" t="str">
            <v>EAI</v>
          </cell>
          <cell r="AD186" t="str">
            <v>ST EZ.4-20051</v>
          </cell>
          <cell r="AE186" t="str">
            <v>Spécification pour la réalisation des logiciels embarqués</v>
          </cell>
          <cell r="AF186" t="str">
            <v>6.1.3</v>
          </cell>
          <cell r="AI186" t="str">
            <v>RENVOI</v>
          </cell>
          <cell r="AM186" t="str">
            <v>FD</v>
          </cell>
          <cell r="CH186" t="e">
            <v>#N/A</v>
          </cell>
          <cell r="CI186" t="e">
            <v>#N/A</v>
          </cell>
          <cell r="CJ186" t="e">
            <v>#N/A</v>
          </cell>
        </row>
        <row r="187">
          <cell r="B187" t="str">
            <v>Ligne_58.4_PPD</v>
          </cell>
          <cell r="C187" t="str">
            <v>58.4</v>
          </cell>
          <cell r="E187" t="str">
            <v>Plans de gestion de Configuration des logiciels (PGCL)</v>
          </cell>
          <cell r="G187" t="str">
            <v>PGCL-HVAC (inclus dans PAQL 57.4)</v>
          </cell>
          <cell r="R187" t="str">
            <v>NA</v>
          </cell>
          <cell r="S187" t="str">
            <v>BT</v>
          </cell>
          <cell r="T187" t="str">
            <v>NA</v>
          </cell>
          <cell r="U187" t="str">
            <v>Boualem Aouchiche</v>
          </cell>
          <cell r="Z187" t="str">
            <v>RTS 174 JS2 EAI 20/07/2020</v>
          </cell>
          <cell r="AA187" t="str">
            <v>E</v>
          </cell>
          <cell r="AB187" t="str">
            <v>Logiciel</v>
          </cell>
          <cell r="AC187" t="str">
            <v>EAI</v>
          </cell>
          <cell r="AD187" t="str">
            <v>ST EZ.4-20051</v>
          </cell>
          <cell r="AE187" t="str">
            <v>Spécification pour la réalisation des logiciels embarqués</v>
          </cell>
          <cell r="AF187" t="str">
            <v>6.1.3</v>
          </cell>
          <cell r="AI187" t="str">
            <v>RENVOI</v>
          </cell>
          <cell r="AM187" t="str">
            <v>FD</v>
          </cell>
          <cell r="CH187" t="e">
            <v>#N/A</v>
          </cell>
          <cell r="CI187" t="e">
            <v>#N/A</v>
          </cell>
          <cell r="CJ187" t="e">
            <v>#N/A</v>
          </cell>
        </row>
        <row r="188">
          <cell r="B188" t="str">
            <v>Ligne_58.5_PPD</v>
          </cell>
          <cell r="C188" t="str">
            <v>58.5</v>
          </cell>
          <cell r="E188" t="str">
            <v>Plans de gestion de Configuration des logiciels (PGCL)</v>
          </cell>
          <cell r="G188" t="str">
            <v>PGCL-TRACTION</v>
          </cell>
          <cell r="R188" t="str">
            <v>TRT</v>
          </cell>
          <cell r="S188" t="str">
            <v>AT</v>
          </cell>
          <cell r="T188" t="str">
            <v>EX</v>
          </cell>
          <cell r="U188" t="str">
            <v>G.BITRIA</v>
          </cell>
          <cell r="V188" t="str">
            <v>ALSTOM</v>
          </cell>
          <cell r="Z188" t="str">
            <v>RTS 174 JS2 EAI 20/07/2020</v>
          </cell>
          <cell r="AA188" t="str">
            <v>E</v>
          </cell>
          <cell r="AB188" t="str">
            <v>Logiciel</v>
          </cell>
          <cell r="AC188" t="str">
            <v>EAI</v>
          </cell>
          <cell r="AD188" t="str">
            <v>ST EZ.4-20051</v>
          </cell>
          <cell r="AE188" t="str">
            <v>Spécification pour la réalisation des logiciels embarqués</v>
          </cell>
          <cell r="AF188" t="str">
            <v>6.1.3</v>
          </cell>
          <cell r="AI188">
            <v>1</v>
          </cell>
          <cell r="AM188" t="str">
            <v>FD</v>
          </cell>
          <cell r="CH188" t="e">
            <v>#N/A</v>
          </cell>
          <cell r="CI188" t="e">
            <v>#N/A</v>
          </cell>
          <cell r="CJ188" t="e">
            <v>#N/A</v>
          </cell>
        </row>
        <row r="189">
          <cell r="B189" t="str">
            <v>Ligne_58.6_PPD</v>
          </cell>
          <cell r="C189" t="str">
            <v>58.6</v>
          </cell>
          <cell r="E189" t="str">
            <v>Plans de gestion de Configuration des logiciels (PGCL)</v>
          </cell>
          <cell r="G189" t="str">
            <v>PGCL-FREINS</v>
          </cell>
          <cell r="R189" t="str">
            <v>TRT</v>
          </cell>
          <cell r="S189" t="str">
            <v>AT</v>
          </cell>
          <cell r="T189" t="str">
            <v>EX</v>
          </cell>
          <cell r="U189" t="str">
            <v>G.BITRIA</v>
          </cell>
          <cell r="V189" t="str">
            <v>ALSTOM</v>
          </cell>
          <cell r="Z189" t="str">
            <v>RTS 174 JS2 EAI 20/07/2020</v>
          </cell>
          <cell r="AA189" t="str">
            <v>E</v>
          </cell>
          <cell r="AB189" t="str">
            <v>Logiciel</v>
          </cell>
          <cell r="AC189" t="str">
            <v>EAI</v>
          </cell>
          <cell r="AD189" t="str">
            <v>ST EZ.4-20051</v>
          </cell>
          <cell r="AE189" t="str">
            <v>Spécification pour la réalisation des logiciels embarqués</v>
          </cell>
          <cell r="AF189" t="str">
            <v>6.1.3</v>
          </cell>
          <cell r="AI189">
            <v>1</v>
          </cell>
          <cell r="AM189" t="str">
            <v>FD</v>
          </cell>
          <cell r="CH189" t="e">
            <v>#N/A</v>
          </cell>
          <cell r="CI189" t="e">
            <v>#N/A</v>
          </cell>
          <cell r="CJ189" t="e">
            <v>#N/A</v>
          </cell>
        </row>
        <row r="190">
          <cell r="B190" t="str">
            <v>Ligne_58.7_PPD</v>
          </cell>
          <cell r="C190" t="str">
            <v>58.7</v>
          </cell>
          <cell r="E190" t="str">
            <v>Plans de gestion de Configuration des logiciels (PGCL)</v>
          </cell>
          <cell r="G190" t="str">
            <v>PGCL-IVSC</v>
          </cell>
          <cell r="R190" t="str">
            <v>VBN</v>
          </cell>
          <cell r="S190" t="str">
            <v>AT</v>
          </cell>
          <cell r="T190" t="str">
            <v>EX</v>
          </cell>
          <cell r="U190" t="str">
            <v>P.DENIS</v>
          </cell>
          <cell r="V190" t="str">
            <v>ALSTOM</v>
          </cell>
          <cell r="Z190" t="str">
            <v>RTS 174 JS2 EAI 20/07/2020</v>
          </cell>
          <cell r="AA190" t="str">
            <v>E</v>
          </cell>
          <cell r="AB190" t="str">
            <v>Logiciel</v>
          </cell>
          <cell r="AC190" t="str">
            <v>EAI</v>
          </cell>
          <cell r="AD190" t="str">
            <v>ST EZ.4-20051</v>
          </cell>
          <cell r="AE190" t="str">
            <v>Spécification pour la réalisation des logiciels embarqués</v>
          </cell>
          <cell r="AF190" t="str">
            <v>6.1.3</v>
          </cell>
          <cell r="AI190">
            <v>1</v>
          </cell>
          <cell r="AM190" t="str">
            <v>FD</v>
          </cell>
          <cell r="CH190" t="e">
            <v>#N/A</v>
          </cell>
          <cell r="CI190" t="e">
            <v>#N/A</v>
          </cell>
          <cell r="CJ190" t="e">
            <v>#N/A</v>
          </cell>
        </row>
        <row r="191">
          <cell r="B191" t="str">
            <v>Ligne_58.8_PPD</v>
          </cell>
          <cell r="C191" t="str">
            <v>58.8</v>
          </cell>
          <cell r="E191" t="str">
            <v>Plans de gestion de Configuration des logiciels (PGCL)</v>
          </cell>
          <cell r="G191" t="str">
            <v>PGCL-VIDEO PROTECTION</v>
          </cell>
          <cell r="R191" t="str">
            <v>VBN</v>
          </cell>
          <cell r="S191" t="str">
            <v>AT</v>
          </cell>
          <cell r="T191" t="str">
            <v>EX</v>
          </cell>
          <cell r="U191" t="str">
            <v>P.DENIS</v>
          </cell>
          <cell r="V191" t="str">
            <v>ALSTOM</v>
          </cell>
          <cell r="Z191" t="str">
            <v>RTS 174 JS2 EAI 20/07/2020</v>
          </cell>
          <cell r="AA191" t="str">
            <v>E</v>
          </cell>
          <cell r="AB191" t="str">
            <v>Logiciel</v>
          </cell>
          <cell r="AC191" t="str">
            <v>EAI</v>
          </cell>
          <cell r="AD191" t="str">
            <v>ST EZ.4-20051</v>
          </cell>
          <cell r="AE191" t="str">
            <v>Spécification pour la réalisation des logiciels embarqués</v>
          </cell>
          <cell r="AF191" t="str">
            <v>6.1.3</v>
          </cell>
          <cell r="AI191">
            <v>1</v>
          </cell>
          <cell r="AM191" t="str">
            <v>FD</v>
          </cell>
          <cell r="CH191" t="e">
            <v>#N/A</v>
          </cell>
          <cell r="CI191" t="e">
            <v>#N/A</v>
          </cell>
          <cell r="CJ191" t="e">
            <v>#N/A</v>
          </cell>
        </row>
        <row r="192">
          <cell r="B192" t="str">
            <v>Ligne_58.9_PPD</v>
          </cell>
          <cell r="C192" t="str">
            <v>58.9</v>
          </cell>
          <cell r="E192" t="str">
            <v>Plans de gestion de Configuration des logiciels (PGCL)</v>
          </cell>
          <cell r="G192" t="str">
            <v>PGCL-CVS LOGICIEL APPLICATIF</v>
          </cell>
          <cell r="R192" t="str">
            <v>CHA</v>
          </cell>
          <cell r="S192" t="str">
            <v>AT</v>
          </cell>
          <cell r="T192" t="str">
            <v>BT</v>
          </cell>
          <cell r="V192" t="str">
            <v>ALSTOM</v>
          </cell>
          <cell r="Z192" t="str">
            <v>RTS 174 JS2 EAI 20/07/2020</v>
          </cell>
          <cell r="AA192" t="str">
            <v>E</v>
          </cell>
          <cell r="AB192" t="str">
            <v>Logiciel</v>
          </cell>
          <cell r="AC192" t="str">
            <v>EAI</v>
          </cell>
          <cell r="AD192" t="str">
            <v>ST EZ.4-20051</v>
          </cell>
          <cell r="AE192" t="str">
            <v>Spécification pour la réalisation des logiciels embarqués</v>
          </cell>
          <cell r="AF192" t="str">
            <v>6.1.3</v>
          </cell>
          <cell r="AI192">
            <v>1</v>
          </cell>
          <cell r="AM192" t="str">
            <v>FD</v>
          </cell>
          <cell r="CH192" t="e">
            <v>#N/A</v>
          </cell>
          <cell r="CI192" t="e">
            <v>#N/A</v>
          </cell>
          <cell r="CJ192" t="e">
            <v>#N/A</v>
          </cell>
        </row>
        <row r="193">
          <cell r="B193" t="str">
            <v>Ligne_58.10_PPD</v>
          </cell>
          <cell r="C193" t="str">
            <v>58.10</v>
          </cell>
          <cell r="E193" t="str">
            <v>Plans de gestion de Configuration des logiciels (PGCL)</v>
          </cell>
          <cell r="G193" t="str">
            <v>PGCL-CVS LOGICIEL BASE</v>
          </cell>
          <cell r="R193" t="str">
            <v>CHA</v>
          </cell>
          <cell r="S193" t="str">
            <v>AT</v>
          </cell>
          <cell r="T193" t="str">
            <v>BT</v>
          </cell>
          <cell r="V193" t="str">
            <v>ALSTOM</v>
          </cell>
          <cell r="Z193" t="str">
            <v>RTS 174 JS2 EAI 20/07/2020</v>
          </cell>
          <cell r="AA193" t="str">
            <v>E</v>
          </cell>
          <cell r="AB193" t="str">
            <v>Logiciel</v>
          </cell>
          <cell r="AC193" t="str">
            <v>EAI</v>
          </cell>
          <cell r="AD193" t="str">
            <v>ST EZ.4-20051</v>
          </cell>
          <cell r="AE193" t="str">
            <v>Spécification pour la réalisation des logiciels embarqués</v>
          </cell>
          <cell r="AF193" t="str">
            <v>6.1.3</v>
          </cell>
          <cell r="AI193">
            <v>1</v>
          </cell>
          <cell r="AM193" t="str">
            <v>FD</v>
          </cell>
          <cell r="CH193" t="e">
            <v>#N/A</v>
          </cell>
          <cell r="CI193" t="e">
            <v>#N/A</v>
          </cell>
          <cell r="CJ193" t="e">
            <v>#N/A</v>
          </cell>
        </row>
        <row r="194">
          <cell r="B194" t="str">
            <v>Ligne_58.11_PPD</v>
          </cell>
          <cell r="C194" t="str">
            <v>58.11</v>
          </cell>
          <cell r="E194" t="str">
            <v>Plans de gestion de Configuration des logiciels (PGCL)</v>
          </cell>
          <cell r="G194" t="str">
            <v>PGCL - PASSERELLE SOL ET COMPTAGE PASSAGER</v>
          </cell>
          <cell r="R194" t="str">
            <v>VBN</v>
          </cell>
          <cell r="S194" t="str">
            <v>AT</v>
          </cell>
          <cell r="T194" t="str">
            <v>BT</v>
          </cell>
          <cell r="U194" t="str">
            <v>P.DENIS</v>
          </cell>
          <cell r="V194" t="str">
            <v>ALSTOM</v>
          </cell>
          <cell r="Z194" t="str">
            <v>RTS 174 JS2 EAI 20/07/2020</v>
          </cell>
          <cell r="AA194" t="str">
            <v>E</v>
          </cell>
          <cell r="AB194" t="str">
            <v>Logiciel</v>
          </cell>
          <cell r="AC194" t="str">
            <v>EAI</v>
          </cell>
          <cell r="AD194" t="str">
            <v>ST EZ.4-20051</v>
          </cell>
          <cell r="AE194" t="str">
            <v>Spécification pour la réalisation des logiciels embarqués</v>
          </cell>
          <cell r="AF194" t="str">
            <v>6.1.3</v>
          </cell>
          <cell r="AI194">
            <v>1</v>
          </cell>
          <cell r="AM194" t="str">
            <v>FD</v>
          </cell>
          <cell r="CH194" t="e">
            <v>#N/A</v>
          </cell>
          <cell r="CI194" t="e">
            <v>#N/A</v>
          </cell>
          <cell r="CJ194" t="e">
            <v>#N/A</v>
          </cell>
        </row>
        <row r="195">
          <cell r="B195" t="str">
            <v>Ligne_58.12_PPD</v>
          </cell>
          <cell r="C195" t="str">
            <v>58.12</v>
          </cell>
          <cell r="E195" t="str">
            <v>Plans de gestion de Configuration des logiciels (PGCL)</v>
          </cell>
          <cell r="G195" t="str">
            <v>PGCL : Plan de la Gestion de Configuration du LCEC</v>
          </cell>
          <cell r="R195" t="str">
            <v>NA</v>
          </cell>
          <cell r="S195" t="str">
            <v>AT</v>
          </cell>
          <cell r="T195" t="str">
            <v>NA</v>
          </cell>
          <cell r="U195" t="str">
            <v>J.DOMAS</v>
          </cell>
          <cell r="Z195" t="str">
            <v>RTS 174 JS2 EAI 20/07/2020</v>
          </cell>
          <cell r="AA195" t="str">
            <v>E</v>
          </cell>
          <cell r="AB195" t="str">
            <v>Logiciel</v>
          </cell>
          <cell r="AC195" t="str">
            <v>EAI</v>
          </cell>
          <cell r="AD195" t="str">
            <v>ST EZ.4-20055</v>
          </cell>
          <cell r="AE195" t="str">
            <v xml:space="preserve">
Spécification pour la réalisation des logiciels embarqués
Composants électroniques complexes
Spécification pour la réalisation des outils de maintenance de niveau 1 sur PC portable
</v>
          </cell>
          <cell r="AF195" t="str">
            <v>8.1.2.5</v>
          </cell>
          <cell r="AI195" t="str">
            <v>LIVRABLE</v>
          </cell>
          <cell r="AM195" t="str">
            <v>FD</v>
          </cell>
          <cell r="CG195" t="str">
            <v>11/10/2020 : avant c'était l'item 214.67 du PPD Contrat, qui n'existe plus</v>
          </cell>
          <cell r="CH195" t="e">
            <v>#N/A</v>
          </cell>
          <cell r="CI195" t="e">
            <v>#N/A</v>
          </cell>
          <cell r="CJ195" t="e">
            <v>#N/A</v>
          </cell>
        </row>
        <row r="196">
          <cell r="B196" t="str">
            <v>Ligne_58.12.1_PPD</v>
          </cell>
          <cell r="C196" t="str">
            <v>58.12.1</v>
          </cell>
          <cell r="E196" t="str">
            <v>Plans de gestion de Configuration des logiciels (PGCL)</v>
          </cell>
          <cell r="G196" t="str">
            <v>PGCL IFEL-C2</v>
          </cell>
          <cell r="R196" t="str">
            <v>AIX</v>
          </cell>
          <cell r="S196" t="str">
            <v>AT</v>
          </cell>
          <cell r="T196" t="str">
            <v>BT</v>
          </cell>
          <cell r="U196" t="str">
            <v>MA.SAILLARD</v>
          </cell>
          <cell r="Z196" t="str">
            <v>RTS 174 JS2 EAI 20/07/2020</v>
          </cell>
          <cell r="AA196" t="str">
            <v>E</v>
          </cell>
          <cell r="AB196" t="str">
            <v>Logiciel</v>
          </cell>
          <cell r="AC196" t="str">
            <v>EAI</v>
          </cell>
          <cell r="AD196" t="str">
            <v>ST EZ.4-20055</v>
          </cell>
          <cell r="AE196" t="str">
            <v xml:space="preserve">
Spécification pour la réalisation des logiciels embarqués
Composants électroniques complexes
Spécification pour la réalisation des outils de maintenance de niveau 1 sur PC portable
</v>
          </cell>
          <cell r="AF196" t="str">
            <v>8.1.2.5</v>
          </cell>
          <cell r="AI196">
            <v>1</v>
          </cell>
          <cell r="AM196" t="str">
            <v>FD</v>
          </cell>
          <cell r="CH196" t="e">
            <v>#N/A</v>
          </cell>
          <cell r="CI196" t="e">
            <v>#N/A</v>
          </cell>
          <cell r="CJ196" t="e">
            <v>#N/A</v>
          </cell>
        </row>
        <row r="197">
          <cell r="B197" t="str">
            <v>Ligne_59_PPD</v>
          </cell>
          <cell r="C197">
            <v>59</v>
          </cell>
          <cell r="E197" t="str">
            <v>Plan de management intégration IVSC/VP</v>
          </cell>
          <cell r="G197" t="str">
            <v>inclus dans doc 50</v>
          </cell>
          <cell r="R197" t="str">
            <v>NA</v>
          </cell>
          <cell r="S197" t="str">
            <v>AT</v>
          </cell>
          <cell r="T197" t="str">
            <v>NA</v>
          </cell>
          <cell r="U197" t="str">
            <v>L.DERU</v>
          </cell>
          <cell r="Z197" t="str">
            <v>RTS JS1 EZ/EAI 26/03/2020</v>
          </cell>
          <cell r="AA197" t="str">
            <v>E</v>
          </cell>
          <cell r="AB197" t="str">
            <v>Interface</v>
          </cell>
          <cell r="AC197" t="str">
            <v>SIT</v>
          </cell>
          <cell r="AD197" t="str">
            <v>ING-SVM-STV-D-2016-5130</v>
          </cell>
          <cell r="AE197" t="str">
            <v>Stratégie intégration IVSC/VP</v>
          </cell>
          <cell r="AF197" t="str">
            <v>9.1</v>
          </cell>
          <cell r="AI197" t="str">
            <v>RENVOI</v>
          </cell>
          <cell r="AL197" t="str">
            <v>FD</v>
          </cell>
          <cell r="CH197" t="e">
            <v>#N/A</v>
          </cell>
          <cell r="CI197" t="e">
            <v>#N/A</v>
          </cell>
          <cell r="CJ197" t="e">
            <v>#N/A</v>
          </cell>
        </row>
        <row r="198">
          <cell r="B198" t="str">
            <v>Ligne_60_PPD</v>
          </cell>
          <cell r="C198">
            <v>60</v>
          </cell>
          <cell r="E198" t="str">
            <v>Planning des revues de conception pour l'étape de conception préliminaire IVSC/VP</v>
          </cell>
          <cell r="G198" t="str">
            <v>inclus dans doc 50</v>
          </cell>
          <cell r="R198" t="str">
            <v>NA</v>
          </cell>
          <cell r="S198" t="str">
            <v>AT</v>
          </cell>
          <cell r="T198" t="str">
            <v>NA</v>
          </cell>
          <cell r="U198" t="str">
            <v>L.DERU</v>
          </cell>
          <cell r="Z198" t="str">
            <v>RTS JS1 EZ/EAI 26/03/2020</v>
          </cell>
          <cell r="AA198" t="str">
            <v>E</v>
          </cell>
          <cell r="AB198" t="str">
            <v>Interface</v>
          </cell>
          <cell r="AC198" t="str">
            <v>SIT</v>
          </cell>
          <cell r="AD198" t="str">
            <v>ING-SVM-STV-D-2016-5130</v>
          </cell>
          <cell r="AE198" t="str">
            <v>Stratégie intégration IVSC/VP</v>
          </cell>
          <cell r="AF198" t="str">
            <v>9.3</v>
          </cell>
          <cell r="AI198" t="str">
            <v>RENVOI</v>
          </cell>
          <cell r="AL198" t="str">
            <v>FD</v>
          </cell>
          <cell r="CH198" t="e">
            <v>#N/A</v>
          </cell>
          <cell r="CI198" t="e">
            <v>#N/A</v>
          </cell>
          <cell r="CJ198" t="e">
            <v>#N/A</v>
          </cell>
        </row>
        <row r="199">
          <cell r="B199" t="str">
            <v>DOUBLON</v>
          </cell>
          <cell r="C199">
            <v>61</v>
          </cell>
          <cell r="E199" t="str">
            <v>Spécification d’Interface logicielle générale du SPE</v>
          </cell>
          <cell r="G199" t="str">
            <v>à supprimer/doublon avec l'item 143 car Jalonnement identique</v>
          </cell>
          <cell r="R199" t="str">
            <v>NA</v>
          </cell>
          <cell r="S199" t="str">
            <v>AT</v>
          </cell>
          <cell r="T199" t="str">
            <v>NA</v>
          </cell>
          <cell r="U199" t="str">
            <v>C.SION</v>
          </cell>
          <cell r="Z199" t="str">
            <v>RTS 181 JS2 SIT 27/08/2020</v>
          </cell>
          <cell r="AA199" t="str">
            <v>E</v>
          </cell>
          <cell r="AB199" t="str">
            <v>Interface</v>
          </cell>
          <cell r="AC199" t="str">
            <v>SIT</v>
          </cell>
          <cell r="AD199" t="str">
            <v>ING-SVM-STV-D-2017-000034</v>
          </cell>
          <cell r="AE199" t="str">
            <v>Spécification d'interface avec le Serveur Phonie Embarqué et le Poste TETRA Embarqué</v>
          </cell>
          <cell r="AF199" t="str">
            <v>Management particulier</v>
          </cell>
          <cell r="AI199" t="str">
            <v>RENVOI</v>
          </cell>
          <cell r="AN199" t="str">
            <v>FD</v>
          </cell>
          <cell r="CH199" t="e">
            <v>#N/A</v>
          </cell>
          <cell r="CI199" t="e">
            <v>#N/A</v>
          </cell>
          <cell r="CJ199" t="e">
            <v>#N/A</v>
          </cell>
        </row>
        <row r="200">
          <cell r="B200" t="str">
            <v>Ligne_62_PPD</v>
          </cell>
          <cell r="C200">
            <v>62</v>
          </cell>
          <cell r="E200" t="str">
            <v>Dossier de Spécifications (DS)</v>
          </cell>
          <cell r="G200" t="str">
            <v>LIVRABLE</v>
          </cell>
          <cell r="R200" t="str">
            <v>NA</v>
          </cell>
          <cell r="S200" t="str">
            <v>ABT</v>
          </cell>
          <cell r="T200" t="str">
            <v>NA</v>
          </cell>
          <cell r="U200" t="str">
            <v>NA</v>
          </cell>
          <cell r="Z200" t="str">
            <v>RTS JS1 EZ/EAI 26/03/2020</v>
          </cell>
          <cell r="AA200" t="str">
            <v>E</v>
          </cell>
          <cell r="AB200" t="str">
            <v>Electronique</v>
          </cell>
          <cell r="AC200" t="str">
            <v>EAI</v>
          </cell>
          <cell r="AD200" t="str">
            <v>ST ET.4-10529</v>
          </cell>
          <cell r="AE200" t="str">
            <v>Documentation relative à l’étude et la réalisation de systèmes électroniques</v>
          </cell>
          <cell r="AF200" t="str">
            <v>2.5</v>
          </cell>
          <cell r="AI200" t="str">
            <v>LIVRABLE</v>
          </cell>
          <cell r="AL200" t="str">
            <v>FP</v>
          </cell>
          <cell r="AP200" t="str">
            <v>FD</v>
          </cell>
          <cell r="CH200" t="e">
            <v>#N/A</v>
          </cell>
          <cell r="CI200" t="e">
            <v>#N/A</v>
          </cell>
          <cell r="CJ200" t="e">
            <v>#N/A</v>
          </cell>
        </row>
        <row r="201">
          <cell r="B201" t="str">
            <v>Ligne_62.1_PPD</v>
          </cell>
          <cell r="C201" t="str">
            <v>62.1</v>
          </cell>
          <cell r="E201" t="str">
            <v>Spécifications Techniques de Besoin des produits (STB)</v>
          </cell>
          <cell r="G201" t="str">
            <v>LIVRABLE</v>
          </cell>
          <cell r="R201" t="str">
            <v>NA</v>
          </cell>
          <cell r="S201" t="str">
            <v>ABT</v>
          </cell>
          <cell r="T201" t="str">
            <v>NA</v>
          </cell>
          <cell r="U201" t="str">
            <v>NA</v>
          </cell>
          <cell r="Z201" t="str">
            <v>RTS JS1 EZ/EAI 26/03/2020</v>
          </cell>
          <cell r="AA201" t="str">
            <v>E</v>
          </cell>
          <cell r="AB201" t="str">
            <v>Electronique</v>
          </cell>
          <cell r="AC201" t="str">
            <v>EAI</v>
          </cell>
          <cell r="AD201" t="str">
            <v>ST ET.4-10529</v>
          </cell>
          <cell r="AE201" t="str">
            <v>Documentation relative à l’étude et la réalisation de systèmes électroniques</v>
          </cell>
          <cell r="AF201" t="str">
            <v>2.5.1</v>
          </cell>
          <cell r="AI201" t="str">
            <v>LIVRABLE</v>
          </cell>
          <cell r="AL201" t="str">
            <v>FP</v>
          </cell>
          <cell r="AP201" t="str">
            <v>FD</v>
          </cell>
          <cell r="CH201" t="e">
            <v>#N/A</v>
          </cell>
          <cell r="CI201" t="e">
            <v>#N/A</v>
          </cell>
          <cell r="CJ201" t="e">
            <v>#N/A</v>
          </cell>
        </row>
        <row r="202">
          <cell r="A202" t="str">
            <v>ADD0003308619</v>
          </cell>
          <cell r="B202" t="str">
            <v>Ligne_62.1.1_PPD</v>
          </cell>
          <cell r="C202" t="str">
            <v>62.1.1</v>
          </cell>
          <cell r="E202" t="str">
            <v>Spécifications Techniques de Besoin des produits (STB)</v>
          </cell>
          <cell r="F202" t="str">
            <v>B</v>
          </cell>
          <cell r="G202" t="str">
            <v xml:space="preserve">STB MANIPULATEUR DE CONDUITE </v>
          </cell>
          <cell r="M202" t="str">
            <v>F-03_CONDUITE</v>
          </cell>
          <cell r="N202" t="str">
            <v>DS</v>
          </cell>
          <cell r="O202" t="str">
            <v>SP_SPECIF</v>
          </cell>
          <cell r="Q202">
            <v>0</v>
          </cell>
          <cell r="R202" t="str">
            <v>VPF</v>
          </cell>
          <cell r="S202" t="str">
            <v>AT</v>
          </cell>
          <cell r="U202" t="str">
            <v>D.SIMON</v>
          </cell>
          <cell r="V202" t="str">
            <v>ALSTOM</v>
          </cell>
          <cell r="W202" t="str">
            <v>N</v>
          </cell>
          <cell r="X202" t="str">
            <v>Document contractuel FP</v>
          </cell>
          <cell r="Z202" t="str">
            <v>RTS JS1 EZ/EAI 26/03/2020</v>
          </cell>
          <cell r="AA202" t="str">
            <v>E</v>
          </cell>
          <cell r="AB202" t="str">
            <v>Electronique</v>
          </cell>
          <cell r="AC202" t="str">
            <v>SME</v>
          </cell>
          <cell r="AD202" t="str">
            <v>ST ET.4-10529</v>
          </cell>
          <cell r="AE202" t="str">
            <v>Documentation relative à l’étude et la réalisation de systèmes électroniques</v>
          </cell>
          <cell r="AF202" t="str">
            <v>2.5.1</v>
          </cell>
          <cell r="AI202">
            <v>1</v>
          </cell>
          <cell r="AL202" t="str">
            <v>FP</v>
          </cell>
          <cell r="AP202" t="str">
            <v>FD</v>
          </cell>
          <cell r="BJ202">
            <v>44084</v>
          </cell>
          <cell r="CH202" t="str">
            <v>MF19_BORD_AT_00041</v>
          </cell>
          <cell r="CI202" t="str">
            <v>-</v>
          </cell>
          <cell r="CJ202" t="str">
            <v>FP</v>
          </cell>
        </row>
        <row r="203">
          <cell r="A203" t="str">
            <v>ADD0003308620</v>
          </cell>
          <cell r="B203" t="str">
            <v>Ligne_62.1.2_PPD</v>
          </cell>
          <cell r="C203" t="str">
            <v>62.1.2</v>
          </cell>
          <cell r="E203" t="str">
            <v>Spécifications Techniques de Besoin des produits (STB)</v>
          </cell>
          <cell r="F203" t="str">
            <v>A</v>
          </cell>
          <cell r="G203" t="str">
            <v>STB TRACTION ET FREIN ELECTRIQUE</v>
          </cell>
          <cell r="M203" t="str">
            <v>F-04_MOTRICITE</v>
          </cell>
          <cell r="N203" t="str">
            <v>DS</v>
          </cell>
          <cell r="O203" t="str">
            <v>SP_SPECIF</v>
          </cell>
          <cell r="Q203">
            <v>0</v>
          </cell>
          <cell r="R203" t="str">
            <v>TRT</v>
          </cell>
          <cell r="S203" t="str">
            <v>AT</v>
          </cell>
          <cell r="U203" t="str">
            <v>F.HOUZE</v>
          </cell>
          <cell r="V203" t="str">
            <v>ALSTOM</v>
          </cell>
          <cell r="W203" t="str">
            <v>N</v>
          </cell>
          <cell r="X203" t="str">
            <v>Document contractuel FP</v>
          </cell>
          <cell r="AA203" t="str">
            <v>E</v>
          </cell>
          <cell r="AB203" t="str">
            <v>Electronique</v>
          </cell>
          <cell r="AC203" t="str">
            <v>SME</v>
          </cell>
          <cell r="AD203" t="str">
            <v>ST ET.4-10529</v>
          </cell>
          <cell r="AE203" t="str">
            <v>Documentation relative à l’étude et la réalisation de systèmes électroniques</v>
          </cell>
          <cell r="AF203" t="str">
            <v>2.5.1</v>
          </cell>
          <cell r="AI203">
            <v>1</v>
          </cell>
          <cell r="AL203" t="str">
            <v>FP</v>
          </cell>
          <cell r="AP203" t="str">
            <v>FD</v>
          </cell>
          <cell r="BJ203">
            <v>44084</v>
          </cell>
          <cell r="CH203" t="str">
            <v>MF19_BORD_AT_00029</v>
          </cell>
          <cell r="CI203" t="str">
            <v>R</v>
          </cell>
          <cell r="CJ203" t="str">
            <v>FP</v>
          </cell>
        </row>
        <row r="204">
          <cell r="A204" t="str">
            <v>ADD0003308621</v>
          </cell>
          <cell r="B204" t="str">
            <v>Ligne_62.1.3_PPD</v>
          </cell>
          <cell r="C204" t="str">
            <v>62.1.3</v>
          </cell>
          <cell r="E204" t="str">
            <v>Spécifications Techniques de Besoin des produits (STB)</v>
          </cell>
          <cell r="F204" t="str">
            <v>A</v>
          </cell>
          <cell r="G204" t="str">
            <v>STB PANNEAU DE FREIN</v>
          </cell>
          <cell r="M204" t="str">
            <v>F-05_ENERGIE_PNEUMATIQUE</v>
          </cell>
          <cell r="N204" t="str">
            <v>DS</v>
          </cell>
          <cell r="O204" t="str">
            <v>SP_SPECIF</v>
          </cell>
          <cell r="Q204">
            <v>0</v>
          </cell>
          <cell r="R204" t="str">
            <v>VPF</v>
          </cell>
          <cell r="S204" t="str">
            <v>AT</v>
          </cell>
          <cell r="U204" t="str">
            <v>F.HOUZE</v>
          </cell>
          <cell r="V204" t="str">
            <v>ALSTOM</v>
          </cell>
          <cell r="W204" t="str">
            <v>N</v>
          </cell>
          <cell r="X204" t="str">
            <v>Document contractuel FP</v>
          </cell>
          <cell r="Z204" t="str">
            <v>RTS JS1 EZ/EAI 26/03/2020</v>
          </cell>
          <cell r="AA204" t="str">
            <v>E</v>
          </cell>
          <cell r="AB204" t="str">
            <v>Electronique</v>
          </cell>
          <cell r="AC204" t="str">
            <v>EMC</v>
          </cell>
          <cell r="AD204" t="str">
            <v>ST ET.4-10529</v>
          </cell>
          <cell r="AE204" t="str">
            <v>Documentation relative à l’étude et la réalisation de systèmes électroniques</v>
          </cell>
          <cell r="AF204" t="str">
            <v>2.5.1</v>
          </cell>
          <cell r="AI204">
            <v>1</v>
          </cell>
          <cell r="AL204" t="str">
            <v>FP</v>
          </cell>
          <cell r="AP204" t="str">
            <v>FD</v>
          </cell>
          <cell r="BJ204">
            <v>44084</v>
          </cell>
          <cell r="CH204" t="str">
            <v>MF19_BORD_AT_00029</v>
          </cell>
          <cell r="CI204" t="str">
            <v>AR</v>
          </cell>
          <cell r="CJ204" t="str">
            <v>FP</v>
          </cell>
        </row>
        <row r="205">
          <cell r="A205" t="str">
            <v>ADD0003308622</v>
          </cell>
          <cell r="B205" t="str">
            <v>Ligne_62.1.4_PPD</v>
          </cell>
          <cell r="C205" t="str">
            <v>62.1.4</v>
          </cell>
          <cell r="E205" t="str">
            <v>Spécifications Techniques de Besoin des produits (STB)</v>
          </cell>
          <cell r="F205" t="str">
            <v>A</v>
          </cell>
          <cell r="G205" t="str">
            <v>STB PRODUCTION D AIR</v>
          </cell>
          <cell r="M205" t="str">
            <v>F-05_ENERGIE_PNEUMATIQUE</v>
          </cell>
          <cell r="N205" t="str">
            <v>DS</v>
          </cell>
          <cell r="O205" t="str">
            <v>SP_SPECIF</v>
          </cell>
          <cell r="Q205">
            <v>0</v>
          </cell>
          <cell r="R205" t="str">
            <v>VPF</v>
          </cell>
          <cell r="S205" t="str">
            <v>AT</v>
          </cell>
          <cell r="U205" t="str">
            <v>D.SIMON</v>
          </cell>
          <cell r="V205" t="str">
            <v>ALSTOM</v>
          </cell>
          <cell r="W205" t="str">
            <v>N</v>
          </cell>
          <cell r="X205" t="str">
            <v>Document contractuel FP</v>
          </cell>
          <cell r="Z205" t="str">
            <v>RTS JS1 EZ/EAI 26/03/2020</v>
          </cell>
          <cell r="AA205" t="str">
            <v>E</v>
          </cell>
          <cell r="AB205" t="str">
            <v>Electronique</v>
          </cell>
          <cell r="AC205" t="str">
            <v>EMC</v>
          </cell>
          <cell r="AD205" t="str">
            <v>ST ET.4-10529</v>
          </cell>
          <cell r="AE205" t="str">
            <v>Documentation relative à l’étude et la réalisation de systèmes électroniques</v>
          </cell>
          <cell r="AF205" t="str">
            <v>2.5.1</v>
          </cell>
          <cell r="AI205">
            <v>1</v>
          </cell>
          <cell r="AL205" t="str">
            <v>FP</v>
          </cell>
          <cell r="AP205" t="str">
            <v>FD</v>
          </cell>
          <cell r="BJ205">
            <v>44084</v>
          </cell>
          <cell r="CH205" t="str">
            <v>MF19_BORD_AT_00029</v>
          </cell>
          <cell r="CI205" t="str">
            <v>AR</v>
          </cell>
          <cell r="CJ205" t="str">
            <v>FP</v>
          </cell>
        </row>
        <row r="206">
          <cell r="A206" t="str">
            <v>ADD0003308623</v>
          </cell>
          <cell r="B206" t="str">
            <v>Ligne_62.1.5_PPD</v>
          </cell>
          <cell r="C206" t="str">
            <v>62.1.5</v>
          </cell>
          <cell r="E206" t="str">
            <v>Spécifications Techniques de Besoin des produits (STB)</v>
          </cell>
          <cell r="F206" t="str">
            <v>A</v>
          </cell>
          <cell r="G206" t="str">
            <v>STB BATTERIE</v>
          </cell>
          <cell r="M206" t="str">
            <v>F-06_ENERGIE_ELECTRIQUE</v>
          </cell>
          <cell r="N206" t="str">
            <v>DS</v>
          </cell>
          <cell r="O206" t="str">
            <v>SP_SPECIF</v>
          </cell>
          <cell r="Q206">
            <v>0</v>
          </cell>
          <cell r="R206" t="str">
            <v>VPF</v>
          </cell>
          <cell r="S206" t="str">
            <v>AT</v>
          </cell>
          <cell r="U206" t="str">
            <v>T.LEROY</v>
          </cell>
          <cell r="V206" t="str">
            <v>ALSTOM</v>
          </cell>
          <cell r="W206" t="str">
            <v>N</v>
          </cell>
          <cell r="X206" t="str">
            <v>Document contractuel FP</v>
          </cell>
          <cell r="AA206" t="str">
            <v>E</v>
          </cell>
          <cell r="AB206" t="str">
            <v>Electronique</v>
          </cell>
          <cell r="AC206" t="str">
            <v>SME</v>
          </cell>
          <cell r="AD206" t="str">
            <v>ST ET.4-10529</v>
          </cell>
          <cell r="AE206" t="str">
            <v>Documentation relative à l’étude et la réalisation de systèmes électroniques</v>
          </cell>
          <cell r="AF206" t="str">
            <v>2.5.1</v>
          </cell>
          <cell r="AI206">
            <v>1</v>
          </cell>
          <cell r="AL206" t="str">
            <v>FP</v>
          </cell>
          <cell r="AP206" t="str">
            <v>FD</v>
          </cell>
          <cell r="BJ206">
            <v>44084</v>
          </cell>
          <cell r="CH206" t="str">
            <v>MF19_BORD_AT_00042</v>
          </cell>
          <cell r="CI206" t="str">
            <v>-</v>
          </cell>
          <cell r="CJ206" t="str">
            <v>FP</v>
          </cell>
        </row>
        <row r="207">
          <cell r="A207" t="str">
            <v>ADD0003308624</v>
          </cell>
          <cell r="B207" t="str">
            <v>Ligne_62.1.6_PPD</v>
          </cell>
          <cell r="C207" t="str">
            <v>62.1.6</v>
          </cell>
          <cell r="E207" t="str">
            <v>Spécifications Techniques de Besoin des produits (STB)</v>
          </cell>
          <cell r="F207" t="str">
            <v>A</v>
          </cell>
          <cell r="G207" t="str">
            <v>STB CVS</v>
          </cell>
          <cell r="M207" t="str">
            <v>F-06_ENERGIE_ELECTRIQUE</v>
          </cell>
          <cell r="N207" t="str">
            <v>DS</v>
          </cell>
          <cell r="O207" t="str">
            <v>SP_SPECIF</v>
          </cell>
          <cell r="Q207">
            <v>0</v>
          </cell>
          <cell r="R207" t="str">
            <v>CHA</v>
          </cell>
          <cell r="S207" t="str">
            <v>AT</v>
          </cell>
          <cell r="U207" t="str">
            <v>T.LEROY</v>
          </cell>
          <cell r="V207" t="str">
            <v>ALSTOM</v>
          </cell>
          <cell r="W207" t="str">
            <v>N</v>
          </cell>
          <cell r="X207" t="str">
            <v>Document contractuel FP</v>
          </cell>
          <cell r="AA207" t="str">
            <v>E</v>
          </cell>
          <cell r="AB207" t="str">
            <v>Electronique</v>
          </cell>
          <cell r="AC207" t="str">
            <v>SME</v>
          </cell>
          <cell r="AD207" t="str">
            <v>ST ET.4-10529</v>
          </cell>
          <cell r="AE207" t="str">
            <v>Documentation relative à l’étude et la réalisation de systèmes électroniques</v>
          </cell>
          <cell r="AF207" t="str">
            <v>2.5.1</v>
          </cell>
          <cell r="AI207">
            <v>1</v>
          </cell>
          <cell r="AL207" t="str">
            <v>FP</v>
          </cell>
          <cell r="AP207" t="str">
            <v>FD</v>
          </cell>
          <cell r="BJ207">
            <v>44084</v>
          </cell>
          <cell r="CH207" t="str">
            <v>MF19_BORD_AT_00029</v>
          </cell>
          <cell r="CI207" t="str">
            <v>R</v>
          </cell>
          <cell r="CJ207" t="str">
            <v>FP</v>
          </cell>
        </row>
        <row r="208">
          <cell r="A208" t="str">
            <v>ADD0003308626</v>
          </cell>
          <cell r="B208" t="str">
            <v>Ligne_62.1.7_PPD</v>
          </cell>
          <cell r="C208" t="str">
            <v>62.1.7</v>
          </cell>
          <cell r="E208" t="str">
            <v>Spécifications Techniques de Besoin des produits (STB)</v>
          </cell>
          <cell r="F208">
            <v>0</v>
          </cell>
          <cell r="G208" t="str">
            <v>STB PORTES VOYAGEUR</v>
          </cell>
          <cell r="M208" t="str">
            <v>410_PORTES VOYAGEURS</v>
          </cell>
          <cell r="N208" t="str">
            <v>DS</v>
          </cell>
          <cell r="O208" t="str">
            <v>SP_SPECIF</v>
          </cell>
          <cell r="Q208">
            <v>0</v>
          </cell>
          <cell r="R208" t="str">
            <v>VPF</v>
          </cell>
          <cell r="S208" t="str">
            <v>AT</v>
          </cell>
          <cell r="U208" t="str">
            <v>H.FIEVET</v>
          </cell>
          <cell r="V208" t="str">
            <v>ALSTOM</v>
          </cell>
          <cell r="W208" t="str">
            <v>N</v>
          </cell>
          <cell r="X208" t="str">
            <v>Document contractuel FP</v>
          </cell>
          <cell r="Z208" t="str">
            <v>RTS JS1 EZ/EAI 26/03/2020</v>
          </cell>
          <cell r="AA208" t="str">
            <v>E</v>
          </cell>
          <cell r="AB208" t="str">
            <v>Electronique</v>
          </cell>
          <cell r="AC208" t="str">
            <v>EAI/EMC/SME</v>
          </cell>
          <cell r="AD208" t="str">
            <v>ST ET.4-10529</v>
          </cell>
          <cell r="AE208" t="str">
            <v>Documentation relative à l’étude et la réalisation de systèmes électroniques</v>
          </cell>
          <cell r="AF208" t="str">
            <v>2.5.1</v>
          </cell>
          <cell r="AI208">
            <v>1</v>
          </cell>
          <cell r="AL208" t="str">
            <v>FP</v>
          </cell>
          <cell r="AP208" t="str">
            <v>FD</v>
          </cell>
          <cell r="BJ208">
            <v>44084</v>
          </cell>
          <cell r="CH208" t="str">
            <v>MF19_BORD_AT_00030</v>
          </cell>
          <cell r="CI208" t="str">
            <v>AR</v>
          </cell>
          <cell r="CJ208" t="str">
            <v>FP</v>
          </cell>
        </row>
        <row r="209">
          <cell r="A209" t="str">
            <v>A-0000251308</v>
          </cell>
          <cell r="B209" t="str">
            <v>Ligne_62.1.8_PPD</v>
          </cell>
          <cell r="C209" t="str">
            <v>62.1.8</v>
          </cell>
          <cell r="E209" t="str">
            <v>Spécifications Techniques de Besoin des produits (STB)</v>
          </cell>
          <cell r="F209" t="str">
            <v>A</v>
          </cell>
          <cell r="G209" t="str">
            <v xml:space="preserve">STB IVSC-VP INCLUANT OPTION PUB </v>
          </cell>
          <cell r="M209" t="str">
            <v>750_MOYENS_AUDIO_VISUEL_(MAV)_ET_DE_TRANSMISSION_SOL-TRAIN_(TST)</v>
          </cell>
          <cell r="N209" t="str">
            <v>DS</v>
          </cell>
          <cell r="O209" t="str">
            <v>SP_SPECIF</v>
          </cell>
          <cell r="Q209">
            <v>0</v>
          </cell>
          <cell r="R209" t="str">
            <v>VBN</v>
          </cell>
          <cell r="S209" t="str">
            <v>AT</v>
          </cell>
          <cell r="T209" t="str">
            <v>EX</v>
          </cell>
          <cell r="U209" t="str">
            <v>P.DENIS</v>
          </cell>
          <cell r="V209" t="str">
            <v>ALSTOM</v>
          </cell>
          <cell r="W209" t="str">
            <v>N</v>
          </cell>
          <cell r="X209" t="str">
            <v>Document contractuel FP</v>
          </cell>
          <cell r="Z209" t="str">
            <v>RTS JS1 EZ/EAI 26/03/2020</v>
          </cell>
          <cell r="AA209" t="str">
            <v>E</v>
          </cell>
          <cell r="AB209" t="str">
            <v>Electronique</v>
          </cell>
          <cell r="AC209" t="str">
            <v>EAI/SIT</v>
          </cell>
          <cell r="AD209" t="str">
            <v>ST ET.4-10529</v>
          </cell>
          <cell r="AE209" t="str">
            <v>Documentation relative à l’étude et la réalisation de systèmes électroniques</v>
          </cell>
          <cell r="AF209" t="str">
            <v>2.5.1</v>
          </cell>
          <cell r="AI209">
            <v>1</v>
          </cell>
          <cell r="AL209" t="str">
            <v>FP</v>
          </cell>
          <cell r="AP209" t="str">
            <v>FD</v>
          </cell>
          <cell r="BJ209">
            <v>44084</v>
          </cell>
          <cell r="CH209" t="str">
            <v>MF19_BORD_AT_00031</v>
          </cell>
          <cell r="CI209" t="str">
            <v>AR</v>
          </cell>
          <cell r="CJ209" t="str">
            <v>FP</v>
          </cell>
        </row>
        <row r="210">
          <cell r="A210" t="str">
            <v>A-0000251309</v>
          </cell>
          <cell r="B210" t="str">
            <v>Ligne_62.1.9_PPD</v>
          </cell>
          <cell r="C210" t="str">
            <v>62.1.9</v>
          </cell>
          <cell r="E210" t="str">
            <v>Spécifications Techniques de Besoin des produits (STB)</v>
          </cell>
          <cell r="F210" t="str">
            <v>A</v>
          </cell>
          <cell r="G210" t="str">
            <v>STB CCTV</v>
          </cell>
          <cell r="M210" t="str">
            <v>755_SYSTEME_DE_SURVEILLANCE_VIDEO</v>
          </cell>
          <cell r="N210" t="str">
            <v>DS</v>
          </cell>
          <cell r="O210" t="str">
            <v>SP_SPECIF</v>
          </cell>
          <cell r="Q210">
            <v>0</v>
          </cell>
          <cell r="R210" t="str">
            <v>VBN</v>
          </cell>
          <cell r="S210" t="str">
            <v>AT</v>
          </cell>
          <cell r="T210" t="str">
            <v>EX</v>
          </cell>
          <cell r="U210" t="str">
            <v>P.DENIS</v>
          </cell>
          <cell r="V210" t="str">
            <v>ALSTOM</v>
          </cell>
          <cell r="W210" t="str">
            <v>N</v>
          </cell>
          <cell r="X210" t="str">
            <v>Document contractuel FP</v>
          </cell>
          <cell r="Z210" t="str">
            <v>RTS JS1 EZ/EAI 26/03/2020</v>
          </cell>
          <cell r="AA210" t="str">
            <v>E</v>
          </cell>
          <cell r="AB210" t="str">
            <v>Electronique</v>
          </cell>
          <cell r="AC210" t="str">
            <v>EAI/SIT</v>
          </cell>
          <cell r="AD210" t="str">
            <v>ST ET.4-10529</v>
          </cell>
          <cell r="AE210" t="str">
            <v>Documentation relative à l’étude et la réalisation de systèmes électroniques</v>
          </cell>
          <cell r="AF210" t="str">
            <v>2.5.1</v>
          </cell>
          <cell r="AI210">
            <v>1</v>
          </cell>
          <cell r="AL210" t="str">
            <v>FP</v>
          </cell>
          <cell r="AP210" t="str">
            <v>FD</v>
          </cell>
          <cell r="BJ210">
            <v>44084</v>
          </cell>
          <cell r="CH210" t="str">
            <v>MF19_BORD_AT_00031</v>
          </cell>
          <cell r="CI210" t="str">
            <v>AR</v>
          </cell>
          <cell r="CJ210" t="str">
            <v>FP</v>
          </cell>
        </row>
        <row r="211">
          <cell r="A211" t="str">
            <v>A-0000250825</v>
          </cell>
          <cell r="B211" t="str">
            <v>Ligne_62.1.10_PPD</v>
          </cell>
          <cell r="C211" t="str">
            <v>62.1.10</v>
          </cell>
          <cell r="E211" t="str">
            <v>Spécifications Techniques de Besoin des produits (STB)</v>
          </cell>
          <cell r="F211" t="str">
            <v>A</v>
          </cell>
          <cell r="G211" t="str">
            <v>STB RESEAUX ETHERNET EMBARQUES-SYRSAD</v>
          </cell>
          <cell r="M211" t="str">
            <v>SYS-08_SYS_INFORMATIQUES</v>
          </cell>
          <cell r="N211" t="str">
            <v>DS</v>
          </cell>
          <cell r="O211" t="str">
            <v>SP_SPECIF</v>
          </cell>
          <cell r="Q211">
            <v>0</v>
          </cell>
          <cell r="R211" t="str">
            <v>VBN</v>
          </cell>
          <cell r="S211" t="str">
            <v>AT</v>
          </cell>
          <cell r="T211" t="str">
            <v>EX</v>
          </cell>
          <cell r="U211" t="str">
            <v>P.DENIS</v>
          </cell>
          <cell r="V211" t="str">
            <v>ALSTOM</v>
          </cell>
          <cell r="W211" t="str">
            <v>N</v>
          </cell>
          <cell r="X211" t="str">
            <v>Document contractuel FP</v>
          </cell>
          <cell r="AA211" t="str">
            <v>E</v>
          </cell>
          <cell r="AB211" t="str">
            <v>Electronique</v>
          </cell>
          <cell r="AC211" t="str">
            <v>ETS</v>
          </cell>
          <cell r="AD211" t="str">
            <v>ST ET.4-10529</v>
          </cell>
          <cell r="AE211" t="str">
            <v>Documentation relative à l’étude et la réalisation de systèmes électroniques</v>
          </cell>
          <cell r="AF211" t="str">
            <v>2.5.1</v>
          </cell>
          <cell r="AI211">
            <v>1</v>
          </cell>
          <cell r="AL211" t="str">
            <v>FP</v>
          </cell>
          <cell r="AP211" t="str">
            <v>FD</v>
          </cell>
          <cell r="BJ211">
            <v>44084</v>
          </cell>
          <cell r="CH211" t="str">
            <v>MF19_BORD_AT_00031</v>
          </cell>
          <cell r="CI211" t="str">
            <v>AR</v>
          </cell>
          <cell r="CJ211" t="str">
            <v>FP</v>
          </cell>
        </row>
        <row r="212">
          <cell r="A212" t="str">
            <v>A-0000251227</v>
          </cell>
          <cell r="B212" t="str">
            <v>Ligne_62.1.11_PPD</v>
          </cell>
          <cell r="C212" t="str">
            <v>62.1.11</v>
          </cell>
          <cell r="E212" t="str">
            <v>Spécifications Techniques de Besoin des produits (STB)</v>
          </cell>
          <cell r="F212" t="str">
            <v>A</v>
          </cell>
          <cell r="G212" t="str">
            <v>STB INFORMATIQUE DE SECURITE - SYRS</v>
          </cell>
          <cell r="M212" t="str">
            <v>770_INFORMATIQUE_DE_SECURITE</v>
          </cell>
          <cell r="N212" t="str">
            <v>DS</v>
          </cell>
          <cell r="O212" t="str">
            <v>SP_SPECIF</v>
          </cell>
          <cell r="Q212">
            <v>0</v>
          </cell>
          <cell r="R212" t="str">
            <v>AIX</v>
          </cell>
          <cell r="S212" t="str">
            <v>AT</v>
          </cell>
          <cell r="T212" t="str">
            <v>EX</v>
          </cell>
          <cell r="U212" t="str">
            <v>MA.SAILLARD</v>
          </cell>
          <cell r="V212" t="str">
            <v>ALSTOM</v>
          </cell>
          <cell r="W212" t="str">
            <v>N</v>
          </cell>
          <cell r="X212" t="str">
            <v>Document contractuel FP</v>
          </cell>
          <cell r="Z212" t="str">
            <v>RTS 174 JS2 EAI 20/07/2020</v>
          </cell>
          <cell r="AA212" t="str">
            <v>E</v>
          </cell>
          <cell r="AB212" t="str">
            <v>Electronique</v>
          </cell>
          <cell r="AC212" t="str">
            <v>EAI</v>
          </cell>
          <cell r="AD212" t="str">
            <v>ST ET.4-10529</v>
          </cell>
          <cell r="AE212" t="str">
            <v>Documentation relative à l’étude et la réalisation de systèmes électroniques</v>
          </cell>
          <cell r="AF212" t="str">
            <v>2.5.1</v>
          </cell>
          <cell r="AI212">
            <v>1</v>
          </cell>
          <cell r="AL212" t="str">
            <v>FP</v>
          </cell>
          <cell r="AN212" t="str">
            <v>FP</v>
          </cell>
          <cell r="AP212" t="str">
            <v>FD</v>
          </cell>
          <cell r="BJ212">
            <v>44084</v>
          </cell>
          <cell r="CH212" t="str">
            <v>MF19_BORD_AT_00028</v>
          </cell>
          <cell r="CI212" t="str">
            <v>R</v>
          </cell>
          <cell r="CJ212" t="str">
            <v>FP</v>
          </cell>
        </row>
        <row r="213">
          <cell r="B213" t="str">
            <v>Ligne_62.1.12_PPD</v>
          </cell>
          <cell r="C213" t="str">
            <v>62.1.12</v>
          </cell>
          <cell r="E213" t="str">
            <v>Spécifications Techniques de Besoin des produits (STB)</v>
          </cell>
          <cell r="G213" t="str">
            <v>STB IC (inclus dans la STB de l'item 62.1.10)</v>
          </cell>
          <cell r="R213" t="str">
            <v>NA</v>
          </cell>
          <cell r="S213" t="str">
            <v>AT</v>
          </cell>
          <cell r="T213" t="str">
            <v>NA</v>
          </cell>
          <cell r="U213" t="str">
            <v>C.SION</v>
          </cell>
          <cell r="AA213" t="str">
            <v>E</v>
          </cell>
          <cell r="AB213" t="str">
            <v>Electronique</v>
          </cell>
          <cell r="AC213" t="str">
            <v>ETS</v>
          </cell>
          <cell r="AD213" t="str">
            <v>ST ET.4-10529</v>
          </cell>
          <cell r="AE213" t="str">
            <v>Documentation relative à l’étude et la réalisation de systèmes électroniques</v>
          </cell>
          <cell r="AF213" t="str">
            <v>2.5.1</v>
          </cell>
          <cell r="AI213" t="str">
            <v>RENVOI</v>
          </cell>
          <cell r="AL213" t="str">
            <v>FP</v>
          </cell>
          <cell r="AP213" t="str">
            <v>FD</v>
          </cell>
          <cell r="CH213" t="e">
            <v>#N/A</v>
          </cell>
          <cell r="CI213" t="e">
            <v>#N/A</v>
          </cell>
          <cell r="CJ213" t="e">
            <v>#N/A</v>
          </cell>
        </row>
        <row r="214">
          <cell r="A214">
            <v>100443947</v>
          </cell>
          <cell r="B214" t="str">
            <v>Ligne_62.1.13_PPD</v>
          </cell>
          <cell r="C214" t="str">
            <v>62.1.13</v>
          </cell>
          <cell r="E214" t="str">
            <v>Spécifications Techniques de Besoin des produits (STB)</v>
          </cell>
          <cell r="F214" t="str">
            <v>A</v>
          </cell>
          <cell r="G214" t="str">
            <v>STB SIEGES VOYAGEURS</v>
          </cell>
          <cell r="M214" t="str">
            <v>F-07_CONFORT</v>
          </cell>
          <cell r="N214" t="str">
            <v>DS</v>
          </cell>
          <cell r="O214" t="str">
            <v>SP_SPECIF</v>
          </cell>
          <cell r="Q214">
            <v>0</v>
          </cell>
          <cell r="R214" t="str">
            <v>BT</v>
          </cell>
          <cell r="S214" t="str">
            <v>BT</v>
          </cell>
          <cell r="U214" t="str">
            <v>Alexandre Scopazzo</v>
          </cell>
          <cell r="V214" t="str">
            <v>BOMBARDIER</v>
          </cell>
          <cell r="W214" t="str">
            <v>N</v>
          </cell>
          <cell r="X214" t="str">
            <v>Document contractuel FP</v>
          </cell>
          <cell r="AA214" t="str">
            <v>E</v>
          </cell>
          <cell r="AB214" t="str">
            <v>Electronique</v>
          </cell>
          <cell r="AC214" t="str">
            <v>EMC</v>
          </cell>
          <cell r="AD214" t="str">
            <v>ST ET.4-10529</v>
          </cell>
          <cell r="AE214" t="str">
            <v>Documentation relative à l’étude et la réalisation de systèmes électroniques</v>
          </cell>
          <cell r="AF214" t="str">
            <v>2.5.1</v>
          </cell>
          <cell r="AI214">
            <v>1</v>
          </cell>
          <cell r="AL214" t="str">
            <v>FP</v>
          </cell>
          <cell r="AP214" t="str">
            <v>FD</v>
          </cell>
          <cell r="BJ214">
            <v>44104</v>
          </cell>
          <cell r="CH214" t="str">
            <v>MF19_BORD_BT_00017</v>
          </cell>
          <cell r="CI214" t="str">
            <v>AR</v>
          </cell>
          <cell r="CJ214" t="str">
            <v>FP</v>
          </cell>
        </row>
        <row r="215">
          <cell r="A215">
            <v>100443809</v>
          </cell>
          <cell r="B215" t="str">
            <v>Ligne_62.1.14_PPD</v>
          </cell>
          <cell r="C215" t="str">
            <v>62.1.14</v>
          </cell>
          <cell r="E215" t="str">
            <v>Spécifications Techniques de Besoin des produits (STB)</v>
          </cell>
          <cell r="F215" t="str">
            <v>A</v>
          </cell>
          <cell r="G215" t="str">
            <v>STB CLIMATISATION CABINE DE CONDUITE</v>
          </cell>
          <cell r="M215" t="str">
            <v>F-07_CONFORT</v>
          </cell>
          <cell r="N215" t="str">
            <v>DS</v>
          </cell>
          <cell r="O215" t="str">
            <v>SP_SPECIF</v>
          </cell>
          <cell r="Q215">
            <v>0</v>
          </cell>
          <cell r="R215" t="str">
            <v>BT</v>
          </cell>
          <cell r="S215" t="str">
            <v>BT</v>
          </cell>
          <cell r="U215" t="str">
            <v>François Raymond</v>
          </cell>
          <cell r="V215" t="str">
            <v>BOMBARDIER</v>
          </cell>
          <cell r="W215" t="str">
            <v>N</v>
          </cell>
          <cell r="X215" t="str">
            <v>Document contractuel FP</v>
          </cell>
          <cell r="AA215" t="str">
            <v>E</v>
          </cell>
          <cell r="AB215" t="str">
            <v>Electronique</v>
          </cell>
          <cell r="AC215" t="str">
            <v>EMC</v>
          </cell>
          <cell r="AD215" t="str">
            <v>ST ET.4-10529</v>
          </cell>
          <cell r="AE215" t="str">
            <v>Documentation relative à l’étude et la réalisation de systèmes électroniques</v>
          </cell>
          <cell r="AF215" t="str">
            <v>2.5.1</v>
          </cell>
          <cell r="AI215">
            <v>1</v>
          </cell>
          <cell r="AL215" t="str">
            <v>FP</v>
          </cell>
          <cell r="AP215" t="str">
            <v>FD</v>
          </cell>
          <cell r="BJ215">
            <v>44104</v>
          </cell>
          <cell r="CH215" t="str">
            <v>MF19_BORD_BT_00021</v>
          </cell>
          <cell r="CI215" t="str">
            <v>AR</v>
          </cell>
          <cell r="CJ215" t="str">
            <v>FP</v>
          </cell>
        </row>
        <row r="216">
          <cell r="A216">
            <v>100443948</v>
          </cell>
          <cell r="B216" t="str">
            <v>Ligne_62.1.15_PPD</v>
          </cell>
          <cell r="C216" t="str">
            <v>62.1.15</v>
          </cell>
          <cell r="E216" t="str">
            <v>Spécifications Techniques de Besoin des produits (STB)</v>
          </cell>
          <cell r="F216" t="str">
            <v>A</v>
          </cell>
          <cell r="G216" t="str">
            <v>STB PLANCHER ET REVETEMENT</v>
          </cell>
          <cell r="M216" t="str">
            <v>F-07_CONFORT</v>
          </cell>
          <cell r="N216" t="str">
            <v>DS</v>
          </cell>
          <cell r="O216" t="str">
            <v>SP_SPECIF</v>
          </cell>
          <cell r="Q216">
            <v>0</v>
          </cell>
          <cell r="R216" t="str">
            <v>BT</v>
          </cell>
          <cell r="S216" t="str">
            <v>BT</v>
          </cell>
          <cell r="U216" t="str">
            <v>Samuel Froidure</v>
          </cell>
          <cell r="V216" t="str">
            <v>BOMBARDIER</v>
          </cell>
          <cell r="W216" t="str">
            <v>N</v>
          </cell>
          <cell r="X216" t="str">
            <v>Document contractuel FP</v>
          </cell>
          <cell r="AA216" t="str">
            <v>E</v>
          </cell>
          <cell r="AB216" t="str">
            <v>Electronique</v>
          </cell>
          <cell r="AC216" t="str">
            <v>EMC</v>
          </cell>
          <cell r="AD216" t="str">
            <v>ST ET.4-10529</v>
          </cell>
          <cell r="AE216" t="str">
            <v>Documentation relative à l’étude et la réalisation de systèmes électroniques</v>
          </cell>
          <cell r="AF216" t="str">
            <v>2.5.1</v>
          </cell>
          <cell r="AI216">
            <v>1</v>
          </cell>
          <cell r="AL216" t="str">
            <v>FP</v>
          </cell>
          <cell r="AP216" t="str">
            <v>FD</v>
          </cell>
          <cell r="BJ216">
            <v>44104</v>
          </cell>
          <cell r="CH216" t="str">
            <v>MF19_BORD_BT_00017</v>
          </cell>
          <cell r="CI216" t="str">
            <v>AR</v>
          </cell>
          <cell r="CJ216" t="str">
            <v>FP</v>
          </cell>
        </row>
        <row r="217">
          <cell r="A217">
            <v>100443949</v>
          </cell>
          <cell r="B217" t="str">
            <v>Ligne_62.1.16_PPD</v>
          </cell>
          <cell r="C217" t="str">
            <v>62.1.16</v>
          </cell>
          <cell r="E217" t="str">
            <v>Spécifications Techniques de Besoin des produits (STB)</v>
          </cell>
          <cell r="F217" t="str">
            <v>A</v>
          </cell>
          <cell r="G217" t="str">
            <v>STB INTERCIRCULATION</v>
          </cell>
          <cell r="M217" t="str">
            <v>F-07_CONFORT</v>
          </cell>
          <cell r="N217" t="str">
            <v>DS</v>
          </cell>
          <cell r="O217" t="str">
            <v>SP_SPECIF</v>
          </cell>
          <cell r="Q217">
            <v>0</v>
          </cell>
          <cell r="R217" t="str">
            <v>BT</v>
          </cell>
          <cell r="S217" t="str">
            <v>BT</v>
          </cell>
          <cell r="U217" t="str">
            <v>Badr-Eddine Soufiane</v>
          </cell>
          <cell r="V217" t="str">
            <v>BOMBARDIER</v>
          </cell>
          <cell r="W217" t="str">
            <v>N</v>
          </cell>
          <cell r="X217" t="str">
            <v>Document contractuel FP</v>
          </cell>
          <cell r="AA217" t="str">
            <v>E</v>
          </cell>
          <cell r="AB217" t="str">
            <v>Electronique</v>
          </cell>
          <cell r="AC217" t="str">
            <v>EMC</v>
          </cell>
          <cell r="AD217" t="str">
            <v>ST ET.4-10529</v>
          </cell>
          <cell r="AE217" t="str">
            <v>Documentation relative à l’étude et la réalisation de systèmes électroniques</v>
          </cell>
          <cell r="AF217" t="str">
            <v>2.5.1</v>
          </cell>
          <cell r="AI217">
            <v>1</v>
          </cell>
          <cell r="AL217" t="str">
            <v>FP</v>
          </cell>
          <cell r="AP217" t="str">
            <v>FD</v>
          </cell>
          <cell r="BJ217">
            <v>44104</v>
          </cell>
          <cell r="CH217" t="str">
            <v>MF19_BORD_BT_00021</v>
          </cell>
          <cell r="CI217" t="str">
            <v>AR</v>
          </cell>
          <cell r="CJ217" t="str">
            <v>FP</v>
          </cell>
        </row>
        <row r="218">
          <cell r="A218">
            <v>100443950</v>
          </cell>
          <cell r="B218" t="str">
            <v>Ligne_62.1.17_PPD</v>
          </cell>
          <cell r="C218" t="str">
            <v>62.1.17</v>
          </cell>
          <cell r="E218" t="str">
            <v>Spécifications Techniques de Besoin des produits (STB)</v>
          </cell>
          <cell r="F218" t="str">
            <v>A</v>
          </cell>
          <cell r="G218" t="str">
            <v>STB BAIES VITREES LATERALES</v>
          </cell>
          <cell r="M218" t="str">
            <v>F-08_PORTES</v>
          </cell>
          <cell r="N218" t="str">
            <v>DS</v>
          </cell>
          <cell r="O218" t="str">
            <v>SP_SPECIF</v>
          </cell>
          <cell r="Q218">
            <v>0</v>
          </cell>
          <cell r="R218" t="str">
            <v>BT</v>
          </cell>
          <cell r="S218" t="str">
            <v>BT</v>
          </cell>
          <cell r="U218" t="str">
            <v>Mickael Karcz</v>
          </cell>
          <cell r="V218" t="str">
            <v>BOMBARDIER</v>
          </cell>
          <cell r="W218" t="str">
            <v>N</v>
          </cell>
          <cell r="X218" t="str">
            <v>Document contractuel FP</v>
          </cell>
          <cell r="AA218" t="str">
            <v>E</v>
          </cell>
          <cell r="AB218" t="str">
            <v>Electronique</v>
          </cell>
          <cell r="AC218" t="str">
            <v>EMC</v>
          </cell>
          <cell r="AD218" t="str">
            <v>ST ET.4-10529</v>
          </cell>
          <cell r="AE218" t="str">
            <v>Documentation relative à l’étude et la réalisation de systèmes électroniques</v>
          </cell>
          <cell r="AF218" t="str">
            <v>2.5.1</v>
          </cell>
          <cell r="AI218">
            <v>1</v>
          </cell>
          <cell r="AL218" t="str">
            <v>FP</v>
          </cell>
          <cell r="AP218" t="str">
            <v>FD</v>
          </cell>
          <cell r="BJ218">
            <v>44104</v>
          </cell>
          <cell r="CH218" t="str">
            <v>MF19_BORD_BT_00018</v>
          </cell>
          <cell r="CI218" t="str">
            <v>AR</v>
          </cell>
          <cell r="CJ218" t="str">
            <v>FP</v>
          </cell>
        </row>
        <row r="219">
          <cell r="A219">
            <v>100443951</v>
          </cell>
          <cell r="B219" t="str">
            <v>Ligne_62.1.18_PPD</v>
          </cell>
          <cell r="C219" t="str">
            <v>62.1.18</v>
          </cell>
          <cell r="E219" t="str">
            <v>Spécifications Techniques de Besoin des produits (STB)</v>
          </cell>
          <cell r="F219" t="str">
            <v>A</v>
          </cell>
          <cell r="G219" t="str">
            <v>STB COQUE GRP</v>
          </cell>
          <cell r="M219" t="str">
            <v>F-03_CONDUITE</v>
          </cell>
          <cell r="N219" t="str">
            <v>DS</v>
          </cell>
          <cell r="O219" t="str">
            <v>SP_SPECIF</v>
          </cell>
          <cell r="Q219">
            <v>0</v>
          </cell>
          <cell r="R219" t="str">
            <v>BT</v>
          </cell>
          <cell r="S219" t="str">
            <v>BT</v>
          </cell>
          <cell r="U219" t="str">
            <v>Pierre-Yves Bonic</v>
          </cell>
          <cell r="V219" t="str">
            <v>BOMBARDIER</v>
          </cell>
          <cell r="W219" t="str">
            <v>N</v>
          </cell>
          <cell r="X219" t="str">
            <v>Document contractuel FP</v>
          </cell>
          <cell r="AA219" t="str">
            <v>E</v>
          </cell>
          <cell r="AB219" t="str">
            <v>Electronique</v>
          </cell>
          <cell r="AC219" t="str">
            <v>EMC</v>
          </cell>
          <cell r="AD219" t="str">
            <v>ST ET.4-10529</v>
          </cell>
          <cell r="AE219" t="str">
            <v>Documentation relative à l’étude et la réalisation de systèmes électroniques</v>
          </cell>
          <cell r="AF219" t="str">
            <v>2.5.1</v>
          </cell>
          <cell r="AI219">
            <v>1</v>
          </cell>
          <cell r="AL219" t="str">
            <v>FP</v>
          </cell>
          <cell r="AP219" t="str">
            <v>FD</v>
          </cell>
          <cell r="BJ219">
            <v>44104</v>
          </cell>
          <cell r="CH219" t="str">
            <v>MF19_BORD_BT_00011</v>
          </cell>
          <cell r="CI219" t="str">
            <v>AR</v>
          </cell>
          <cell r="CJ219" t="str">
            <v>FP</v>
          </cell>
        </row>
        <row r="220">
          <cell r="A220">
            <v>100443952</v>
          </cell>
          <cell r="B220" t="str">
            <v>Ligne_62.1.19_PPD</v>
          </cell>
          <cell r="C220" t="str">
            <v>62.1.19</v>
          </cell>
          <cell r="E220" t="str">
            <v>Spécifications Techniques de Besoin des produits (STB)</v>
          </cell>
          <cell r="F220" t="str">
            <v>A</v>
          </cell>
          <cell r="G220" t="str">
            <v>STB PARE BRISE</v>
          </cell>
          <cell r="M220" t="str">
            <v>F-08_PORTES</v>
          </cell>
          <cell r="N220" t="str">
            <v>DS</v>
          </cell>
          <cell r="O220" t="str">
            <v>SP_SPECIF</v>
          </cell>
          <cell r="Q220">
            <v>0</v>
          </cell>
          <cell r="R220" t="str">
            <v>BT</v>
          </cell>
          <cell r="S220" t="str">
            <v>BT</v>
          </cell>
          <cell r="U220" t="str">
            <v>Safia Herri</v>
          </cell>
          <cell r="V220" t="str">
            <v>BOMBARDIER</v>
          </cell>
          <cell r="W220" t="str">
            <v>N</v>
          </cell>
          <cell r="X220" t="str">
            <v>Document contractuel FP</v>
          </cell>
          <cell r="AA220" t="str">
            <v>E</v>
          </cell>
          <cell r="AB220" t="str">
            <v>Electronique</v>
          </cell>
          <cell r="AC220" t="str">
            <v>EMC</v>
          </cell>
          <cell r="AD220" t="str">
            <v>ST ET.4-10529</v>
          </cell>
          <cell r="AE220" t="str">
            <v>Documentation relative à l’étude et la réalisation de systèmes électroniques</v>
          </cell>
          <cell r="AF220" t="str">
            <v>2.5.1</v>
          </cell>
          <cell r="AI220">
            <v>1</v>
          </cell>
          <cell r="AL220" t="str">
            <v>FP</v>
          </cell>
          <cell r="AP220" t="str">
            <v>FD</v>
          </cell>
          <cell r="BJ220">
            <v>44104</v>
          </cell>
          <cell r="CH220" t="str">
            <v>MF19_BORD_BT_00018</v>
          </cell>
          <cell r="CI220" t="str">
            <v>AR</v>
          </cell>
          <cell r="CJ220" t="str">
            <v>FP</v>
          </cell>
        </row>
        <row r="221">
          <cell r="A221">
            <v>100443953</v>
          </cell>
          <cell r="B221" t="str">
            <v>Ligne_62.1.20_PPD</v>
          </cell>
          <cell r="C221" t="str">
            <v>62.1.20</v>
          </cell>
          <cell r="E221" t="str">
            <v>Spécifications Techniques de Besoin des produits (STB)</v>
          </cell>
          <cell r="F221" t="str">
            <v>A</v>
          </cell>
          <cell r="G221" t="str">
            <v>STB ESSUIE VITRE LAVE VITRE</v>
          </cell>
          <cell r="M221" t="str">
            <v>F-03_CONDUITE</v>
          </cell>
          <cell r="N221" t="str">
            <v>DS</v>
          </cell>
          <cell r="O221" t="str">
            <v>SP_SPECIF</v>
          </cell>
          <cell r="Q221">
            <v>0</v>
          </cell>
          <cell r="R221" t="str">
            <v>BT</v>
          </cell>
          <cell r="S221" t="str">
            <v>BT</v>
          </cell>
          <cell r="U221" t="str">
            <v>Frédéric Fanouillet</v>
          </cell>
          <cell r="V221" t="str">
            <v>BOMBARDIER</v>
          </cell>
          <cell r="W221" t="str">
            <v>N</v>
          </cell>
          <cell r="X221" t="str">
            <v>Document contractuel FP</v>
          </cell>
          <cell r="Z221" t="str">
            <v>RTS JS1 EZ/EAI 26/03/2020</v>
          </cell>
          <cell r="AA221" t="str">
            <v>E</v>
          </cell>
          <cell r="AB221" t="str">
            <v>Electronique</v>
          </cell>
          <cell r="AC221" t="str">
            <v>ETS/EMC</v>
          </cell>
          <cell r="AD221" t="str">
            <v>ST ET.4-10529</v>
          </cell>
          <cell r="AE221" t="str">
            <v>Documentation relative à l’étude et la réalisation de systèmes électroniques</v>
          </cell>
          <cell r="AF221" t="str">
            <v>2.5.1</v>
          </cell>
          <cell r="AI221">
            <v>1</v>
          </cell>
          <cell r="AL221" t="str">
            <v>FP</v>
          </cell>
          <cell r="AP221" t="str">
            <v>FD</v>
          </cell>
          <cell r="BJ221">
            <v>44104</v>
          </cell>
          <cell r="CH221" t="str">
            <v>MF19_BORD_BT_00018</v>
          </cell>
          <cell r="CI221" t="str">
            <v>AR</v>
          </cell>
          <cell r="CJ221" t="str">
            <v>FP</v>
          </cell>
        </row>
        <row r="222">
          <cell r="A222">
            <v>100443810</v>
          </cell>
          <cell r="B222" t="str">
            <v>Ligne_62.1.21_PPD</v>
          </cell>
          <cell r="C222" t="str">
            <v>62.1.21</v>
          </cell>
          <cell r="E222" t="str">
            <v>Spécifications Techniques de Besoin des produits (STB)</v>
          </cell>
          <cell r="F222" t="str">
            <v>A</v>
          </cell>
          <cell r="G222" t="str">
            <v>STB CLIMATISATION DES ESPACES VOYAGEURS</v>
          </cell>
          <cell r="M222" t="str">
            <v>F-07_CONFORT</v>
          </cell>
          <cell r="N222" t="str">
            <v>DS</v>
          </cell>
          <cell r="O222" t="str">
            <v>SP_SPECIF</v>
          </cell>
          <cell r="Q222">
            <v>0</v>
          </cell>
          <cell r="R222" t="str">
            <v>BT</v>
          </cell>
          <cell r="S222" t="str">
            <v>BT</v>
          </cell>
          <cell r="U222" t="str">
            <v>Boualem Aouchiche</v>
          </cell>
          <cell r="V222" t="str">
            <v>BOMBARDIER</v>
          </cell>
          <cell r="W222" t="str">
            <v>N</v>
          </cell>
          <cell r="X222" t="str">
            <v>Document contractuel FP</v>
          </cell>
          <cell r="AA222" t="str">
            <v>E</v>
          </cell>
          <cell r="AB222" t="str">
            <v>Electronique</v>
          </cell>
          <cell r="AC222" t="str">
            <v>EMC</v>
          </cell>
          <cell r="AD222" t="str">
            <v>ST ET.4-10529</v>
          </cell>
          <cell r="AE222" t="str">
            <v>Documentation relative à l’étude et la réalisation de systèmes électroniques</v>
          </cell>
          <cell r="AF222" t="str">
            <v>2.5.1</v>
          </cell>
          <cell r="AI222">
            <v>1</v>
          </cell>
          <cell r="AL222" t="str">
            <v>FP</v>
          </cell>
          <cell r="AP222" t="str">
            <v>FD</v>
          </cell>
          <cell r="BJ222">
            <v>44104</v>
          </cell>
          <cell r="CH222" t="str">
            <v>MF19_BORD_BT_00022</v>
          </cell>
          <cell r="CI222" t="str">
            <v>AR</v>
          </cell>
          <cell r="CJ222" t="str">
            <v>FP</v>
          </cell>
        </row>
        <row r="223">
          <cell r="A223">
            <v>100443954</v>
          </cell>
          <cell r="B223" t="str">
            <v>Ligne_62.1.22_PPD</v>
          </cell>
          <cell r="C223" t="str">
            <v>62.1.22</v>
          </cell>
          <cell r="E223" t="str">
            <v>Spécifications Techniques de Besoin des produits (STB)</v>
          </cell>
          <cell r="F223" t="str">
            <v>A</v>
          </cell>
          <cell r="G223" t="str">
            <v>STB ECLAIRAGE EXTERIEUR</v>
          </cell>
          <cell r="M223" t="str">
            <v>F-07_CONFORT</v>
          </cell>
          <cell r="N223" t="str">
            <v>DS</v>
          </cell>
          <cell r="O223" t="str">
            <v>SP_SPECIF</v>
          </cell>
          <cell r="Q223">
            <v>0</v>
          </cell>
          <cell r="R223" t="str">
            <v>BT</v>
          </cell>
          <cell r="S223" t="str">
            <v>BT</v>
          </cell>
          <cell r="U223" t="str">
            <v>Prateek Chowdary</v>
          </cell>
          <cell r="V223" t="str">
            <v>BOMBARDIER</v>
          </cell>
          <cell r="W223" t="str">
            <v>N</v>
          </cell>
          <cell r="X223" t="str">
            <v>Document contractuel FP</v>
          </cell>
          <cell r="Z223" t="str">
            <v>RTS JS1 EZ/EAI 26/03/2020</v>
          </cell>
          <cell r="AA223" t="str">
            <v>E</v>
          </cell>
          <cell r="AB223" t="str">
            <v>Electronique</v>
          </cell>
          <cell r="AC223" t="str">
            <v>EAI</v>
          </cell>
          <cell r="AD223" t="str">
            <v>ST ET.4-10529</v>
          </cell>
          <cell r="AE223" t="str">
            <v>Documentation relative à l’étude et la réalisation de systèmes électroniques</v>
          </cell>
          <cell r="AF223" t="str">
            <v>2.5.1</v>
          </cell>
          <cell r="AI223">
            <v>1</v>
          </cell>
          <cell r="AL223" t="str">
            <v>FP</v>
          </cell>
          <cell r="AP223" t="str">
            <v>FD</v>
          </cell>
          <cell r="BJ223">
            <v>44104</v>
          </cell>
          <cell r="CH223" t="str">
            <v>MF19_BORD_BT_00018</v>
          </cell>
          <cell r="CI223" t="str">
            <v>AR</v>
          </cell>
          <cell r="CJ223" t="str">
            <v>FP</v>
          </cell>
        </row>
        <row r="224">
          <cell r="A224">
            <v>100443955</v>
          </cell>
          <cell r="B224" t="str">
            <v>Ligne_62.1.23_PPD</v>
          </cell>
          <cell r="C224" t="str">
            <v>62.1.23</v>
          </cell>
          <cell r="E224" t="str">
            <v>Spécifications Techniques de Besoin des produits (STB)</v>
          </cell>
          <cell r="F224" t="str">
            <v>A</v>
          </cell>
          <cell r="G224" t="str">
            <v>STB SIEGE CONDUCTEUR</v>
          </cell>
          <cell r="M224" t="str">
            <v>F-07_CONFORT</v>
          </cell>
          <cell r="N224" t="str">
            <v>DS</v>
          </cell>
          <cell r="O224" t="str">
            <v>SP_SPECIF</v>
          </cell>
          <cell r="Q224">
            <v>0</v>
          </cell>
          <cell r="R224" t="str">
            <v>BT</v>
          </cell>
          <cell r="S224" t="str">
            <v>BT</v>
          </cell>
          <cell r="U224" t="str">
            <v>Alexandre Scopazzo</v>
          </cell>
          <cell r="V224" t="str">
            <v>BOMBARDIER</v>
          </cell>
          <cell r="W224" t="str">
            <v>N</v>
          </cell>
          <cell r="X224" t="str">
            <v>Document contractuel FP</v>
          </cell>
          <cell r="AA224" t="str">
            <v>E</v>
          </cell>
          <cell r="AB224" t="str">
            <v>Electronique</v>
          </cell>
          <cell r="AC224" t="str">
            <v>EMC</v>
          </cell>
          <cell r="AD224" t="str">
            <v>ST ET.4-10529</v>
          </cell>
          <cell r="AE224" t="str">
            <v>Documentation relative à l’étude et la réalisation de systèmes électroniques</v>
          </cell>
          <cell r="AF224" t="str">
            <v>2.5.1</v>
          </cell>
          <cell r="AI224">
            <v>1</v>
          </cell>
          <cell r="AL224" t="str">
            <v>FP</v>
          </cell>
          <cell r="AP224" t="str">
            <v>FD</v>
          </cell>
          <cell r="BJ224">
            <v>44104</v>
          </cell>
          <cell r="CH224" t="str">
            <v>MF19_BORD_BT_00013</v>
          </cell>
          <cell r="CI224" t="str">
            <v>AR</v>
          </cell>
          <cell r="CJ224" t="str">
            <v>FP</v>
          </cell>
        </row>
        <row r="225">
          <cell r="A225">
            <v>100443956</v>
          </cell>
          <cell r="B225" t="str">
            <v>Ligne_62.1.24_PPD</v>
          </cell>
          <cell r="C225" t="str">
            <v>62.1.24</v>
          </cell>
          <cell r="E225" t="str">
            <v>Spécifications Techniques de Besoin des produits (STB)</v>
          </cell>
          <cell r="F225" t="str">
            <v>A</v>
          </cell>
          <cell r="G225" t="str">
            <v>STB PLAFOND EQUIPE ET ECLAIRAGE INTERIEUR</v>
          </cell>
          <cell r="M225" t="str">
            <v>F-07_CONFORT</v>
          </cell>
          <cell r="N225" t="str">
            <v>DS</v>
          </cell>
          <cell r="O225" t="str">
            <v>SP_SPECIF</v>
          </cell>
          <cell r="Q225">
            <v>0</v>
          </cell>
          <cell r="R225" t="str">
            <v>BT</v>
          </cell>
          <cell r="S225" t="str">
            <v>BT</v>
          </cell>
          <cell r="U225" t="str">
            <v>Jérome Maryns</v>
          </cell>
          <cell r="V225" t="str">
            <v>BOMBARDIER</v>
          </cell>
          <cell r="W225" t="str">
            <v>N</v>
          </cell>
          <cell r="X225" t="str">
            <v>Document contractuel FP</v>
          </cell>
          <cell r="Z225" t="str">
            <v>RTS JS1 EZ/EAI 26/03/2020</v>
          </cell>
          <cell r="AA225" t="str">
            <v>E</v>
          </cell>
          <cell r="AB225" t="str">
            <v>Electronique</v>
          </cell>
          <cell r="AC225" t="str">
            <v>EAI/EMC</v>
          </cell>
          <cell r="AD225" t="str">
            <v>ST ET.4-10529</v>
          </cell>
          <cell r="AE225" t="str">
            <v>Documentation relative à l’étude et la réalisation de systèmes électroniques</v>
          </cell>
          <cell r="AF225" t="str">
            <v>2.5.1</v>
          </cell>
          <cell r="AI225">
            <v>1</v>
          </cell>
          <cell r="AL225" t="str">
            <v>FP</v>
          </cell>
          <cell r="AP225" t="str">
            <v>FD</v>
          </cell>
          <cell r="BJ225">
            <v>44104</v>
          </cell>
          <cell r="CH225" t="str">
            <v>MF19_BORD_BT_00021</v>
          </cell>
          <cell r="CI225" t="str">
            <v>AR</v>
          </cell>
          <cell r="CJ225" t="str">
            <v>FP</v>
          </cell>
        </row>
        <row r="226">
          <cell r="A226">
            <v>100443957</v>
          </cell>
          <cell r="B226" t="str">
            <v>Ligne_62.1.25_PPD</v>
          </cell>
          <cell r="C226" t="str">
            <v>62.1.25</v>
          </cell>
          <cell r="E226" t="str">
            <v>Spécifications Techniques de Besoin des produits (STB)</v>
          </cell>
          <cell r="F226" t="str">
            <v>A</v>
          </cell>
          <cell r="G226" t="str">
            <v>STB BARRE SEMI PERMANENTE</v>
          </cell>
          <cell r="M226" t="str">
            <v>F-07_CONFORT</v>
          </cell>
          <cell r="N226" t="str">
            <v>DS</v>
          </cell>
          <cell r="O226" t="str">
            <v>SP_SPECIF</v>
          </cell>
          <cell r="Q226">
            <v>0</v>
          </cell>
          <cell r="R226" t="str">
            <v>BT</v>
          </cell>
          <cell r="S226" t="str">
            <v>BT</v>
          </cell>
          <cell r="U226" t="str">
            <v>Badr-Eddine Soufiane</v>
          </cell>
          <cell r="V226" t="str">
            <v>BOMBARDIER</v>
          </cell>
          <cell r="W226" t="str">
            <v>N</v>
          </cell>
          <cell r="X226" t="str">
            <v>Document contractuel FP</v>
          </cell>
          <cell r="AA226" t="str">
            <v>E</v>
          </cell>
          <cell r="AB226" t="str">
            <v>Electronique</v>
          </cell>
          <cell r="AC226" t="str">
            <v>EMC</v>
          </cell>
          <cell r="AD226" t="str">
            <v>ST ET.4-10529</v>
          </cell>
          <cell r="AE226" t="str">
            <v>Documentation relative à l’étude et la réalisation de systèmes électroniques</v>
          </cell>
          <cell r="AF226" t="str">
            <v>2.5.1</v>
          </cell>
          <cell r="AI226">
            <v>1</v>
          </cell>
          <cell r="AL226" t="str">
            <v>FP</v>
          </cell>
          <cell r="AP226" t="str">
            <v>FD</v>
          </cell>
          <cell r="BJ226">
            <v>44104</v>
          </cell>
          <cell r="CH226" t="str">
            <v>MF19_BORD_BT_00020</v>
          </cell>
          <cell r="CI226" t="str">
            <v>AR</v>
          </cell>
          <cell r="CJ226" t="str">
            <v>FP</v>
          </cell>
        </row>
        <row r="227">
          <cell r="A227">
            <v>100443535</v>
          </cell>
          <cell r="B227" t="str">
            <v>Ligne_62.1.26_PPD</v>
          </cell>
          <cell r="C227" t="str">
            <v>62.1.26</v>
          </cell>
          <cell r="E227" t="str">
            <v>Spécifications Techniques de Besoin des produits (STB)</v>
          </cell>
          <cell r="F227" t="str">
            <v>A</v>
          </cell>
          <cell r="G227" t="str">
            <v>STB SYSTÈME DE FREIN BOGIE</v>
          </cell>
          <cell r="M227" t="str">
            <v>F-01_ROULEMENT</v>
          </cell>
          <cell r="N227" t="str">
            <v>DS</v>
          </cell>
          <cell r="O227" t="str">
            <v>SP_SPECIF</v>
          </cell>
          <cell r="Q227">
            <v>0</v>
          </cell>
          <cell r="R227" t="str">
            <v>BT</v>
          </cell>
          <cell r="S227" t="str">
            <v>BT</v>
          </cell>
          <cell r="T227" t="str">
            <v>EX</v>
          </cell>
          <cell r="U227" t="str">
            <v>Junlin Mo</v>
          </cell>
          <cell r="V227" t="str">
            <v>BOMBARDIER</v>
          </cell>
          <cell r="W227" t="str">
            <v>N</v>
          </cell>
          <cell r="X227" t="str">
            <v>Document contractuel FP</v>
          </cell>
          <cell r="Z227" t="str">
            <v>RTS JS1 EZ/EAI 26/03/2020</v>
          </cell>
          <cell r="AA227" t="str">
            <v>E</v>
          </cell>
          <cell r="AB227" t="str">
            <v>Electronique</v>
          </cell>
          <cell r="AC227" t="str">
            <v>EMR</v>
          </cell>
          <cell r="AD227" t="str">
            <v>ST ET.4-10529</v>
          </cell>
          <cell r="AE227" t="str">
            <v>Documentation relative à l’étude et la réalisation de systèmes électroniques</v>
          </cell>
          <cell r="AF227" t="str">
            <v>2.5.1</v>
          </cell>
          <cell r="AI227">
            <v>1</v>
          </cell>
          <cell r="AL227" t="str">
            <v>FP</v>
          </cell>
          <cell r="AP227" t="str">
            <v>FD</v>
          </cell>
          <cell r="BJ227">
            <v>44104</v>
          </cell>
          <cell r="CH227" t="str">
            <v>MF19_BORD_BT_00014</v>
          </cell>
          <cell r="CI227" t="str">
            <v>AR</v>
          </cell>
          <cell r="CJ227" t="str">
            <v>FP</v>
          </cell>
        </row>
        <row r="228">
          <cell r="A228">
            <v>100443958</v>
          </cell>
          <cell r="B228" t="str">
            <v>Ligne_62.1.27_PPD</v>
          </cell>
          <cell r="C228" t="str">
            <v>62.1.27</v>
          </cell>
          <cell r="E228" t="str">
            <v>Spécifications Techniques de Besoin des produits (STB)</v>
          </cell>
          <cell r="F228" t="str">
            <v>A</v>
          </cell>
          <cell r="G228" t="str">
            <v>STB ABSORBEUR D ENERGIE DE COLLISION</v>
          </cell>
          <cell r="M228" t="str">
            <v>F-02_CAISSE</v>
          </cell>
          <cell r="N228" t="str">
            <v>DS</v>
          </cell>
          <cell r="O228" t="str">
            <v>SP_SPECIF</v>
          </cell>
          <cell r="Q228">
            <v>0</v>
          </cell>
          <cell r="R228" t="str">
            <v>BT</v>
          </cell>
          <cell r="S228" t="str">
            <v>BT</v>
          </cell>
          <cell r="U228" t="str">
            <v>Virgile Glacis</v>
          </cell>
          <cell r="V228" t="str">
            <v>BOMBARDIER</v>
          </cell>
          <cell r="W228" t="str">
            <v>N</v>
          </cell>
          <cell r="X228" t="str">
            <v>Document contractuel FP</v>
          </cell>
          <cell r="Z228" t="str">
            <v>RTS JS1 EZ/EAI 26/03/2020</v>
          </cell>
          <cell r="AA228" t="str">
            <v>E</v>
          </cell>
          <cell r="AB228" t="str">
            <v>Electronique</v>
          </cell>
          <cell r="AC228" t="str">
            <v>EMC</v>
          </cell>
          <cell r="AD228" t="str">
            <v>ST ET.4-10529</v>
          </cell>
          <cell r="AE228" t="str">
            <v>Documentation relative à l’étude et la réalisation de systèmes électroniques</v>
          </cell>
          <cell r="AF228" t="str">
            <v>2.5.1</v>
          </cell>
          <cell r="AI228">
            <v>1</v>
          </cell>
          <cell r="AL228" t="str">
            <v>FP</v>
          </cell>
          <cell r="AP228" t="str">
            <v>FD</v>
          </cell>
          <cell r="BJ228">
            <v>44104</v>
          </cell>
          <cell r="CH228" t="str">
            <v>MF19_BORD_BT_00024</v>
          </cell>
          <cell r="CI228" t="str">
            <v>R</v>
          </cell>
          <cell r="CJ228" t="str">
            <v>FP</v>
          </cell>
        </row>
        <row r="229">
          <cell r="A229">
            <v>100443959</v>
          </cell>
          <cell r="B229" t="str">
            <v>Ligne_62.1.28_PPD</v>
          </cell>
          <cell r="C229" t="str">
            <v>62.1.28</v>
          </cell>
          <cell r="E229" t="str">
            <v>Spécifications Techniques de Besoin des produits (STB)</v>
          </cell>
          <cell r="F229" t="str">
            <v>A</v>
          </cell>
          <cell r="G229" t="str">
            <v>STB ACCASTILLAGE</v>
          </cell>
          <cell r="M229" t="str">
            <v>F-07_CONFORT</v>
          </cell>
          <cell r="N229" t="str">
            <v>DS</v>
          </cell>
          <cell r="O229" t="str">
            <v>SP_SPECIF</v>
          </cell>
          <cell r="Q229">
            <v>0</v>
          </cell>
          <cell r="R229" t="str">
            <v>BT</v>
          </cell>
          <cell r="S229" t="str">
            <v>BT</v>
          </cell>
          <cell r="U229" t="str">
            <v>Samuel Froidure</v>
          </cell>
          <cell r="V229" t="str">
            <v>BOMBARDIER</v>
          </cell>
          <cell r="W229" t="str">
            <v>N</v>
          </cell>
          <cell r="X229" t="str">
            <v>Document contractuel FP</v>
          </cell>
          <cell r="AA229" t="str">
            <v>E</v>
          </cell>
          <cell r="AB229" t="str">
            <v>Electronique</v>
          </cell>
          <cell r="AC229" t="str">
            <v>EMC</v>
          </cell>
          <cell r="AD229" t="str">
            <v>ST ET.4-10529</v>
          </cell>
          <cell r="AE229" t="str">
            <v>Documentation relative à l’étude et la réalisation de systèmes électroniques</v>
          </cell>
          <cell r="AF229" t="str">
            <v>2.5.1</v>
          </cell>
          <cell r="AI229">
            <v>1</v>
          </cell>
          <cell r="AL229" t="str">
            <v>FP</v>
          </cell>
          <cell r="AP229" t="str">
            <v>FD</v>
          </cell>
          <cell r="BJ229">
            <v>44104</v>
          </cell>
          <cell r="CH229" t="str">
            <v>MF19_BORD_BT_00017</v>
          </cell>
          <cell r="CI229" t="str">
            <v>AR</v>
          </cell>
          <cell r="CJ229" t="str">
            <v>FP</v>
          </cell>
        </row>
        <row r="230">
          <cell r="A230">
            <v>100444108</v>
          </cell>
          <cell r="B230" t="str">
            <v>Ligne_62.1.29_PPD</v>
          </cell>
          <cell r="C230" t="str">
            <v>62.1.29</v>
          </cell>
          <cell r="E230" t="str">
            <v>Spécifications Techniques de Besoin des produits (STB)</v>
          </cell>
          <cell r="F230" t="str">
            <v>A</v>
          </cell>
          <cell r="G230" t="str">
            <v>STB SUSPENSIONS SECONDAIRES</v>
          </cell>
          <cell r="M230" t="str">
            <v>F-01_ROULEMENT</v>
          </cell>
          <cell r="N230" t="str">
            <v>DS</v>
          </cell>
          <cell r="O230" t="str">
            <v>SP_SPECIF</v>
          </cell>
          <cell r="Q230">
            <v>0</v>
          </cell>
          <cell r="R230" t="str">
            <v>BT</v>
          </cell>
          <cell r="S230" t="str">
            <v>BT</v>
          </cell>
          <cell r="T230" t="str">
            <v>EX</v>
          </cell>
          <cell r="U230" t="str">
            <v>Christophe Mas</v>
          </cell>
          <cell r="V230" t="str">
            <v>BOMBARDIER</v>
          </cell>
          <cell r="W230" t="str">
            <v>N</v>
          </cell>
          <cell r="X230" t="str">
            <v>Document contractuel FP</v>
          </cell>
          <cell r="AA230" t="str">
            <v>E</v>
          </cell>
          <cell r="AB230" t="str">
            <v>Electronique</v>
          </cell>
          <cell r="AC230" t="str">
            <v>EMR</v>
          </cell>
          <cell r="AD230" t="str">
            <v>ST ET.4-10529</v>
          </cell>
          <cell r="AE230" t="str">
            <v>Documentation relative à l’étude et la réalisation de systèmes électroniques</v>
          </cell>
          <cell r="AF230" t="str">
            <v>2.5.1</v>
          </cell>
          <cell r="AI230">
            <v>1</v>
          </cell>
          <cell r="AL230" t="str">
            <v>FP</v>
          </cell>
          <cell r="AP230" t="str">
            <v>FD</v>
          </cell>
          <cell r="BJ230">
            <v>44104</v>
          </cell>
          <cell r="CH230" t="str">
            <v>MF19_BORD_BT_00012</v>
          </cell>
          <cell r="CI230" t="str">
            <v>AR</v>
          </cell>
          <cell r="CJ230" t="str">
            <v>FP</v>
          </cell>
        </row>
        <row r="231">
          <cell r="A231">
            <v>100441960</v>
          </cell>
          <cell r="B231" t="str">
            <v>Ligne_62.1.30_PPD</v>
          </cell>
          <cell r="C231" t="str">
            <v>62.1.30</v>
          </cell>
          <cell r="E231" t="str">
            <v>Spécifications Techniques de Besoin des produits (STB)</v>
          </cell>
          <cell r="F231" t="str">
            <v>A</v>
          </cell>
          <cell r="G231" t="str">
            <v>STB SUSPENSIONS PRIMAIRES</v>
          </cell>
          <cell r="M231" t="str">
            <v>F-01_ROULEMENT</v>
          </cell>
          <cell r="N231" t="str">
            <v>DS</v>
          </cell>
          <cell r="O231" t="str">
            <v>SP_SPECIF</v>
          </cell>
          <cell r="Q231">
            <v>0</v>
          </cell>
          <cell r="R231" t="str">
            <v>BT</v>
          </cell>
          <cell r="S231" t="str">
            <v>BT</v>
          </cell>
          <cell r="T231" t="str">
            <v>EX</v>
          </cell>
          <cell r="U231" t="str">
            <v>Christophe Mas</v>
          </cell>
          <cell r="V231" t="str">
            <v>BOMBARDIER</v>
          </cell>
          <cell r="W231" t="str">
            <v>N</v>
          </cell>
          <cell r="X231" t="str">
            <v>Document contractuel FP</v>
          </cell>
          <cell r="AA231" t="str">
            <v>E</v>
          </cell>
          <cell r="AB231" t="str">
            <v>Electronique</v>
          </cell>
          <cell r="AC231" t="str">
            <v>EMR</v>
          </cell>
          <cell r="AD231" t="str">
            <v>ST ET.4-10529</v>
          </cell>
          <cell r="AE231" t="str">
            <v>Documentation relative à l’étude et la réalisation de systèmes électroniques</v>
          </cell>
          <cell r="AF231" t="str">
            <v>2.5.1</v>
          </cell>
          <cell r="AI231">
            <v>1</v>
          </cell>
          <cell r="AL231" t="str">
            <v>FP</v>
          </cell>
          <cell r="AP231" t="str">
            <v>FD</v>
          </cell>
          <cell r="BJ231">
            <v>44104</v>
          </cell>
          <cell r="CH231" t="str">
            <v>MF19_BORD_BT_00012</v>
          </cell>
          <cell r="CI231" t="str">
            <v>AR</v>
          </cell>
          <cell r="CJ231" t="str">
            <v>FP</v>
          </cell>
        </row>
        <row r="232">
          <cell r="B232" t="str">
            <v>Ligne_62.1.31_PPD</v>
          </cell>
          <cell r="C232" t="str">
            <v>62.1.31</v>
          </cell>
          <cell r="E232" t="str">
            <v>Spécifications Techniques de Besoin des produits (STB)</v>
          </cell>
          <cell r="G232" t="str">
            <v>STB BLOC DE FREIN (inclus dans le 62.1.26)</v>
          </cell>
          <cell r="R232" t="str">
            <v>NA</v>
          </cell>
          <cell r="S232" t="str">
            <v>BT</v>
          </cell>
          <cell r="T232" t="str">
            <v>NA</v>
          </cell>
          <cell r="U232" t="str">
            <v>Junlin Mo</v>
          </cell>
          <cell r="AA232" t="str">
            <v>E</v>
          </cell>
          <cell r="AB232" t="str">
            <v>Electronique</v>
          </cell>
          <cell r="AC232" t="str">
            <v>EMR</v>
          </cell>
          <cell r="AD232" t="str">
            <v>ST ET.4-10529</v>
          </cell>
          <cell r="AE232" t="str">
            <v>Documentation relative à l’étude et la réalisation de systèmes électroniques</v>
          </cell>
          <cell r="AF232" t="str">
            <v>2.5.1</v>
          </cell>
          <cell r="AI232" t="str">
            <v>RENVOI</v>
          </cell>
          <cell r="AL232" t="str">
            <v>FP</v>
          </cell>
          <cell r="AP232" t="str">
            <v>FD</v>
          </cell>
          <cell r="CH232" t="e">
            <v>#N/A</v>
          </cell>
          <cell r="CI232" t="e">
            <v>#N/A</v>
          </cell>
          <cell r="CJ232" t="e">
            <v>#N/A</v>
          </cell>
        </row>
        <row r="233">
          <cell r="A233">
            <v>100444097</v>
          </cell>
          <cell r="B233" t="str">
            <v>Ligne_62.1.32_PPD</v>
          </cell>
          <cell r="C233" t="str">
            <v>62.1.32</v>
          </cell>
          <cell r="E233" t="str">
            <v>Spécifications Techniques de Besoin des produits (STB)</v>
          </cell>
          <cell r="F233" t="str">
            <v>A</v>
          </cell>
          <cell r="G233" t="str">
            <v>STB GRAISSEUR DE BOUDINS</v>
          </cell>
          <cell r="M233" t="str">
            <v>F-01_ROULEMENT</v>
          </cell>
          <cell r="N233" t="str">
            <v>DS</v>
          </cell>
          <cell r="O233" t="str">
            <v>SP_SPECIF</v>
          </cell>
          <cell r="Q233">
            <v>0</v>
          </cell>
          <cell r="R233" t="str">
            <v>BT</v>
          </cell>
          <cell r="S233" t="str">
            <v>BT</v>
          </cell>
          <cell r="T233" t="str">
            <v>EX</v>
          </cell>
          <cell r="U233" t="str">
            <v>Willy Vittecoq</v>
          </cell>
          <cell r="V233" t="str">
            <v>BOMBARDIER</v>
          </cell>
          <cell r="W233" t="str">
            <v>N</v>
          </cell>
          <cell r="X233" t="str">
            <v>Document contractuel FP</v>
          </cell>
          <cell r="AA233" t="str">
            <v>E</v>
          </cell>
          <cell r="AB233" t="str">
            <v>Electronique</v>
          </cell>
          <cell r="AC233" t="str">
            <v>EMR</v>
          </cell>
          <cell r="AD233" t="str">
            <v>ST ET.4-10529</v>
          </cell>
          <cell r="AE233" t="str">
            <v>Documentation relative à l’étude et la réalisation de systèmes électroniques</v>
          </cell>
          <cell r="AF233" t="str">
            <v>2.5.1</v>
          </cell>
          <cell r="AI233">
            <v>1</v>
          </cell>
          <cell r="AL233" t="str">
            <v>FP</v>
          </cell>
          <cell r="AP233" t="str">
            <v>FD</v>
          </cell>
          <cell r="BJ233">
            <v>44104</v>
          </cell>
          <cell r="CH233" t="str">
            <v>MF19_BORD_BT_00010</v>
          </cell>
          <cell r="CI233" t="str">
            <v>AR</v>
          </cell>
          <cell r="CJ233" t="str">
            <v>FP</v>
          </cell>
        </row>
        <row r="234">
          <cell r="A234">
            <v>100444110</v>
          </cell>
          <cell r="B234" t="str">
            <v>Ligne_62.1.33_PPD</v>
          </cell>
          <cell r="C234" t="str">
            <v>62.1.33</v>
          </cell>
          <cell r="E234" t="str">
            <v>Spécifications Techniques de Besoin des produits (STB)</v>
          </cell>
          <cell r="F234" t="str">
            <v>A</v>
          </cell>
          <cell r="G234" t="str">
            <v>STB FROTTEUR DE 3 EME RAIL (incluant la brosse à neige)</v>
          </cell>
          <cell r="M234" t="str">
            <v>F-01_ROULEMENT</v>
          </cell>
          <cell r="N234" t="str">
            <v>DS</v>
          </cell>
          <cell r="O234" t="str">
            <v>SP_SPECIF</v>
          </cell>
          <cell r="Q234">
            <v>0</v>
          </cell>
          <cell r="R234" t="str">
            <v>BT</v>
          </cell>
          <cell r="S234" t="str">
            <v>BT</v>
          </cell>
          <cell r="T234" t="str">
            <v>EX</v>
          </cell>
          <cell r="U234" t="str">
            <v>Christophe Mas</v>
          </cell>
          <cell r="V234" t="str">
            <v>BOMBARDIER</v>
          </cell>
          <cell r="W234" t="str">
            <v>N</v>
          </cell>
          <cell r="X234" t="str">
            <v>Document contractuel FP</v>
          </cell>
          <cell r="Z234" t="str">
            <v>RTS 188 JS2 EMR 03/09/2020</v>
          </cell>
          <cell r="AA234" t="str">
            <v>E</v>
          </cell>
          <cell r="AB234" t="str">
            <v>Electronique</v>
          </cell>
          <cell r="AC234" t="str">
            <v>EMR</v>
          </cell>
          <cell r="AD234" t="str">
            <v>ST ET.4-10529</v>
          </cell>
          <cell r="AE234" t="str">
            <v>Documentation relative à l’étude et la réalisation de systèmes électroniques</v>
          </cell>
          <cell r="AF234" t="str">
            <v>2.5.1</v>
          </cell>
          <cell r="AI234">
            <v>1</v>
          </cell>
          <cell r="AL234" t="str">
            <v>FP</v>
          </cell>
          <cell r="AN234" t="str">
            <v>FP</v>
          </cell>
          <cell r="AP234" t="str">
            <v>FD</v>
          </cell>
          <cell r="BJ234">
            <v>44104</v>
          </cell>
          <cell r="CH234" t="str">
            <v>MF19_BORD_BT_00010</v>
          </cell>
          <cell r="CI234" t="str">
            <v>AR</v>
          </cell>
          <cell r="CJ234" t="str">
            <v>FP</v>
          </cell>
        </row>
        <row r="235">
          <cell r="A235">
            <v>100445185</v>
          </cell>
          <cell r="B235" t="str">
            <v>Ligne_62.1.34_PPD</v>
          </cell>
          <cell r="C235" t="str">
            <v>62.1.34</v>
          </cell>
          <cell r="E235" t="str">
            <v>Spécifications Techniques de Besoin des produits (STB)</v>
          </cell>
          <cell r="F235" t="str">
            <v>A</v>
          </cell>
          <cell r="G235" t="str">
            <v>STB STRUCTURE CHASSIS DE BOGIE MOULE</v>
          </cell>
          <cell r="M235" t="str">
            <v>F-01_ROULEMENT</v>
          </cell>
          <cell r="N235" t="str">
            <v>DS</v>
          </cell>
          <cell r="O235" t="str">
            <v>SP_SPECIF</v>
          </cell>
          <cell r="Q235">
            <v>0</v>
          </cell>
          <cell r="R235" t="str">
            <v>BT</v>
          </cell>
          <cell r="S235" t="str">
            <v>BT</v>
          </cell>
          <cell r="T235" t="str">
            <v>EX</v>
          </cell>
          <cell r="U235" t="str">
            <v>César Roudière</v>
          </cell>
          <cell r="V235" t="str">
            <v>BOMBARDIER</v>
          </cell>
          <cell r="W235" t="str">
            <v>N</v>
          </cell>
          <cell r="X235" t="str">
            <v>Document contractuel FP</v>
          </cell>
          <cell r="AA235" t="str">
            <v>E</v>
          </cell>
          <cell r="AB235" t="str">
            <v>Electronique</v>
          </cell>
          <cell r="AC235" t="str">
            <v>EMR</v>
          </cell>
          <cell r="AD235" t="str">
            <v>ST ET.4-10529</v>
          </cell>
          <cell r="AE235" t="str">
            <v>Documentation relative à l’étude et la réalisation de systèmes électroniques</v>
          </cell>
          <cell r="AF235" t="str">
            <v>2.5.1</v>
          </cell>
          <cell r="AI235">
            <v>1</v>
          </cell>
          <cell r="AL235" t="str">
            <v>FP</v>
          </cell>
          <cell r="AP235" t="str">
            <v>FD</v>
          </cell>
          <cell r="BJ235">
            <v>44104</v>
          </cell>
          <cell r="CH235" t="str">
            <v>MF19_BORD_BT_00010</v>
          </cell>
          <cell r="CI235" t="str">
            <v>AR</v>
          </cell>
          <cell r="CJ235" t="str">
            <v>FP</v>
          </cell>
        </row>
        <row r="236">
          <cell r="A236">
            <v>100444982</v>
          </cell>
          <cell r="B236" t="str">
            <v>Ligne_62.1.35_PPD</v>
          </cell>
          <cell r="C236" t="str">
            <v>62.1.35</v>
          </cell>
          <cell r="E236" t="str">
            <v>Spécifications Techniques de Besoin des produits (STB)</v>
          </cell>
          <cell r="F236" t="str">
            <v>A</v>
          </cell>
          <cell r="G236" t="str">
            <v>STB BOITE D ESSIEU MOULEE</v>
          </cell>
          <cell r="M236" t="str">
            <v>F-01_ROULEMENT</v>
          </cell>
          <cell r="N236" t="str">
            <v>DS</v>
          </cell>
          <cell r="O236" t="str">
            <v>SP_SPECIF</v>
          </cell>
          <cell r="Q236">
            <v>0</v>
          </cell>
          <cell r="R236" t="str">
            <v>BT</v>
          </cell>
          <cell r="S236" t="str">
            <v>BT</v>
          </cell>
          <cell r="T236" t="str">
            <v>EX</v>
          </cell>
          <cell r="U236" t="str">
            <v>César Roudière</v>
          </cell>
          <cell r="V236" t="str">
            <v>BOMBARDIER</v>
          </cell>
          <cell r="W236" t="str">
            <v>N</v>
          </cell>
          <cell r="X236" t="str">
            <v>Document contractuel FP</v>
          </cell>
          <cell r="AA236" t="str">
            <v>E</v>
          </cell>
          <cell r="AB236" t="str">
            <v>Electronique</v>
          </cell>
          <cell r="AC236" t="str">
            <v>EMR</v>
          </cell>
          <cell r="AD236" t="str">
            <v>ST ET.4-10529</v>
          </cell>
          <cell r="AE236" t="str">
            <v>Documentation relative à l’étude et la réalisation de systèmes électroniques</v>
          </cell>
          <cell r="AF236" t="str">
            <v>2.5.1</v>
          </cell>
          <cell r="AI236">
            <v>1</v>
          </cell>
          <cell r="AL236" t="str">
            <v>FP</v>
          </cell>
          <cell r="AP236" t="str">
            <v>FD</v>
          </cell>
          <cell r="BJ236">
            <v>44104</v>
          </cell>
          <cell r="CH236" t="str">
            <v>MF19_BORD_BT_00010</v>
          </cell>
          <cell r="CI236" t="str">
            <v>AR</v>
          </cell>
          <cell r="CJ236" t="str">
            <v>FP</v>
          </cell>
        </row>
        <row r="237">
          <cell r="A237" t="str">
            <v>3EJD000001-7832</v>
          </cell>
          <cell r="B237" t="str">
            <v>Ligne_62.1.36_PPD</v>
          </cell>
          <cell r="C237" t="str">
            <v>62.1.36</v>
          </cell>
          <cell r="E237" t="str">
            <v>Spécifications Techniques de Besoin des produits (STB)</v>
          </cell>
          <cell r="F237" t="str">
            <v>A</v>
          </cell>
          <cell r="G237" t="str">
            <v>STB ACCOUPLEMENT DE REDUCTEUR</v>
          </cell>
          <cell r="M237" t="str">
            <v>F-01_ROULEMENT</v>
          </cell>
          <cell r="N237" t="str">
            <v>DS</v>
          </cell>
          <cell r="O237" t="str">
            <v>SP_SPECIF</v>
          </cell>
          <cell r="Q237">
            <v>0</v>
          </cell>
          <cell r="R237" t="str">
            <v>BT</v>
          </cell>
          <cell r="S237" t="str">
            <v>BT</v>
          </cell>
          <cell r="T237" t="str">
            <v>EX</v>
          </cell>
          <cell r="U237" t="str">
            <v>Marek Kubis</v>
          </cell>
          <cell r="V237" t="str">
            <v>BOMBARDIER</v>
          </cell>
          <cell r="W237" t="str">
            <v>N</v>
          </cell>
          <cell r="X237" t="str">
            <v>Document contractuel FP</v>
          </cell>
          <cell r="AA237" t="str">
            <v>E</v>
          </cell>
          <cell r="AB237" t="str">
            <v>Electronique</v>
          </cell>
          <cell r="AC237" t="str">
            <v>EMR</v>
          </cell>
          <cell r="AD237" t="str">
            <v>ST ET.4-10529</v>
          </cell>
          <cell r="AE237" t="str">
            <v>Documentation relative à l’étude et la réalisation de systèmes électroniques</v>
          </cell>
          <cell r="AF237" t="str">
            <v>2.5.1</v>
          </cell>
          <cell r="AI237">
            <v>1</v>
          </cell>
          <cell r="AL237" t="str">
            <v>FP</v>
          </cell>
          <cell r="AP237" t="str">
            <v>FD</v>
          </cell>
          <cell r="BJ237">
            <v>44104</v>
          </cell>
          <cell r="CH237" t="str">
            <v>MF19_BORD_BT_00010</v>
          </cell>
          <cell r="CI237" t="str">
            <v>AR</v>
          </cell>
          <cell r="CJ237" t="str">
            <v>FP</v>
          </cell>
        </row>
        <row r="238">
          <cell r="A238">
            <v>100444099</v>
          </cell>
          <cell r="B238" t="str">
            <v>Ligne_62.1.37_PPD</v>
          </cell>
          <cell r="C238" t="str">
            <v>62.1.37</v>
          </cell>
          <cell r="E238" t="str">
            <v>Spécifications Techniques de Besoin des produits (STB)</v>
          </cell>
          <cell r="F238" t="str">
            <v>A</v>
          </cell>
          <cell r="G238" t="str">
            <v>STB ESSIEUX MONTES</v>
          </cell>
          <cell r="M238" t="str">
            <v>F-01_ROULEMENT</v>
          </cell>
          <cell r="N238" t="str">
            <v>DS</v>
          </cell>
          <cell r="O238" t="str">
            <v>SP_SPECIF</v>
          </cell>
          <cell r="Q238">
            <v>0</v>
          </cell>
          <cell r="R238" t="str">
            <v>BT</v>
          </cell>
          <cell r="S238" t="str">
            <v>BT</v>
          </cell>
          <cell r="T238" t="str">
            <v>EX</v>
          </cell>
          <cell r="U238" t="str">
            <v>Willy Vittecoq</v>
          </cell>
          <cell r="V238" t="str">
            <v>BOMBARDIER</v>
          </cell>
          <cell r="W238" t="str">
            <v>N</v>
          </cell>
          <cell r="X238" t="str">
            <v>Document contractuel FP</v>
          </cell>
          <cell r="AA238" t="str">
            <v>E</v>
          </cell>
          <cell r="AB238" t="str">
            <v>Electronique</v>
          </cell>
          <cell r="AC238" t="str">
            <v>EMR</v>
          </cell>
          <cell r="AD238" t="str">
            <v>ST ET.4-10529</v>
          </cell>
          <cell r="AE238" t="str">
            <v>Documentation relative à l’étude et la réalisation de systèmes électroniques</v>
          </cell>
          <cell r="AF238" t="str">
            <v>2.5.1</v>
          </cell>
          <cell r="AI238">
            <v>1</v>
          </cell>
          <cell r="AL238" t="str">
            <v>FP</v>
          </cell>
          <cell r="AP238" t="str">
            <v>FD</v>
          </cell>
          <cell r="BJ238">
            <v>44104</v>
          </cell>
          <cell r="CH238" t="str">
            <v>MF19_BORD_BT_00010</v>
          </cell>
          <cell r="CI238" t="str">
            <v>AR</v>
          </cell>
          <cell r="CJ238" t="str">
            <v>FP</v>
          </cell>
        </row>
        <row r="239">
          <cell r="A239">
            <v>100446114</v>
          </cell>
          <cell r="B239" t="str">
            <v>Ligne_62.1.38_PPD</v>
          </cell>
          <cell r="C239" t="str">
            <v>62.1.38</v>
          </cell>
          <cell r="E239" t="str">
            <v>Spécifications Techniques de Besoin des produits (STB)</v>
          </cell>
          <cell r="F239" t="str">
            <v>A</v>
          </cell>
          <cell r="G239" t="str">
            <v>STB SABLAGE</v>
          </cell>
          <cell r="M239" t="str">
            <v>F-01_ROULEMENT</v>
          </cell>
          <cell r="N239" t="str">
            <v>DS</v>
          </cell>
          <cell r="O239" t="str">
            <v>SP_SPECIF</v>
          </cell>
          <cell r="Q239">
            <v>0</v>
          </cell>
          <cell r="R239" t="str">
            <v>BT</v>
          </cell>
          <cell r="S239" t="str">
            <v>BT</v>
          </cell>
          <cell r="T239" t="str">
            <v>EX</v>
          </cell>
          <cell r="U239" t="str">
            <v>Christophe Mas</v>
          </cell>
          <cell r="V239" t="str">
            <v>BOMBARDIER</v>
          </cell>
          <cell r="W239" t="str">
            <v>N</v>
          </cell>
          <cell r="X239" t="str">
            <v>Document contractuel FP</v>
          </cell>
          <cell r="AA239" t="str">
            <v>E</v>
          </cell>
          <cell r="AB239" t="str">
            <v>Electronique</v>
          </cell>
          <cell r="AC239" t="str">
            <v>EMR</v>
          </cell>
          <cell r="AD239" t="str">
            <v>ST ET.4-10529</v>
          </cell>
          <cell r="AE239" t="str">
            <v>Documentation relative à l’étude et la réalisation de systèmes électroniques</v>
          </cell>
          <cell r="AF239" t="str">
            <v>2.5.1</v>
          </cell>
          <cell r="AI239">
            <v>1</v>
          </cell>
          <cell r="AL239" t="str">
            <v>FP</v>
          </cell>
          <cell r="AP239" t="str">
            <v>FD</v>
          </cell>
          <cell r="BJ239">
            <v>44104</v>
          </cell>
          <cell r="CH239" t="str">
            <v>MF19_BORD_BT_00010</v>
          </cell>
          <cell r="CI239" t="str">
            <v>AR</v>
          </cell>
          <cell r="CJ239" t="str">
            <v>FP</v>
          </cell>
        </row>
        <row r="240">
          <cell r="A240">
            <v>100444100</v>
          </cell>
          <cell r="B240" t="str">
            <v>Ligne_62.1.39_PPD</v>
          </cell>
          <cell r="C240" t="str">
            <v>62.1.39</v>
          </cell>
          <cell r="E240" t="str">
            <v>Spécifications Techniques de Besoin des produits (STB)</v>
          </cell>
          <cell r="F240" t="str">
            <v>A</v>
          </cell>
          <cell r="G240" t="str">
            <v>STB COURONNE D ORIENTATION</v>
          </cell>
          <cell r="M240" t="str">
            <v>F-01_ROULEMENT</v>
          </cell>
          <cell r="N240" t="str">
            <v>DS</v>
          </cell>
          <cell r="O240" t="str">
            <v>SP_SPECIF</v>
          </cell>
          <cell r="Q240">
            <v>0</v>
          </cell>
          <cell r="R240" t="str">
            <v>BT</v>
          </cell>
          <cell r="S240" t="str">
            <v>BT</v>
          </cell>
          <cell r="T240" t="str">
            <v>EX</v>
          </cell>
          <cell r="U240" t="str">
            <v>Willy Vittecoq</v>
          </cell>
          <cell r="V240" t="str">
            <v>BOMBARDIER</v>
          </cell>
          <cell r="W240" t="str">
            <v>N</v>
          </cell>
          <cell r="X240" t="str">
            <v>Document contractuel FP</v>
          </cell>
          <cell r="AA240" t="str">
            <v>E</v>
          </cell>
          <cell r="AB240" t="str">
            <v>Electronique</v>
          </cell>
          <cell r="AC240" t="str">
            <v>EMR</v>
          </cell>
          <cell r="AD240" t="str">
            <v>ST ET.4-10529</v>
          </cell>
          <cell r="AE240" t="str">
            <v>Documentation relative à l’étude et la réalisation de systèmes électroniques</v>
          </cell>
          <cell r="AF240" t="str">
            <v>2.5.1</v>
          </cell>
          <cell r="AI240">
            <v>1</v>
          </cell>
          <cell r="AL240" t="str">
            <v>FP</v>
          </cell>
          <cell r="AP240" t="str">
            <v>FD</v>
          </cell>
          <cell r="BJ240">
            <v>44104</v>
          </cell>
          <cell r="CH240" t="str">
            <v>MF19_BORD_BT_00010</v>
          </cell>
          <cell r="CI240" t="str">
            <v>AR</v>
          </cell>
          <cell r="CJ240" t="str">
            <v>FP</v>
          </cell>
        </row>
        <row r="241">
          <cell r="A241" t="str">
            <v>3EJD000001-7890</v>
          </cell>
          <cell r="B241" t="str">
            <v>Ligne_62.1.40_PPD</v>
          </cell>
          <cell r="C241" t="str">
            <v>62.1.40</v>
          </cell>
          <cell r="E241" t="str">
            <v>Spécifications Techniques de Besoin des produits (STB)</v>
          </cell>
          <cell r="F241" t="str">
            <v>A</v>
          </cell>
          <cell r="G241" t="str">
            <v>STB REDUCTEUR PARTIELLEMENT SUSPENDU</v>
          </cell>
          <cell r="M241" t="str">
            <v>F-01_ROULEMENT</v>
          </cell>
          <cell r="N241" t="str">
            <v>DS</v>
          </cell>
          <cell r="O241" t="str">
            <v>SP_SPECIF</v>
          </cell>
          <cell r="Q241">
            <v>0</v>
          </cell>
          <cell r="R241" t="str">
            <v>BT</v>
          </cell>
          <cell r="S241" t="str">
            <v>BT</v>
          </cell>
          <cell r="T241" t="str">
            <v>EX</v>
          </cell>
          <cell r="U241" t="str">
            <v>Willy Vittecoq</v>
          </cell>
          <cell r="V241" t="str">
            <v>BOMBARDIER</v>
          </cell>
          <cell r="W241" t="str">
            <v>N</v>
          </cell>
          <cell r="X241" t="str">
            <v>Document contractuel FP</v>
          </cell>
          <cell r="AA241" t="str">
            <v>E</v>
          </cell>
          <cell r="AB241" t="str">
            <v>Electronique</v>
          </cell>
          <cell r="AC241" t="str">
            <v>EMR</v>
          </cell>
          <cell r="AD241" t="str">
            <v>ST ET.4-10529</v>
          </cell>
          <cell r="AE241" t="str">
            <v>Documentation relative à l’étude et la réalisation de systèmes électroniques</v>
          </cell>
          <cell r="AF241" t="str">
            <v>2.5.1</v>
          </cell>
          <cell r="AI241">
            <v>1</v>
          </cell>
          <cell r="AL241" t="str">
            <v>FP</v>
          </cell>
          <cell r="AP241" t="str">
            <v>FD</v>
          </cell>
          <cell r="BJ241">
            <v>44104</v>
          </cell>
          <cell r="CH241" t="str">
            <v>MF19_BORD_BT_00010</v>
          </cell>
          <cell r="CI241" t="str">
            <v>AR</v>
          </cell>
          <cell r="CJ241" t="str">
            <v>FP</v>
          </cell>
        </row>
        <row r="242">
          <cell r="A242" t="str">
            <v>ADD0003308513</v>
          </cell>
          <cell r="B242" t="str">
            <v>Ligne_62.2_PPD</v>
          </cell>
          <cell r="C242" t="str">
            <v>62.2</v>
          </cell>
          <cell r="E242" t="str">
            <v>Dossiers Justificatifs des Choix de Conception (DJCC) : DOCUMENT DE SYNTHESE DU DJCC</v>
          </cell>
          <cell r="F242" t="str">
            <v>B</v>
          </cell>
          <cell r="G242" t="str">
            <v>DOCUMENT DE SYNTHESE DU DJCC</v>
          </cell>
          <cell r="M242" t="str">
            <v>000_TRANSVERSAL_TRAIN</v>
          </cell>
          <cell r="N242" t="str">
            <v>DJCC</v>
          </cell>
          <cell r="O242" t="str">
            <v>SP_SPECIF</v>
          </cell>
          <cell r="Q242">
            <v>0</v>
          </cell>
          <cell r="R242" t="str">
            <v>VPF</v>
          </cell>
          <cell r="S242" t="str">
            <v>AT</v>
          </cell>
          <cell r="T242" t="str">
            <v>BT</v>
          </cell>
          <cell r="U242" t="str">
            <v>B.VIDAL</v>
          </cell>
          <cell r="V242" t="str">
            <v xml:space="preserve">ALSTOM </v>
          </cell>
          <cell r="W242" t="str">
            <v>N</v>
          </cell>
          <cell r="X242" t="str">
            <v>Document contractuel FD</v>
          </cell>
          <cell r="Z242" t="str">
            <v>RTS JS1 EZ/EAI 26/03/2020</v>
          </cell>
          <cell r="AA242" t="str">
            <v>E</v>
          </cell>
          <cell r="AB242" t="str">
            <v>Electronique</v>
          </cell>
          <cell r="AC242" t="str">
            <v>ETS</v>
          </cell>
          <cell r="AD242" t="str">
            <v>ST ET.4-10529</v>
          </cell>
          <cell r="AE242" t="str">
            <v>Documentation relative à l’étude et la réalisation de systèmes électroniques</v>
          </cell>
          <cell r="AF242" t="str">
            <v>2.5.2</v>
          </cell>
          <cell r="AI242">
            <v>1</v>
          </cell>
          <cell r="AL242" t="str">
            <v>FP</v>
          </cell>
          <cell r="AP242" t="str">
            <v>FD</v>
          </cell>
          <cell r="BJ242">
            <v>44021</v>
          </cell>
          <cell r="CH242" t="str">
            <v>MF19_BORD_AT_00032</v>
          </cell>
          <cell r="CI242" t="str">
            <v>-</v>
          </cell>
          <cell r="CJ242" t="str">
            <v>FD</v>
          </cell>
        </row>
        <row r="243">
          <cell r="A243" t="str">
            <v>ADD0003308503</v>
          </cell>
          <cell r="B243" t="str">
            <v>Ligne_62.4_PPD</v>
          </cell>
          <cell r="C243" t="str">
            <v>62.4</v>
          </cell>
          <cell r="E243" t="str">
            <v>Dossiers de Sûreté de Fonctionnement (DSDF)</v>
          </cell>
          <cell r="F243" t="str">
            <v>A</v>
          </cell>
          <cell r="G243" t="str">
            <v>DSDF DOSSIER DE SURETE DE FONCTIONNEMENT</v>
          </cell>
          <cell r="M243" t="str">
            <v>M-07_GESTION_DE_LA_SURETE_DE_FONCTIONNEMENT</v>
          </cell>
          <cell r="N243" t="str">
            <v>DJD</v>
          </cell>
          <cell r="O243" t="str">
            <v>DSEC_DOC SECURITE</v>
          </cell>
          <cell r="Q243">
            <v>0</v>
          </cell>
          <cell r="R243" t="str">
            <v>VPF</v>
          </cell>
          <cell r="S243" t="str">
            <v>AT</v>
          </cell>
          <cell r="T243" t="str">
            <v>BT</v>
          </cell>
          <cell r="U243" t="str">
            <v>D.CHANAL</v>
          </cell>
          <cell r="V243" t="str">
            <v xml:space="preserve">ALSTOM </v>
          </cell>
          <cell r="W243" t="str">
            <v>N</v>
          </cell>
          <cell r="X243" t="str">
            <v>Document contractuel FP</v>
          </cell>
          <cell r="Z243" t="str">
            <v>RTS JS1 EZ/EAI 26/03/2020</v>
          </cell>
          <cell r="AA243" t="str">
            <v>E</v>
          </cell>
          <cell r="AB243" t="str">
            <v>Electronique</v>
          </cell>
          <cell r="AC243" t="str">
            <v>EAI</v>
          </cell>
          <cell r="AD243" t="str">
            <v>ST ET.4-10529</v>
          </cell>
          <cell r="AE243" t="str">
            <v>Documentation relative à l’étude et la réalisation de systèmes électroniques</v>
          </cell>
          <cell r="AF243" t="str">
            <v>2.5.4</v>
          </cell>
          <cell r="AI243">
            <v>1</v>
          </cell>
          <cell r="AL243" t="str">
            <v>FP</v>
          </cell>
          <cell r="AP243" t="str">
            <v>FD</v>
          </cell>
          <cell r="BJ243">
            <v>44075</v>
          </cell>
          <cell r="CH243" t="str">
            <v>MF19_BORD_AT_00015</v>
          </cell>
          <cell r="CI243" t="str">
            <v>AR</v>
          </cell>
          <cell r="CJ243" t="str">
            <v>FP</v>
          </cell>
        </row>
        <row r="244">
          <cell r="A244">
            <v>100446714</v>
          </cell>
          <cell r="B244" t="str">
            <v>Ligne_66_PPD</v>
          </cell>
          <cell r="C244">
            <v>66</v>
          </cell>
          <cell r="E244" t="str">
            <v>Les moyens de rangement et de fixation de tous les agrès sont à étudier et à fournir</v>
          </cell>
          <cell r="F244" t="str">
            <v>A</v>
          </cell>
          <cell r="G244" t="str">
            <v>MOYENS DE RANGEMENT ET DE FIXATION DES AGRES ET OUTILS</v>
          </cell>
          <cell r="M244" t="str">
            <v>F-03_CONDUITE</v>
          </cell>
          <cell r="N244" t="str">
            <v>DS</v>
          </cell>
          <cell r="O244" t="str">
            <v>SP_SPECIF</v>
          </cell>
          <cell r="Q244">
            <v>0</v>
          </cell>
          <cell r="R244" t="str">
            <v>BT</v>
          </cell>
          <cell r="S244" t="str">
            <v>BT</v>
          </cell>
          <cell r="T244" t="str">
            <v>NA</v>
          </cell>
          <cell r="U244" t="str">
            <v>François Dequeker</v>
          </cell>
          <cell r="V244" t="str">
            <v>BOMBARDIER</v>
          </cell>
          <cell r="W244" t="str">
            <v>N</v>
          </cell>
          <cell r="X244" t="str">
            <v>Document contractuel FP</v>
          </cell>
          <cell r="Z244" t="str">
            <v>RTS 159 JS2 ETS 02/07/2020
RTS 193 JS2 EMC 07/09/2020</v>
          </cell>
          <cell r="AA244" t="str">
            <v>E</v>
          </cell>
          <cell r="AB244" t="str">
            <v>Transversal</v>
          </cell>
          <cell r="AC244" t="str">
            <v>ETS/EMC</v>
          </cell>
          <cell r="AD244" t="str">
            <v>SF ET.4-10643</v>
          </cell>
          <cell r="AE244" t="str">
            <v>Conduite</v>
          </cell>
          <cell r="AF244" t="str">
            <v>31.1</v>
          </cell>
          <cell r="AI244">
            <v>1</v>
          </cell>
          <cell r="AL244" t="str">
            <v>FP</v>
          </cell>
          <cell r="AN244" t="str">
            <v>FD</v>
          </cell>
          <cell r="BJ244">
            <v>44022</v>
          </cell>
          <cell r="CH244" t="str">
            <v>MF19_BORD_BT_00021</v>
          </cell>
          <cell r="CI244" t="str">
            <v>AR</v>
          </cell>
          <cell r="CJ244" t="str">
            <v>FP</v>
          </cell>
        </row>
        <row r="245">
          <cell r="B245" t="str">
            <v>Ligne_67_PPD</v>
          </cell>
          <cell r="C245">
            <v>67</v>
          </cell>
          <cell r="E245" t="str">
            <v>Note de calcul de dimensionnement de l'énergie pneumatique</v>
          </cell>
          <cell r="G245" t="str">
            <v>renvoi au 44.1 bilan pneumatique</v>
          </cell>
          <cell r="R245" t="str">
            <v>NA</v>
          </cell>
          <cell r="S245" t="str">
            <v>AT</v>
          </cell>
          <cell r="T245" t="str">
            <v>NA</v>
          </cell>
          <cell r="U245" t="str">
            <v>NA</v>
          </cell>
          <cell r="AA245" t="str">
            <v>E</v>
          </cell>
          <cell r="AB245" t="str">
            <v>Mécanique</v>
          </cell>
          <cell r="AC245" t="str">
            <v>EMC</v>
          </cell>
          <cell r="AD245" t="str">
            <v>SF EM.4-40091</v>
          </cell>
          <cell r="AE245" t="str">
            <v xml:space="preserve">Energie pneumatique </v>
          </cell>
          <cell r="AF245" t="str">
            <v>4.2.2</v>
          </cell>
          <cell r="AI245" t="str">
            <v>RENVOI</v>
          </cell>
          <cell r="AL245" t="str">
            <v>FD</v>
          </cell>
          <cell r="AP245" t="str">
            <v>Maj</v>
          </cell>
          <cell r="CH245" t="e">
            <v>#N/A</v>
          </cell>
          <cell r="CI245" t="e">
            <v>#N/A</v>
          </cell>
          <cell r="CJ245" t="e">
            <v>#N/A</v>
          </cell>
        </row>
        <row r="246">
          <cell r="B246" t="str">
            <v>modifié spec RATP</v>
          </cell>
          <cell r="C246">
            <v>68</v>
          </cell>
          <cell r="E246" t="str">
            <v>Plan de validation pour l'ensemble des équipements critiques, en particulier :
- structure de caisse
- intercirculations
- attelages et dispositif de traction de secours
- portes d’accès voyageurs
- équipements de confort climatique
- sièges
- siège conducteur</v>
          </cell>
          <cell r="G246" t="str">
            <v>LIVRABLE</v>
          </cell>
          <cell r="R246" t="str">
            <v>NA</v>
          </cell>
          <cell r="S246" t="str">
            <v>BT</v>
          </cell>
          <cell r="T246" t="str">
            <v>NA</v>
          </cell>
          <cell r="Z246" t="str">
            <v>RTS 193 JS2 EMC 07/09/2020</v>
          </cell>
          <cell r="AA246" t="str">
            <v>E</v>
          </cell>
          <cell r="AB246" t="str">
            <v>Mécanique</v>
          </cell>
          <cell r="AC246" t="str">
            <v>EMC</v>
          </cell>
          <cell r="AD246" t="str">
            <v>SF EM.4-40090
ST EM.4-40093</v>
          </cell>
          <cell r="AE246" t="str">
            <v xml:space="preserve">Caisse Confort
</v>
          </cell>
          <cell r="AI246" t="str">
            <v>LIVRABLE</v>
          </cell>
          <cell r="AL246" t="str">
            <v>FD</v>
          </cell>
          <cell r="AN246" t="str">
            <v>Maj</v>
          </cell>
          <cell r="AP246" t="str">
            <v>Maj</v>
          </cell>
          <cell r="CG246" t="str">
            <v>30/09/2020 : j'ai retiré le texte bérré des colonnes "N° MF19" et "NOM"</v>
          </cell>
          <cell r="CH246" t="e">
            <v>#N/A</v>
          </cell>
          <cell r="CI246" t="e">
            <v>#N/A</v>
          </cell>
          <cell r="CJ246" t="e">
            <v>#N/A</v>
          </cell>
        </row>
        <row r="247">
          <cell r="A247">
            <v>100439004</v>
          </cell>
          <cell r="B247" t="str">
            <v>Ligne_68.1_PPD</v>
          </cell>
          <cell r="C247" t="str">
            <v>68.1</v>
          </cell>
          <cell r="E247" t="str">
            <v>Plan de validation pour l'ensemble des équipements critiques, en particulier :
- structure de caisse
- intercirculations
- attelages et dispositif de traction de secours
- portes d’accès voyageurs
- équipements de confort climatique
- sièges
- siège conducteur</v>
          </cell>
          <cell r="F247" t="str">
            <v>B</v>
          </cell>
          <cell r="G247" t="str">
            <v>PLAN DE VALIDATION DES STRUCTURES DE CAISSE</v>
          </cell>
          <cell r="M247" t="str">
            <v>940_ESSAIS</v>
          </cell>
          <cell r="N247" t="str">
            <v>DJD</v>
          </cell>
          <cell r="O247" t="str">
            <v>PRT_PROG. ESSAIS DE TYPE</v>
          </cell>
          <cell r="Q247">
            <v>0</v>
          </cell>
          <cell r="R247" t="str">
            <v>BT</v>
          </cell>
          <cell r="S247" t="str">
            <v>BT</v>
          </cell>
          <cell r="T247" t="str">
            <v>AT</v>
          </cell>
          <cell r="U247" t="str">
            <v>Bastien Leprete</v>
          </cell>
          <cell r="V247" t="str">
            <v>BOMBARDIER</v>
          </cell>
          <cell r="W247" t="str">
            <v>N</v>
          </cell>
          <cell r="X247" t="str">
            <v>Document contractuel FD</v>
          </cell>
          <cell r="Z247" t="str">
            <v>RTS 193 JS2 EMC 07/09/2020</v>
          </cell>
          <cell r="AA247" t="str">
            <v>E</v>
          </cell>
          <cell r="AB247" t="str">
            <v>Mécanique</v>
          </cell>
          <cell r="AC247" t="str">
            <v>EMC</v>
          </cell>
          <cell r="AD247" t="str">
            <v>SF EM.4-40090
ST EM.4-40093</v>
          </cell>
          <cell r="AE247" t="str">
            <v xml:space="preserve">Caisse Confort </v>
          </cell>
          <cell r="AI247">
            <v>1</v>
          </cell>
          <cell r="AL247" t="str">
            <v>FD</v>
          </cell>
          <cell r="BJ247">
            <v>44029</v>
          </cell>
          <cell r="CH247" t="str">
            <v>MF19_BORD_BT_00030</v>
          </cell>
          <cell r="CI247" t="str">
            <v>-</v>
          </cell>
          <cell r="CJ247" t="str">
            <v>FD</v>
          </cell>
        </row>
        <row r="248">
          <cell r="A248">
            <v>100443962</v>
          </cell>
          <cell r="B248" t="str">
            <v>Ligne_68.2_PPD</v>
          </cell>
          <cell r="C248" t="str">
            <v>68.2</v>
          </cell>
          <cell r="E248" t="str">
            <v>Plan de validation pour l'ensemble des équipements critiques, en particulier :
- structure de caisse
- intercirculations
- attelages et dispositif de traction de secours
- portes d’accès voyageurs
- équipements de confort climatique
- sièges
- siège conducteur</v>
          </cell>
          <cell r="F248" t="str">
            <v>A</v>
          </cell>
          <cell r="G248" t="str">
            <v>PLAN DE VALIDATION INTERCIRCULATION</v>
          </cell>
          <cell r="M248" t="str">
            <v>F-02_CAISSE</v>
          </cell>
          <cell r="N248" t="str">
            <v>DJD</v>
          </cell>
          <cell r="O248" t="str">
            <v>PRT_PROG. ESSAIS DE TYPE</v>
          </cell>
          <cell r="Q248">
            <v>0</v>
          </cell>
          <cell r="R248" t="str">
            <v>BT</v>
          </cell>
          <cell r="S248" t="str">
            <v>BT</v>
          </cell>
          <cell r="U248" t="str">
            <v>Badr-Eddine Soufiane</v>
          </cell>
          <cell r="V248" t="str">
            <v>BOMBARDIER</v>
          </cell>
          <cell r="W248" t="str">
            <v>N</v>
          </cell>
          <cell r="X248" t="str">
            <v>Document contractuel FP</v>
          </cell>
          <cell r="Z248" t="str">
            <v>RTS 193 JS2 EMC 07/09/2020</v>
          </cell>
          <cell r="AA248" t="str">
            <v>E</v>
          </cell>
          <cell r="AB248" t="str">
            <v>Mécanique</v>
          </cell>
          <cell r="AC248" t="str">
            <v>EMC</v>
          </cell>
          <cell r="AD248" t="str">
            <v>SF EM.4-40090
ST EM.4-40093</v>
          </cell>
          <cell r="AE248" t="str">
            <v xml:space="preserve">Caisse Confort </v>
          </cell>
          <cell r="AI248">
            <v>1</v>
          </cell>
          <cell r="AL248" t="str">
            <v>FP</v>
          </cell>
          <cell r="AN248" t="str">
            <v>FD</v>
          </cell>
          <cell r="BJ248">
            <v>44104</v>
          </cell>
          <cell r="CH248" t="str">
            <v>MF19_BORD_BT_00007</v>
          </cell>
          <cell r="CI248" t="str">
            <v>AR</v>
          </cell>
          <cell r="CJ248" t="str">
            <v>FP</v>
          </cell>
        </row>
        <row r="249">
          <cell r="A249">
            <v>100439006</v>
          </cell>
          <cell r="B249" t="str">
            <v>Ligne_68.3_PPD</v>
          </cell>
          <cell r="C249" t="str">
            <v>68.3</v>
          </cell>
          <cell r="E249" t="str">
            <v>Plan de validation pour l'ensemble des équipements critiques, en particulier :
- structure de caisse
- intercirculations
- attelages et dispositif de traction de secours
- portes d’accès voyageurs
- équipements de confort climatique
- sièges
- siège conducteur</v>
          </cell>
          <cell r="F249" t="str">
            <v>A</v>
          </cell>
          <cell r="G249" t="str">
            <v>PLAN DE VALIDATION A LA COLLISION DES EQUIPEMENTS DE CHOC ET DE TRACTION</v>
          </cell>
          <cell r="M249" t="str">
            <v>F-02_CAISSE</v>
          </cell>
          <cell r="N249" t="str">
            <v>DJD</v>
          </cell>
          <cell r="O249" t="str">
            <v>PRT_PROG. ESSAIS DE TYPE</v>
          </cell>
          <cell r="Q249">
            <v>0</v>
          </cell>
          <cell r="R249" t="str">
            <v>BT</v>
          </cell>
          <cell r="S249" t="str">
            <v>BT</v>
          </cell>
          <cell r="U249" t="str">
            <v>Virgile Glacis</v>
          </cell>
          <cell r="V249" t="str">
            <v>BOMBARDIER</v>
          </cell>
          <cell r="W249" t="str">
            <v>N</v>
          </cell>
          <cell r="X249" t="str">
            <v>Document contractuel FP</v>
          </cell>
          <cell r="Z249" t="str">
            <v>RTS 193 JS2 EMC 07/09/2020</v>
          </cell>
          <cell r="AA249" t="str">
            <v>E</v>
          </cell>
          <cell r="AB249" t="str">
            <v>Mécanique</v>
          </cell>
          <cell r="AC249" t="str">
            <v>EMC</v>
          </cell>
          <cell r="AD249" t="str">
            <v>SF EM.4-40090
ST EM.4-40093</v>
          </cell>
          <cell r="AE249" t="str">
            <v xml:space="preserve">Caisse Confort </v>
          </cell>
          <cell r="AI249">
            <v>1</v>
          </cell>
          <cell r="AL249" t="str">
            <v>FP</v>
          </cell>
          <cell r="AM249" t="str">
            <v>FD</v>
          </cell>
          <cell r="BJ249">
            <v>44008</v>
          </cell>
          <cell r="BK249">
            <v>44162</v>
          </cell>
          <cell r="CH249" t="str">
            <v>MF19_BORD_BT_00008</v>
          </cell>
          <cell r="CI249" t="str">
            <v>AR</v>
          </cell>
          <cell r="CJ249" t="str">
            <v>FP</v>
          </cell>
        </row>
        <row r="250">
          <cell r="A250">
            <v>100443963</v>
          </cell>
          <cell r="B250" t="str">
            <v>Ligne_68.4_PPD</v>
          </cell>
          <cell r="C250" t="str">
            <v>68.4</v>
          </cell>
          <cell r="E250" t="str">
            <v>Plan de validation pour l'ensemble des équipements critiques, en particulier :
- structure de caisse
- intercirculations
- attelages et dispositif de traction de secours
- portes d’accès voyageurs
- équipements de confort climatique
- sièges
- siège conducteur</v>
          </cell>
          <cell r="F250" t="str">
            <v>A</v>
          </cell>
          <cell r="G250" t="str">
            <v>PLAN DE VALIDATION BARRE SEMI PERMANENTE</v>
          </cell>
          <cell r="M250" t="str">
            <v>F-02_CAISSE</v>
          </cell>
          <cell r="N250" t="str">
            <v>DJD</v>
          </cell>
          <cell r="O250" t="str">
            <v>PRT_PROG. ESSAIS DE TYPE</v>
          </cell>
          <cell r="Q250">
            <v>0</v>
          </cell>
          <cell r="R250" t="str">
            <v>BT</v>
          </cell>
          <cell r="S250" t="str">
            <v>BT</v>
          </cell>
          <cell r="U250" t="str">
            <v>Badr-Eddine Soufiane</v>
          </cell>
          <cell r="V250" t="str">
            <v>BOMBARDIER</v>
          </cell>
          <cell r="W250" t="str">
            <v>N</v>
          </cell>
          <cell r="X250" t="str">
            <v>Document contractuel FP</v>
          </cell>
          <cell r="Z250" t="str">
            <v>RTS 193 JS2 EMC 07/09/2020</v>
          </cell>
          <cell r="AA250" t="str">
            <v>E</v>
          </cell>
          <cell r="AB250" t="str">
            <v>Mécanique</v>
          </cell>
          <cell r="AC250" t="str">
            <v>EMC</v>
          </cell>
          <cell r="AD250" t="str">
            <v>SF EM.4-40090
ST EM.4-40093</v>
          </cell>
          <cell r="AE250" t="str">
            <v xml:space="preserve">Caisse Confort </v>
          </cell>
          <cell r="AI250">
            <v>1</v>
          </cell>
          <cell r="AL250" t="str">
            <v>FP</v>
          </cell>
          <cell r="AO250" t="str">
            <v>FD</v>
          </cell>
          <cell r="BJ250">
            <v>44104</v>
          </cell>
          <cell r="CH250" t="str">
            <v>MF19_BORD_BT_00007</v>
          </cell>
          <cell r="CI250" t="str">
            <v>AR</v>
          </cell>
          <cell r="CJ250" t="str">
            <v>FP</v>
          </cell>
        </row>
        <row r="251">
          <cell r="A251">
            <v>100448832</v>
          </cell>
          <cell r="B251" t="str">
            <v>Ligne_68.5_PPD</v>
          </cell>
          <cell r="C251" t="str">
            <v>68.5</v>
          </cell>
          <cell r="E251" t="str">
            <v>Plan de validation pour l'ensemble des équipements critiques, en particulier :
- structure de caisse
- intercirculations
- attelages et dispositif de traction de secours
- portes d’accès voyageurs
- équipements de confort climatique
- sièges
- siège conducteur</v>
          </cell>
          <cell r="F251" t="str">
            <v>A</v>
          </cell>
          <cell r="G251" t="str">
            <v>PLAN DE VALIDATION CROCHET DE SECOURS</v>
          </cell>
          <cell r="M251" t="str">
            <v>F-02_CAISSE</v>
          </cell>
          <cell r="N251" t="str">
            <v>DJD</v>
          </cell>
          <cell r="O251" t="str">
            <v>PRT_PROG. ESSAIS DE TYPE</v>
          </cell>
          <cell r="Q251">
            <v>0</v>
          </cell>
          <cell r="R251" t="str">
            <v>BT</v>
          </cell>
          <cell r="S251" t="str">
            <v>BT</v>
          </cell>
          <cell r="U251" t="str">
            <v>Badr-Eddine Soufiane</v>
          </cell>
          <cell r="V251" t="str">
            <v>BOMBARDIER</v>
          </cell>
          <cell r="W251" t="str">
            <v>N</v>
          </cell>
          <cell r="X251" t="str">
            <v>Document contractuel FP</v>
          </cell>
          <cell r="Z251" t="str">
            <v>RTS 193 JS2 EMC 07/09/2020</v>
          </cell>
          <cell r="AA251" t="str">
            <v>E</v>
          </cell>
          <cell r="AB251" t="str">
            <v>Mécanique</v>
          </cell>
          <cell r="AC251" t="str">
            <v>EMC</v>
          </cell>
          <cell r="AD251" t="str">
            <v>SF EM.4-40090
ST EM.4-40093</v>
          </cell>
          <cell r="AE251" t="str">
            <v xml:space="preserve">Caisse Confort </v>
          </cell>
          <cell r="AI251">
            <v>1</v>
          </cell>
          <cell r="AL251" t="str">
            <v>FP</v>
          </cell>
          <cell r="AN251" t="str">
            <v>FD</v>
          </cell>
          <cell r="BJ251">
            <v>44104</v>
          </cell>
          <cell r="CH251" t="str">
            <v>MF19_BORD_BT_00020</v>
          </cell>
          <cell r="CI251" t="str">
            <v>AR</v>
          </cell>
          <cell r="CJ251" t="str">
            <v>FP</v>
          </cell>
        </row>
        <row r="252">
          <cell r="A252">
            <v>100447829</v>
          </cell>
          <cell r="B252" t="str">
            <v>Ligne_68.6_PPD</v>
          </cell>
          <cell r="C252" t="str">
            <v>68.6</v>
          </cell>
          <cell r="E252" t="str">
            <v>Plan de validation pour l'ensemble des équipements critiques, en particulier :
- structure de caisse
- intercirculations
- attelages et dispositif de traction de secours
- portes d’accès voyageurs
- équipements de confort climatique
- sièges
- siège conducteur</v>
          </cell>
          <cell r="F252" t="str">
            <v>A</v>
          </cell>
          <cell r="G252" t="str">
            <v>PLAN DE VALIDATION ABSORBEUR D ERNERGIE DE COLLISION</v>
          </cell>
          <cell r="M252" t="str">
            <v>F-02_CAISSE</v>
          </cell>
          <cell r="N252" t="str">
            <v>DJD</v>
          </cell>
          <cell r="O252" t="str">
            <v>PRT_PROG. ESSAIS DE TYPE</v>
          </cell>
          <cell r="Q252">
            <v>0</v>
          </cell>
          <cell r="R252" t="str">
            <v>BT</v>
          </cell>
          <cell r="S252" t="str">
            <v>BT</v>
          </cell>
          <cell r="U252" t="str">
            <v>Andre Goericke</v>
          </cell>
          <cell r="V252" t="str">
            <v>BOMBARDIER</v>
          </cell>
          <cell r="W252" t="str">
            <v>N</v>
          </cell>
          <cell r="X252" t="str">
            <v>Document contractuel FP</v>
          </cell>
          <cell r="Z252" t="str">
            <v>RTS 193 JS2 EMC 07/09/2020</v>
          </cell>
          <cell r="AA252" t="str">
            <v>E</v>
          </cell>
          <cell r="AB252" t="str">
            <v>Mécanique</v>
          </cell>
          <cell r="AC252" t="str">
            <v>EMC</v>
          </cell>
          <cell r="AD252" t="str">
            <v>SF EM.4-40090
ST EM.4-40093</v>
          </cell>
          <cell r="AE252" t="str">
            <v xml:space="preserve">Caisse Confort </v>
          </cell>
          <cell r="AI252">
            <v>1</v>
          </cell>
          <cell r="AL252" t="str">
            <v>FP</v>
          </cell>
          <cell r="AO252" t="str">
            <v>FD</v>
          </cell>
          <cell r="BJ252">
            <v>44104</v>
          </cell>
          <cell r="CH252" t="str">
            <v>MF19_BORD_BT_00021</v>
          </cell>
          <cell r="CI252" t="str">
            <v>AR</v>
          </cell>
          <cell r="CJ252" t="str">
            <v>FP</v>
          </cell>
        </row>
        <row r="253">
          <cell r="A253" t="str">
            <v>0010NS1A_VAP</v>
          </cell>
          <cell r="B253" t="str">
            <v>Ligne_68.7_PPD</v>
          </cell>
          <cell r="C253" t="str">
            <v>68.7</v>
          </cell>
          <cell r="E253" t="str">
            <v>Plan de validation pour l'ensemble des équipements critiques, en particulier :
- structure de caisse
- intercirculations
- attelages et dispositif de traction de secours
- portes d’accès voyageurs
- équipements de confort climatique
- sièges
- siège conducteur</v>
          </cell>
          <cell r="F253" t="str">
            <v>A0</v>
          </cell>
          <cell r="G253" t="str">
            <v>PLAN DE VALIDATION PORTES ACCES VOYAGEURS</v>
          </cell>
          <cell r="M253" t="str">
            <v>410_PORTES VOYAGEURS</v>
          </cell>
          <cell r="N253" t="str">
            <v>DJD</v>
          </cell>
          <cell r="O253" t="str">
            <v>PRT_PROG. ESSAIS DE TYPE</v>
          </cell>
          <cell r="Q253">
            <v>0</v>
          </cell>
          <cell r="R253" t="str">
            <v>VPF</v>
          </cell>
          <cell r="S253" t="str">
            <v>AT</v>
          </cell>
          <cell r="T253" t="str">
            <v>BT</v>
          </cell>
          <cell r="U253" t="str">
            <v>H.FIEVET</v>
          </cell>
          <cell r="V253" t="str">
            <v>IFE</v>
          </cell>
          <cell r="W253" t="str">
            <v>N</v>
          </cell>
          <cell r="X253" t="str">
            <v>Document contractuel FP</v>
          </cell>
          <cell r="Z253" t="str">
            <v>RTS 193 JS2 EMC 07/09/2020</v>
          </cell>
          <cell r="AA253" t="str">
            <v>E</v>
          </cell>
          <cell r="AB253" t="str">
            <v>Mécanique</v>
          </cell>
          <cell r="AC253" t="str">
            <v>EMC</v>
          </cell>
          <cell r="AD253" t="str">
            <v>SF EM.4-40090
ST EM.4-40093</v>
          </cell>
          <cell r="AE253" t="str">
            <v xml:space="preserve">Caisse Confort </v>
          </cell>
          <cell r="AI253">
            <v>1</v>
          </cell>
          <cell r="AL253" t="str">
            <v>FP</v>
          </cell>
          <cell r="AM253" t="str">
            <v>FD</v>
          </cell>
          <cell r="BJ253">
            <v>44015</v>
          </cell>
          <cell r="CH253" t="str">
            <v>MF19_BORD_AT_00026</v>
          </cell>
          <cell r="CI253" t="str">
            <v>AR</v>
          </cell>
          <cell r="CJ253" t="str">
            <v>FP</v>
          </cell>
        </row>
        <row r="254">
          <cell r="A254">
            <v>100443813</v>
          </cell>
          <cell r="B254" t="str">
            <v>Ligne_68.8_PPD</v>
          </cell>
          <cell r="C254" t="str">
            <v>68.8</v>
          </cell>
          <cell r="E254" t="str">
            <v>Plan de validation pour l'ensemble des équipements critiques, en particulier :
- structure de caisse
- intercirculations
- attelages et dispositif de traction de secours
- portes d’accès voyageurs
- équipements de confort climatique
- sièges
- siège conducteur</v>
          </cell>
          <cell r="F254" t="str">
            <v>A</v>
          </cell>
          <cell r="G254" t="str">
            <v>PLAN DE VALIDATION EQUIPEMENT CONFORT CLIM ESP VOYAGEURS</v>
          </cell>
          <cell r="M254" t="str">
            <v>F-07_CONFORT</v>
          </cell>
          <cell r="N254" t="str">
            <v>DJD</v>
          </cell>
          <cell r="O254" t="str">
            <v>PRT_PROG. ESSAIS DE TYPE</v>
          </cell>
          <cell r="Q254">
            <v>0</v>
          </cell>
          <cell r="R254" t="str">
            <v>BT</v>
          </cell>
          <cell r="S254" t="str">
            <v>BT</v>
          </cell>
          <cell r="U254" t="str">
            <v>Boualem Aouchiche</v>
          </cell>
          <cell r="V254" t="str">
            <v>BOMBARDIER</v>
          </cell>
          <cell r="W254" t="str">
            <v>N</v>
          </cell>
          <cell r="X254" t="str">
            <v>Document contractuel FP</v>
          </cell>
          <cell r="Z254" t="str">
            <v>RTS 193 JS2 EMC 07/09/2020
Accord RATP sur décallage : MF19_MRF-RP11_2020-00393</v>
          </cell>
          <cell r="AA254" t="str">
            <v>E</v>
          </cell>
          <cell r="AB254" t="str">
            <v>Mécanique</v>
          </cell>
          <cell r="AC254" t="str">
            <v>EMC</v>
          </cell>
          <cell r="AD254" t="str">
            <v>SF EM.4-40090
ST EM.4-40093</v>
          </cell>
          <cell r="AE254" t="str">
            <v xml:space="preserve">Caisse Confort </v>
          </cell>
          <cell r="AI254">
            <v>1</v>
          </cell>
          <cell r="AL254" t="str">
            <v>FP</v>
          </cell>
          <cell r="AN254" t="str">
            <v>FD</v>
          </cell>
          <cell r="BJ254">
            <v>44104</v>
          </cell>
          <cell r="CH254" t="str">
            <v>MF19_BORD_BT_00013</v>
          </cell>
          <cell r="CI254" t="str">
            <v>AR</v>
          </cell>
          <cell r="CJ254" t="str">
            <v>FP</v>
          </cell>
        </row>
        <row r="255">
          <cell r="A255">
            <v>100443811</v>
          </cell>
          <cell r="B255" t="str">
            <v>Ligne_68.9_PPD</v>
          </cell>
          <cell r="C255" t="str">
            <v>68.9</v>
          </cell>
          <cell r="E255" t="str">
            <v>Plan de validation pour l'ensemble des équipements critiques, en particulier :
- structure de caisse
- intercirculations
- attelages et dispositif de traction de secours
- portes d’accès voyageurs
- équipements de confort climatique
- sièges
- siège conducteur</v>
          </cell>
          <cell r="F255" t="str">
            <v>A</v>
          </cell>
          <cell r="G255" t="str">
            <v>PLAN DE VALIDATION EQUIPEMENT CONFORT CLIM CABINE CONDUITE</v>
          </cell>
          <cell r="M255" t="str">
            <v>F-07_CONFORT</v>
          </cell>
          <cell r="N255" t="str">
            <v>DJD</v>
          </cell>
          <cell r="O255" t="str">
            <v>PRT_PROG. ESSAIS DE TYPE</v>
          </cell>
          <cell r="Q255">
            <v>0</v>
          </cell>
          <cell r="R255" t="str">
            <v>BT</v>
          </cell>
          <cell r="S255" t="str">
            <v>BT</v>
          </cell>
          <cell r="U255" t="str">
            <v>François Raymond</v>
          </cell>
          <cell r="V255" t="str">
            <v>BOMBARDIER</v>
          </cell>
          <cell r="W255" t="str">
            <v>N</v>
          </cell>
          <cell r="X255" t="str">
            <v>Document contractuel FP</v>
          </cell>
          <cell r="Z255" t="str">
            <v>RTS 193 JS2 EMC 07/09/2020
Accord RATP sur décallage : MF19_MRF-RP11_2020-00393</v>
          </cell>
          <cell r="AA255" t="str">
            <v>E</v>
          </cell>
          <cell r="AB255" t="str">
            <v>Mécanique</v>
          </cell>
          <cell r="AC255" t="str">
            <v>EMC</v>
          </cell>
          <cell r="AD255" t="str">
            <v>SF EM.4-40090
ST EM.4-40093</v>
          </cell>
          <cell r="AE255" t="str">
            <v xml:space="preserve">Caisse Confort </v>
          </cell>
          <cell r="AI255">
            <v>1</v>
          </cell>
          <cell r="AL255" t="str">
            <v>FP</v>
          </cell>
          <cell r="AN255" t="str">
            <v>FD</v>
          </cell>
          <cell r="BJ255">
            <v>44104</v>
          </cell>
          <cell r="CH255" t="str">
            <v>MF19_BORD_BT_00013</v>
          </cell>
          <cell r="CI255" t="str">
            <v>AR</v>
          </cell>
          <cell r="CJ255" t="str">
            <v>FP</v>
          </cell>
        </row>
        <row r="256">
          <cell r="A256">
            <v>100443960</v>
          </cell>
          <cell r="B256" t="str">
            <v>Ligne_68.10_PPD</v>
          </cell>
          <cell r="C256" t="str">
            <v>68.10</v>
          </cell>
          <cell r="E256" t="str">
            <v>Plan de validation pour l'ensemble des équipements critiques, en particulier :
- structure de caisse
- intercirculations
- attelages et dispositif de traction de secours
- portes d’accès voyageurs
- équipements de confort climatique
- sièges
- siège conducteur</v>
          </cell>
          <cell r="F256" t="str">
            <v>A</v>
          </cell>
          <cell r="G256" t="str">
            <v>PLAN DE VALIDATION DES SIEGES PASSAGERS</v>
          </cell>
          <cell r="M256" t="str">
            <v>F-02_CAISSE</v>
          </cell>
          <cell r="N256" t="str">
            <v>DJD</v>
          </cell>
          <cell r="O256" t="str">
            <v>PRT_PROG. ESSAIS DE TYPE</v>
          </cell>
          <cell r="Q256">
            <v>0</v>
          </cell>
          <cell r="R256" t="str">
            <v>BT</v>
          </cell>
          <cell r="S256" t="str">
            <v>BT</v>
          </cell>
          <cell r="U256" t="str">
            <v>Alexandre Scopazzo</v>
          </cell>
          <cell r="V256" t="str">
            <v>BOMBARDIER</v>
          </cell>
          <cell r="W256" t="str">
            <v>N</v>
          </cell>
          <cell r="X256" t="str">
            <v>Document contractuel FP</v>
          </cell>
          <cell r="Z256" t="str">
            <v>RTS 193 JS2 EMC 07/09/2020</v>
          </cell>
          <cell r="AA256" t="str">
            <v>E</v>
          </cell>
          <cell r="AB256" t="str">
            <v>Mécanique</v>
          </cell>
          <cell r="AC256" t="str">
            <v>EMC</v>
          </cell>
          <cell r="AD256" t="str">
            <v>SF EM.4-40090
ST EM.4-40093</v>
          </cell>
          <cell r="AE256" t="str">
            <v xml:space="preserve">Caisse Confort </v>
          </cell>
          <cell r="AI256">
            <v>1</v>
          </cell>
          <cell r="AL256" t="str">
            <v>FP</v>
          </cell>
          <cell r="AO256" t="str">
            <v>FD</v>
          </cell>
          <cell r="BJ256">
            <v>44104</v>
          </cell>
          <cell r="CH256" t="str">
            <v>MF19_BORD_BT_00008</v>
          </cell>
          <cell r="CI256" t="str">
            <v>AR</v>
          </cell>
          <cell r="CJ256" t="str">
            <v>FP</v>
          </cell>
        </row>
        <row r="257">
          <cell r="A257">
            <v>100443961</v>
          </cell>
          <cell r="B257" t="str">
            <v>Ligne_68.11_PPD</v>
          </cell>
          <cell r="C257" t="str">
            <v>68.11</v>
          </cell>
          <cell r="E257" t="str">
            <v>Plan de validation pour l'ensemble des équipements critiques, en particulier :
- structure de caisse
- intercirculations
- attelages et dispositif de traction de secours
- portes d’accès voyageurs
- équipements de confort climatique
- sièges
- siège conducteur</v>
          </cell>
          <cell r="F257" t="str">
            <v>A</v>
          </cell>
          <cell r="G257" t="str">
            <v>PLAN DE VALIDATION DU SIEGE CONDUCTEUR</v>
          </cell>
          <cell r="M257" t="str">
            <v>F-02_CAISSE</v>
          </cell>
          <cell r="N257" t="str">
            <v>DJD</v>
          </cell>
          <cell r="O257" t="str">
            <v>PRT_PROG. ESSAIS DE TYPE</v>
          </cell>
          <cell r="Q257">
            <v>0</v>
          </cell>
          <cell r="R257" t="str">
            <v>BT</v>
          </cell>
          <cell r="S257" t="str">
            <v>BT</v>
          </cell>
          <cell r="U257" t="str">
            <v>Alexandre Scopazzo</v>
          </cell>
          <cell r="V257" t="str">
            <v>BOMBARDIER</v>
          </cell>
          <cell r="W257" t="str">
            <v>N</v>
          </cell>
          <cell r="X257" t="str">
            <v>Document contractuel FP</v>
          </cell>
          <cell r="Z257" t="str">
            <v>RTS 193 JS2 EMC 07/09/2020</v>
          </cell>
          <cell r="AA257" t="str">
            <v>E</v>
          </cell>
          <cell r="AB257" t="str">
            <v>Mécanique</v>
          </cell>
          <cell r="AC257" t="str">
            <v>EMC</v>
          </cell>
          <cell r="AD257" t="str">
            <v>SF EM.4-40090
ST EM.4-40093</v>
          </cell>
          <cell r="AE257" t="str">
            <v xml:space="preserve">Caisse Confort </v>
          </cell>
          <cell r="AI257">
            <v>1</v>
          </cell>
          <cell r="AL257" t="str">
            <v>FP</v>
          </cell>
          <cell r="AN257" t="str">
            <v>FD</v>
          </cell>
          <cell r="BJ257">
            <v>44104</v>
          </cell>
          <cell r="CH257" t="str">
            <v>MF19_BORD_BT_00008</v>
          </cell>
          <cell r="CI257" t="str">
            <v>AR</v>
          </cell>
          <cell r="CJ257" t="str">
            <v>FP</v>
          </cell>
        </row>
        <row r="258">
          <cell r="A258">
            <v>100435129</v>
          </cell>
          <cell r="B258" t="str">
            <v>Ligne_69_PPD</v>
          </cell>
          <cell r="C258">
            <v>69</v>
          </cell>
          <cell r="E258" t="str">
            <v>Plan de management de l'écoconception (PMEC)</v>
          </cell>
          <cell r="F258" t="str">
            <v>D</v>
          </cell>
          <cell r="G258" t="str">
            <v>PLAN DE MANAGEMENT DE L ECOCONCEPTION (PMEC)</v>
          </cell>
          <cell r="M258" t="str">
            <v>SYS-17_ENVIRONNEMENT-ECODESIGN</v>
          </cell>
          <cell r="N258" t="str">
            <v>DS</v>
          </cell>
          <cell r="O258" t="str">
            <v>PMN_PLAN MANAGMT</v>
          </cell>
          <cell r="Q258">
            <v>0</v>
          </cell>
          <cell r="R258" t="str">
            <v>BT</v>
          </cell>
          <cell r="S258" t="str">
            <v>BT</v>
          </cell>
          <cell r="U258" t="str">
            <v>Antoine Biotteau</v>
          </cell>
          <cell r="V258" t="str">
            <v>BOMBARDIER</v>
          </cell>
          <cell r="W258" t="str">
            <v>N</v>
          </cell>
          <cell r="X258" t="str">
            <v>Document contractuel FD</v>
          </cell>
          <cell r="AA258" t="str">
            <v>E</v>
          </cell>
          <cell r="AB258" t="str">
            <v>Projet</v>
          </cell>
          <cell r="AC258" t="str">
            <v>SID</v>
          </cell>
          <cell r="AD258" t="str">
            <v>SM ET.4-10639</v>
          </cell>
          <cell r="AE258" t="str">
            <v>Spécification de management MF19</v>
          </cell>
          <cell r="AF258">
            <v>12</v>
          </cell>
          <cell r="AI258">
            <v>1</v>
          </cell>
          <cell r="AJ258" t="str">
            <v>FP</v>
          </cell>
          <cell r="AL258" t="str">
            <v>FD</v>
          </cell>
          <cell r="BJ258">
            <v>43994</v>
          </cell>
          <cell r="CG258" t="str">
            <v>05/10/2020 : changement du domaine RATP pour import dans la base arbo, avant : M-12_ENVIRONNEMENT-ECODESIGN</v>
          </cell>
          <cell r="CH258" t="str">
            <v>MF19_BORD_BT_00013</v>
          </cell>
          <cell r="CI258" t="str">
            <v>A</v>
          </cell>
          <cell r="CJ258" t="str">
            <v>FD</v>
          </cell>
        </row>
        <row r="259">
          <cell r="B259" t="str">
            <v>Ligne_70_PPD</v>
          </cell>
          <cell r="C259">
            <v>70</v>
          </cell>
          <cell r="E259" t="str">
            <v>Document : "Caractérisation du MF19 pour intégration du CBTC"</v>
          </cell>
          <cell r="G259" t="str">
            <v>CARACTERISATION DU MF19 POUR INTEGRATION DU CBTC</v>
          </cell>
          <cell r="R259" t="str">
            <v>VPF</v>
          </cell>
          <cell r="S259" t="str">
            <v>AT</v>
          </cell>
          <cell r="T259" t="str">
            <v>BT</v>
          </cell>
          <cell r="U259" t="str">
            <v>J.MALENGE</v>
          </cell>
          <cell r="Z259" t="str">
            <v>RTS 181 JS2 SIT 27/08/2020</v>
          </cell>
          <cell r="AA259" t="str">
            <v>E</v>
          </cell>
          <cell r="AB259" t="str">
            <v>Interface</v>
          </cell>
          <cell r="AC259" t="str">
            <v>ING</v>
          </cell>
          <cell r="AD259" t="str">
            <v>STF-17-6128_annexe4</v>
          </cell>
          <cell r="AE259" t="str">
            <v>Annexe 4 : Intégration et limites de prestations MF19 / CBTC</v>
          </cell>
          <cell r="AF259" t="str">
            <v>4.2.13</v>
          </cell>
          <cell r="AI259">
            <v>1</v>
          </cell>
          <cell r="AN259" t="str">
            <v>FP</v>
          </cell>
          <cell r="AU259" t="str">
            <v>FD</v>
          </cell>
          <cell r="CH259" t="e">
            <v>#N/A</v>
          </cell>
          <cell r="CI259" t="e">
            <v>#N/A</v>
          </cell>
          <cell r="CJ259" t="e">
            <v>#N/A</v>
          </cell>
        </row>
        <row r="260">
          <cell r="A260" t="str">
            <v>ADD0003308410</v>
          </cell>
          <cell r="B260" t="str">
            <v>Ligne_71_PPD</v>
          </cell>
          <cell r="C260">
            <v>71</v>
          </cell>
          <cell r="E260" t="str">
            <v>Plan de SDF (PSdF)</v>
          </cell>
          <cell r="F260" t="str">
            <v>D</v>
          </cell>
          <cell r="G260" t="str">
            <v>PLAN DE SDF</v>
          </cell>
          <cell r="M260" t="str">
            <v>M-07_GESTION_DE_LA_SURETE_DE_FONCTIONNEMENT</v>
          </cell>
          <cell r="N260" t="str">
            <v>DS</v>
          </cell>
          <cell r="O260" t="str">
            <v>PMN_PLAN MANAGMT</v>
          </cell>
          <cell r="Q260">
            <v>0</v>
          </cell>
          <cell r="R260" t="str">
            <v>VPF</v>
          </cell>
          <cell r="S260" t="str">
            <v>AT</v>
          </cell>
          <cell r="T260" t="str">
            <v>BT</v>
          </cell>
          <cell r="U260" t="str">
            <v>D.CHANAL</v>
          </cell>
          <cell r="V260" t="str">
            <v xml:space="preserve">ALSTOM </v>
          </cell>
          <cell r="W260" t="str">
            <v>N</v>
          </cell>
          <cell r="X260" t="str">
            <v>Contractuel Management</v>
          </cell>
          <cell r="Z260" t="str">
            <v>RTS 191 JS2 ESF 04/09/2020</v>
          </cell>
          <cell r="AA260" t="str">
            <v>E</v>
          </cell>
          <cell r="AB260" t="str">
            <v>Projet</v>
          </cell>
          <cell r="AC260" t="str">
            <v>ESF</v>
          </cell>
          <cell r="AD260" t="str">
            <v>SM ET.4-10639</v>
          </cell>
          <cell r="AE260" t="str">
            <v>Spécification de management MF19</v>
          </cell>
          <cell r="AF260" t="str">
            <v>7.3.4</v>
          </cell>
          <cell r="AI260">
            <v>1</v>
          </cell>
          <cell r="AJ260" t="str">
            <v>FP</v>
          </cell>
          <cell r="AL260" t="str">
            <v>FD</v>
          </cell>
          <cell r="AN260" t="str">
            <v>Maj</v>
          </cell>
          <cell r="AP260" t="str">
            <v>Maj</v>
          </cell>
          <cell r="AU260" t="str">
            <v>Maj</v>
          </cell>
          <cell r="AW260" t="str">
            <v>Maj</v>
          </cell>
          <cell r="BJ260">
            <v>44027</v>
          </cell>
          <cell r="CH260" t="str">
            <v>MF19_BORD_AT_00035</v>
          </cell>
          <cell r="CI260" t="str">
            <v>-</v>
          </cell>
          <cell r="CJ260" t="str">
            <v>FD</v>
          </cell>
        </row>
        <row r="261">
          <cell r="A261" t="str">
            <v>ADD0003308430</v>
          </cell>
          <cell r="B261" t="str">
            <v>Ligne_72_PPD</v>
          </cell>
          <cell r="C261">
            <v>72</v>
          </cell>
          <cell r="E261" t="str">
            <v>Plan soutien logistique (PSL)</v>
          </cell>
          <cell r="F261" t="str">
            <v>D</v>
          </cell>
          <cell r="G261" t="str">
            <v>PLAN SOUTIEN LOGISTIQUE-PSL</v>
          </cell>
          <cell r="M261" t="str">
            <v>M-08_SOUTIEN_LOGISTIQUE_INTEGRE</v>
          </cell>
          <cell r="N261" t="str">
            <v>DM</v>
          </cell>
          <cell r="O261" t="str">
            <v>PMN_PLAN MANAGMT</v>
          </cell>
          <cell r="Q261">
            <v>0</v>
          </cell>
          <cell r="R261" t="str">
            <v>VPF</v>
          </cell>
          <cell r="S261" t="str">
            <v>AT</v>
          </cell>
          <cell r="T261" t="str">
            <v>BT</v>
          </cell>
          <cell r="U261" t="str">
            <v>M.THOREL</v>
          </cell>
          <cell r="V261" t="str">
            <v xml:space="preserve">ALSTOM </v>
          </cell>
          <cell r="W261" t="str">
            <v>N</v>
          </cell>
          <cell r="X261" t="str">
            <v>Contractuel Management</v>
          </cell>
          <cell r="Z261" t="str">
            <v>RTS 161 JS2 AME/M2I/MRB 03/07/2020</v>
          </cell>
          <cell r="AA261" t="str">
            <v>SL</v>
          </cell>
          <cell r="AB261" t="str">
            <v>Soutien Logistique</v>
          </cell>
          <cell r="AC261" t="str">
            <v>M2I</v>
          </cell>
          <cell r="AD261" t="str">
            <v>IPM-MT-MF19-SSL</v>
          </cell>
          <cell r="AE261" t="str">
            <v xml:space="preserve">Spécification de Soutien Logistique Intégré </v>
          </cell>
          <cell r="AF261" t="str">
            <v>4.1</v>
          </cell>
          <cell r="AI261">
            <v>1</v>
          </cell>
          <cell r="AJ261" t="str">
            <v>FP</v>
          </cell>
          <cell r="AL261" t="str">
            <v>FP</v>
          </cell>
          <cell r="AN261" t="str">
            <v>FD</v>
          </cell>
          <cell r="BJ261">
            <v>44017</v>
          </cell>
          <cell r="CH261" t="str">
            <v>MF19_BORD_AT_00039</v>
          </cell>
          <cell r="CI261" t="str">
            <v>-</v>
          </cell>
          <cell r="CJ261" t="str">
            <v>FP</v>
          </cell>
        </row>
        <row r="262">
          <cell r="B262" t="str">
            <v>Ligne_73_PPD</v>
          </cell>
          <cell r="C262">
            <v>73</v>
          </cell>
          <cell r="E262" t="str">
            <v xml:space="preserve">Matrice de reprise en maintenance des produits électroniques ST 12-004 </v>
          </cell>
          <cell r="G262" t="str">
            <v>LIVRABLE</v>
          </cell>
          <cell r="R262" t="str">
            <v>NA</v>
          </cell>
          <cell r="S262" t="str">
            <v>AT</v>
          </cell>
          <cell r="T262" t="str">
            <v>NA</v>
          </cell>
          <cell r="U262" t="str">
            <v>NA</v>
          </cell>
          <cell r="Z262" t="str">
            <v>RTS 161 JS2 AME/M2I/MRB 03/07/2020</v>
          </cell>
          <cell r="AA262" t="str">
            <v>SL</v>
          </cell>
          <cell r="AB262" t="str">
            <v>Maintenabilité</v>
          </cell>
          <cell r="AC262" t="str">
            <v>AME</v>
          </cell>
          <cell r="AD262" t="str">
            <v>DIR/06/04-12</v>
          </cell>
          <cell r="AE262" t="str">
            <v>Directive de maintenabilité et de testabilité des équipements électroniques</v>
          </cell>
          <cell r="AF262">
            <v>4</v>
          </cell>
          <cell r="AI262" t="str">
            <v>LIVRABLE</v>
          </cell>
          <cell r="AJ262" t="str">
            <v>FP</v>
          </cell>
          <cell r="AN262" t="str">
            <v>FP</v>
          </cell>
          <cell r="AP262" t="str">
            <v>Maj</v>
          </cell>
          <cell r="AT262" t="str">
            <v>Maj</v>
          </cell>
          <cell r="AU262" t="str">
            <v>Maj</v>
          </cell>
          <cell r="BE262" t="str">
            <v>Maj</v>
          </cell>
          <cell r="CH262" t="e">
            <v>#N/A</v>
          </cell>
          <cell r="CI262" t="e">
            <v>#N/A</v>
          </cell>
          <cell r="CJ262" t="e">
            <v>#N/A</v>
          </cell>
        </row>
        <row r="263">
          <cell r="A263" t="str">
            <v>ADD0003308431</v>
          </cell>
          <cell r="B263" t="str">
            <v>Ligne_73.1_PPD</v>
          </cell>
          <cell r="C263" t="str">
            <v>73.1</v>
          </cell>
          <cell r="E263" t="str">
            <v xml:space="preserve">Matrice de reprise en maintenance des produits électroniques ST 12-004 </v>
          </cell>
          <cell r="F263" t="str">
            <v>A</v>
          </cell>
          <cell r="G263" t="str">
            <v>MATRICE REPRISE EN MAINT PRODUITS ELECTRO ST 12-004 - COMMUN</v>
          </cell>
          <cell r="M263" t="str">
            <v>M-00-70-SOUTIEN_LOGISTIQUE</v>
          </cell>
          <cell r="N263" t="str">
            <v>DJD</v>
          </cell>
          <cell r="O263" t="str">
            <v>PMN_PLAN MANAGMT</v>
          </cell>
          <cell r="Q263">
            <v>0</v>
          </cell>
          <cell r="R263" t="str">
            <v>VPF</v>
          </cell>
          <cell r="S263" t="str">
            <v>AT</v>
          </cell>
          <cell r="T263" t="str">
            <v>BT</v>
          </cell>
          <cell r="U263" t="str">
            <v>M.THOREL</v>
          </cell>
          <cell r="V263" t="str">
            <v>ALSTOM</v>
          </cell>
          <cell r="W263" t="str">
            <v>N</v>
          </cell>
          <cell r="X263" t="str">
            <v>Contractuel Management</v>
          </cell>
          <cell r="Z263" t="str">
            <v>RTS 161 JS2 AME/M2I/MRB 03/07/2020</v>
          </cell>
          <cell r="AA263" t="str">
            <v>SL</v>
          </cell>
          <cell r="AB263" t="str">
            <v>Maintenabilité</v>
          </cell>
          <cell r="AC263" t="str">
            <v>AME</v>
          </cell>
          <cell r="AD263" t="str">
            <v>DIR/06/04-12</v>
          </cell>
          <cell r="AE263" t="str">
            <v>Directive de maintenabilité et de testabilité des équipements électroniques</v>
          </cell>
          <cell r="AF263">
            <v>4</v>
          </cell>
          <cell r="AI263">
            <v>1</v>
          </cell>
          <cell r="AJ263" t="str">
            <v>FP</v>
          </cell>
          <cell r="AN263" t="str">
            <v>FP</v>
          </cell>
          <cell r="AP263" t="str">
            <v>Maj</v>
          </cell>
          <cell r="AT263" t="str">
            <v>Maj</v>
          </cell>
          <cell r="AU263" t="str">
            <v>Maj</v>
          </cell>
          <cell r="BE263" t="str">
            <v>Maj</v>
          </cell>
          <cell r="CH263" t="str">
            <v>MF19_BORD_AT_00001</v>
          </cell>
          <cell r="CI263" t="str">
            <v>AR</v>
          </cell>
          <cell r="CJ263" t="str">
            <v>FP</v>
          </cell>
        </row>
        <row r="264">
          <cell r="A264" t="str">
            <v>Ligne_73.2_PPD</v>
          </cell>
          <cell r="B264" t="str">
            <v>Ligne_73.2_PPD</v>
          </cell>
          <cell r="C264" t="str">
            <v>73.2</v>
          </cell>
          <cell r="E264" t="str">
            <v xml:space="preserve">Matrice de reprise en maintenance des produits électroniques ST 12-004 </v>
          </cell>
          <cell r="F264" t="str">
            <v>A</v>
          </cell>
          <cell r="G264" t="str">
            <v>MATRICE DE REPRISE EN MAINTENANCE ST12-004 - ALSTOM</v>
          </cell>
          <cell r="M264" t="str">
            <v>M-08_SOUTIEN_LOGISTIQUE_INTEGRE</v>
          </cell>
          <cell r="N264" t="str">
            <v>DJD</v>
          </cell>
          <cell r="O264" t="str">
            <v>PMN_PLAN MANAGMT</v>
          </cell>
          <cell r="Q264">
            <v>0</v>
          </cell>
          <cell r="R264" t="str">
            <v>VPF</v>
          </cell>
          <cell r="S264" t="str">
            <v>AT</v>
          </cell>
          <cell r="T264" t="str">
            <v>EX</v>
          </cell>
          <cell r="U264" t="str">
            <v>M.THOREL</v>
          </cell>
          <cell r="V264" t="str">
            <v>ALSTOM</v>
          </cell>
          <cell r="W264" t="str">
            <v>N</v>
          </cell>
          <cell r="X264" t="str">
            <v>Contractuel Management</v>
          </cell>
          <cell r="Z264" t="str">
            <v>RTS 161 JS2 AME/M2I/MRB 03/07/2020</v>
          </cell>
          <cell r="AA264" t="str">
            <v>SL</v>
          </cell>
          <cell r="AB264" t="str">
            <v>Maintenabilité</v>
          </cell>
          <cell r="AC264" t="str">
            <v>AME</v>
          </cell>
          <cell r="AD264" t="str">
            <v>DIR/06/04-12</v>
          </cell>
          <cell r="AE264" t="str">
            <v>Directive de maintenabilité et de testabilité des équipements électroniques</v>
          </cell>
          <cell r="AF264">
            <v>4</v>
          </cell>
          <cell r="AI264">
            <v>1</v>
          </cell>
          <cell r="AJ264" t="str">
            <v>FP</v>
          </cell>
          <cell r="AN264" t="str">
            <v>FP</v>
          </cell>
          <cell r="AP264" t="str">
            <v>Maj</v>
          </cell>
          <cell r="AT264" t="str">
            <v>Maj</v>
          </cell>
          <cell r="AU264" t="str">
            <v>Maj</v>
          </cell>
          <cell r="BE264" t="str">
            <v>Maj</v>
          </cell>
          <cell r="CH264" t="str">
            <v>MF19_BORD_AT_00001</v>
          </cell>
          <cell r="CI264" t="str">
            <v>AR</v>
          </cell>
          <cell r="CJ264" t="str">
            <v>FP</v>
          </cell>
        </row>
        <row r="265">
          <cell r="A265" t="str">
            <v>ADD0003308502</v>
          </cell>
          <cell r="B265" t="str">
            <v>Ligne_74_PPD</v>
          </cell>
          <cell r="C265">
            <v>74</v>
          </cell>
          <cell r="E265" t="str">
            <v xml:space="preserve">Spécification d’échanges des données intégrant le formalisme des fournitures SL (type SL et BASL) </v>
          </cell>
          <cell r="F265" t="str">
            <v>A</v>
          </cell>
          <cell r="G265" t="str">
            <v>SPECIFICATION ECHANGE DES DONNEES LOGISTIQUE</v>
          </cell>
          <cell r="M265" t="str">
            <v>M-08_SOUTIEN_LOGISTIQUE_INTEGRE</v>
          </cell>
          <cell r="N265" t="str">
            <v>DJD</v>
          </cell>
          <cell r="O265" t="str">
            <v>SP_SPECIF</v>
          </cell>
          <cell r="Q265">
            <v>0</v>
          </cell>
          <cell r="R265" t="str">
            <v>VPF</v>
          </cell>
          <cell r="S265" t="str">
            <v>AT</v>
          </cell>
          <cell r="T265" t="str">
            <v>BT</v>
          </cell>
          <cell r="U265" t="str">
            <v>M.THOREL</v>
          </cell>
          <cell r="V265" t="str">
            <v xml:space="preserve">ALSTOM </v>
          </cell>
          <cell r="W265" t="str">
            <v>N</v>
          </cell>
          <cell r="X265" t="str">
            <v>Document contractuel FP</v>
          </cell>
          <cell r="Z265" t="str">
            <v>RTS 161 JS2 AME/M2I/MRB 03/07/2020</v>
          </cell>
          <cell r="AA265" t="str">
            <v>SL</v>
          </cell>
          <cell r="AB265" t="str">
            <v>Soutien Logistique</v>
          </cell>
          <cell r="AC265" t="str">
            <v>M2I</v>
          </cell>
          <cell r="AD265" t="str">
            <v>IPM-MT-MF19-SSL</v>
          </cell>
          <cell r="AE265" t="str">
            <v xml:space="preserve">Spécification de Soutien Logistique Intégré </v>
          </cell>
          <cell r="AF265">
            <v>19</v>
          </cell>
          <cell r="AI265">
            <v>1</v>
          </cell>
          <cell r="AL265" t="str">
            <v>FP</v>
          </cell>
          <cell r="AN265" t="str">
            <v>FP</v>
          </cell>
          <cell r="AU265" t="str">
            <v>FD</v>
          </cell>
          <cell r="BE265" t="str">
            <v>Maj</v>
          </cell>
          <cell r="BJ265">
            <v>44011</v>
          </cell>
          <cell r="CH265" t="str">
            <v>MF19_BORD_AT_00014</v>
          </cell>
          <cell r="CI265" t="str">
            <v>AR</v>
          </cell>
          <cell r="CJ265" t="str">
            <v>FP</v>
          </cell>
        </row>
        <row r="266">
          <cell r="B266" t="str">
            <v>Ligne_75_PPD</v>
          </cell>
          <cell r="C266">
            <v>75</v>
          </cell>
          <cell r="E266" t="str">
            <v>Planning prévisionnel des revues de planches</v>
          </cell>
          <cell r="G266" t="str">
            <v/>
          </cell>
          <cell r="S266" t="str">
            <v>AT</v>
          </cell>
          <cell r="T266" t="str">
            <v>BT</v>
          </cell>
          <cell r="U266" t="str">
            <v>E.CAPELLE</v>
          </cell>
          <cell r="Z266" t="str">
            <v>RTS 178 JS2 RP11 22/07/2020</v>
          </cell>
          <cell r="AA266" t="str">
            <v>E</v>
          </cell>
          <cell r="AB266" t="str">
            <v>Projet</v>
          </cell>
          <cell r="AC266" t="str">
            <v>RP11/CA</v>
          </cell>
          <cell r="AD266" t="str">
            <v>SM ET.4-10639</v>
          </cell>
          <cell r="AE266" t="str">
            <v>Spécification de management MF19</v>
          </cell>
          <cell r="AF266" t="str">
            <v>2.2.1.3</v>
          </cell>
          <cell r="AI266">
            <v>1</v>
          </cell>
          <cell r="AN266" t="str">
            <v>FP</v>
          </cell>
          <cell r="AP266" t="str">
            <v>FD</v>
          </cell>
          <cell r="AR266" t="str">
            <v>Maj</v>
          </cell>
          <cell r="CH266" t="e">
            <v>#N/A</v>
          </cell>
          <cell r="CI266" t="e">
            <v>#N/A</v>
          </cell>
          <cell r="CJ266" t="e">
            <v>#N/A</v>
          </cell>
        </row>
        <row r="267">
          <cell r="B267" t="str">
            <v>Ligne_76_PPD</v>
          </cell>
          <cell r="C267">
            <v>76</v>
          </cell>
          <cell r="E267" t="str">
            <v xml:space="preserve">Matrice de démonstration du fonctionnel </v>
          </cell>
          <cell r="G267" t="str">
            <v>sera inclus dans le livrable 49.1</v>
          </cell>
          <cell r="R267" t="str">
            <v>NA</v>
          </cell>
          <cell r="S267" t="str">
            <v>AT</v>
          </cell>
          <cell r="T267" t="str">
            <v>NA</v>
          </cell>
          <cell r="U267" t="str">
            <v>M.LEGROS</v>
          </cell>
          <cell r="Z267" t="str">
            <v>RTS 178 JS2 RP11 22/07/2020</v>
          </cell>
          <cell r="AA267" t="str">
            <v>E</v>
          </cell>
          <cell r="AB267" t="str">
            <v>Projet</v>
          </cell>
          <cell r="AC267" t="str">
            <v>RP11/CA</v>
          </cell>
          <cell r="AD267" t="str">
            <v>SM ET.4-10639</v>
          </cell>
          <cell r="AE267" t="str">
            <v>Spécification de management MF19</v>
          </cell>
          <cell r="AF267" t="str">
            <v>3.2.2</v>
          </cell>
          <cell r="AI267" t="str">
            <v>RENVOI</v>
          </cell>
          <cell r="AN267" t="str">
            <v>FD</v>
          </cell>
          <cell r="CH267" t="e">
            <v>#N/A</v>
          </cell>
          <cell r="CI267" t="e">
            <v>#N/A</v>
          </cell>
          <cell r="CJ267" t="e">
            <v>#N/A</v>
          </cell>
        </row>
        <row r="268">
          <cell r="B268" t="str">
            <v>Ligne_78_PPD</v>
          </cell>
          <cell r="C268">
            <v>78</v>
          </cell>
          <cell r="E268" t="str">
            <v>Journal des Points à Risques Identifiés (JPRI)</v>
          </cell>
          <cell r="G268" t="str">
            <v/>
          </cell>
          <cell r="S268" t="str">
            <v>AT</v>
          </cell>
          <cell r="T268" t="str">
            <v>BT</v>
          </cell>
          <cell r="U268" t="str">
            <v>T.BONNEFOUS</v>
          </cell>
          <cell r="Z268" t="str">
            <v>RTS 178 JS2 RP11 22/07/2020</v>
          </cell>
          <cell r="AA268" t="str">
            <v>E</v>
          </cell>
          <cell r="AB268" t="str">
            <v>Projet</v>
          </cell>
          <cell r="AC268" t="str">
            <v>RP11/CA</v>
          </cell>
          <cell r="AD268" t="str">
            <v>SM ET.4-10639</v>
          </cell>
          <cell r="AE268" t="str">
            <v>Spécification de management MF19</v>
          </cell>
          <cell r="AF268" t="str">
            <v>2.1.1</v>
          </cell>
          <cell r="AI268">
            <v>1</v>
          </cell>
          <cell r="AN268" t="str">
            <v>FD</v>
          </cell>
          <cell r="AP268" t="str">
            <v>Maj</v>
          </cell>
          <cell r="CH268" t="e">
            <v>#N/A</v>
          </cell>
          <cell r="CI268" t="e">
            <v>#N/A</v>
          </cell>
          <cell r="CJ268" t="e">
            <v>#N/A</v>
          </cell>
        </row>
        <row r="269">
          <cell r="B269" t="str">
            <v>Ligne_79_PPD</v>
          </cell>
          <cell r="C269">
            <v>79</v>
          </cell>
          <cell r="E269" t="str">
            <v>Dossier design constitué des éléments suivants :
- Moyens mis en oeuvre,
- Design Book
- Projet de plan de management du design envisagé</v>
          </cell>
          <cell r="G269" t="str">
            <v>LIVRABLE</v>
          </cell>
          <cell r="R269" t="str">
            <v>NA</v>
          </cell>
          <cell r="S269" t="str">
            <v>BT</v>
          </cell>
          <cell r="T269" t="str">
            <v>NA</v>
          </cell>
          <cell r="U269" t="str">
            <v>NA</v>
          </cell>
          <cell r="AA269" t="str">
            <v>E</v>
          </cell>
          <cell r="AB269" t="str">
            <v>Design</v>
          </cell>
          <cell r="AC269" t="str">
            <v>MOP</v>
          </cell>
          <cell r="AD269" t="str">
            <v>MOP-ESD-17-6015</v>
          </cell>
          <cell r="AE269" t="str">
            <v>Spécification de management du design</v>
          </cell>
          <cell r="AF269" t="str">
            <v>3.1</v>
          </cell>
          <cell r="AI269" t="str">
            <v>LIVRABLE</v>
          </cell>
          <cell r="AJ269" t="str">
            <v>FP</v>
          </cell>
          <cell r="AL269" t="str">
            <v>Maj</v>
          </cell>
          <cell r="AM269" t="str">
            <v>Maj</v>
          </cell>
          <cell r="AO269" t="str">
            <v>Maj</v>
          </cell>
          <cell r="AU269" t="str">
            <v>FD</v>
          </cell>
          <cell r="CH269" t="e">
            <v>#N/A</v>
          </cell>
          <cell r="CI269" t="e">
            <v>#N/A</v>
          </cell>
          <cell r="CJ269" t="e">
            <v>#N/A</v>
          </cell>
        </row>
        <row r="270">
          <cell r="A270">
            <v>100435130</v>
          </cell>
          <cell r="B270" t="str">
            <v>Ligne_79.1_PPD</v>
          </cell>
          <cell r="C270" t="str">
            <v>79.1</v>
          </cell>
          <cell r="E270" t="str">
            <v>Dossier design constitué des éléments suivants :
- Moyens mis en oeuvre,
- Design Book
- Projet de plan de management du design envisagé</v>
          </cell>
          <cell r="F270" t="str">
            <v>B</v>
          </cell>
          <cell r="G270" t="str">
            <v>MOYENS MIS EN ŒUVRE POUR LE DESIGN</v>
          </cell>
          <cell r="M270" t="str">
            <v>M-00-10-DESIGN</v>
          </cell>
          <cell r="N270" t="str">
            <v>DS</v>
          </cell>
          <cell r="O270" t="str">
            <v>SP_SPECIF</v>
          </cell>
          <cell r="Q270">
            <v>0</v>
          </cell>
          <cell r="R270" t="str">
            <v>BT</v>
          </cell>
          <cell r="S270" t="str">
            <v>BT</v>
          </cell>
          <cell r="U270" t="str">
            <v>PISCART Quentin</v>
          </cell>
          <cell r="V270" t="str">
            <v>BOMBARDIER</v>
          </cell>
          <cell r="W270" t="str">
            <v>N</v>
          </cell>
          <cell r="X270" t="str">
            <v>Document contractuel FD</v>
          </cell>
          <cell r="AA270" t="str">
            <v>E</v>
          </cell>
          <cell r="AB270" t="str">
            <v>Design</v>
          </cell>
          <cell r="AC270" t="str">
            <v>MOP</v>
          </cell>
          <cell r="AD270" t="str">
            <v>MOP-ESD-17-6015</v>
          </cell>
          <cell r="AE270" t="str">
            <v>Spécification de management du design</v>
          </cell>
          <cell r="AF270" t="str">
            <v>3.1</v>
          </cell>
          <cell r="AI270">
            <v>1</v>
          </cell>
          <cell r="AJ270" t="str">
            <v>FP</v>
          </cell>
          <cell r="AL270" t="str">
            <v>FD</v>
          </cell>
          <cell r="BJ270">
            <v>43994</v>
          </cell>
          <cell r="CH270" t="str">
            <v>MF19_BORD_BT_00005</v>
          </cell>
          <cell r="CI270" t="str">
            <v>A</v>
          </cell>
          <cell r="CJ270" t="str">
            <v>FD</v>
          </cell>
        </row>
        <row r="271">
          <cell r="A271">
            <v>100435131</v>
          </cell>
          <cell r="B271" t="str">
            <v>Ligne_79.2_PPD</v>
          </cell>
          <cell r="C271" t="str">
            <v>79.2</v>
          </cell>
          <cell r="E271" t="str">
            <v>Dossier design constitué des éléments suivants :
- Moyens mis en oeuvre,
- Design Book
- Projet de plan de management du design envisagé</v>
          </cell>
          <cell r="F271" t="str">
            <v>B</v>
          </cell>
          <cell r="G271" t="str">
            <v>DOSSIER D ESQUISSES DESIGN</v>
          </cell>
          <cell r="M271" t="str">
            <v>SYS-16_DESIGN_ESTHETIQUE</v>
          </cell>
          <cell r="N271" t="str">
            <v>DS</v>
          </cell>
          <cell r="O271" t="str">
            <v>SP_SPECIF</v>
          </cell>
          <cell r="Q271">
            <v>0</v>
          </cell>
          <cell r="R271" t="str">
            <v>BT</v>
          </cell>
          <cell r="S271" t="str">
            <v>BT</v>
          </cell>
          <cell r="U271" t="str">
            <v>Mélanie Phan</v>
          </cell>
          <cell r="V271" t="str">
            <v>BOMBARDIER</v>
          </cell>
          <cell r="W271" t="str">
            <v>N</v>
          </cell>
          <cell r="X271" t="str">
            <v>Document contractuel FP</v>
          </cell>
          <cell r="Z271" t="str">
            <v>RTS JS2 à programmer</v>
          </cell>
          <cell r="AA271" t="str">
            <v>E</v>
          </cell>
          <cell r="AB271" t="str">
            <v>Design</v>
          </cell>
          <cell r="AC271" t="str">
            <v>MOP</v>
          </cell>
          <cell r="AD271" t="str">
            <v>MOP-ESD-17-6015</v>
          </cell>
          <cell r="AE271" t="str">
            <v>Spécification de management du design</v>
          </cell>
          <cell r="AF271" t="str">
            <v>3.1</v>
          </cell>
          <cell r="AI271">
            <v>1</v>
          </cell>
          <cell r="AJ271" t="str">
            <v>FP</v>
          </cell>
          <cell r="AL271" t="str">
            <v>FP</v>
          </cell>
          <cell r="AO271" t="str">
            <v>FD</v>
          </cell>
          <cell r="BJ271">
            <v>44022</v>
          </cell>
          <cell r="CG271" t="str">
            <v>05/10/2020 : changement du domaine RATP pour import dans la base arbo, avant : M-11_DESIGN_ESTHETIQUE</v>
          </cell>
          <cell r="CH271" t="str">
            <v>MF19_BORD_BT_00025</v>
          </cell>
          <cell r="CI271" t="str">
            <v>AR</v>
          </cell>
          <cell r="CJ271" t="str">
            <v>FP</v>
          </cell>
        </row>
        <row r="272">
          <cell r="A272">
            <v>100435132</v>
          </cell>
          <cell r="B272" t="str">
            <v>Ligne_79.3_PPD</v>
          </cell>
          <cell r="C272" t="str">
            <v>79.3</v>
          </cell>
          <cell r="E272" t="str">
            <v>Dossier design constitué des éléments suivants :
- Moyens mis en oeuvre,
- Design Book
- Projet de plan de management du design envisagé</v>
          </cell>
          <cell r="F272" t="str">
            <v>C</v>
          </cell>
          <cell r="G272" t="str">
            <v>PLAN DE MANAGEMENT DU DESIGN</v>
          </cell>
          <cell r="M272" t="str">
            <v>M-00-10-DESIGN</v>
          </cell>
          <cell r="N272" t="str">
            <v>DS</v>
          </cell>
          <cell r="O272" t="str">
            <v>PMN_PLAN MANAGMT</v>
          </cell>
          <cell r="Q272">
            <v>0</v>
          </cell>
          <cell r="R272" t="str">
            <v>BT</v>
          </cell>
          <cell r="S272" t="str">
            <v>BT</v>
          </cell>
          <cell r="U272" t="str">
            <v>PISCART Quentin</v>
          </cell>
          <cell r="V272" t="str">
            <v>BOMBARDIER</v>
          </cell>
          <cell r="W272" t="str">
            <v>N</v>
          </cell>
          <cell r="X272" t="str">
            <v>Document contractuel FP</v>
          </cell>
          <cell r="Z272" t="str">
            <v>RTS JS2 à programmer</v>
          </cell>
          <cell r="AA272" t="str">
            <v>E</v>
          </cell>
          <cell r="AB272" t="str">
            <v>Design</v>
          </cell>
          <cell r="AC272" t="str">
            <v>MOP</v>
          </cell>
          <cell r="AD272" t="str">
            <v>MOP-ESD-17-6015</v>
          </cell>
          <cell r="AE272" t="str">
            <v>Spécification de management du design</v>
          </cell>
          <cell r="AF272" t="str">
            <v>3.1</v>
          </cell>
          <cell r="AI272">
            <v>1</v>
          </cell>
          <cell r="AJ272" t="str">
            <v>FP</v>
          </cell>
          <cell r="AL272" t="str">
            <v>FP</v>
          </cell>
          <cell r="AO272" t="str">
            <v>FD</v>
          </cell>
          <cell r="BJ272">
            <v>43994</v>
          </cell>
          <cell r="CH272" t="str">
            <v>MF19_BORD_BT_00006</v>
          </cell>
          <cell r="CI272" t="str">
            <v>A</v>
          </cell>
          <cell r="CJ272" t="str">
            <v>FP</v>
          </cell>
        </row>
        <row r="273">
          <cell r="B273" t="str">
            <v>Ligne_79.4_PPD</v>
          </cell>
          <cell r="C273" t="str">
            <v>79.4</v>
          </cell>
          <cell r="E273" t="str">
            <v>Dossier design constitué des éléments suivants :
- Moyens mis en oeuvre,
- Design Book
- Projet de plan de management du design envisagé</v>
          </cell>
          <cell r="G273" t="str">
            <v>NOTE DE SYNTHESE DES REMARQUES LIEES AU DESIGN ET RAPPORT DE VALISATION</v>
          </cell>
          <cell r="M273" t="str">
            <v>M-00-10-DESIGN</v>
          </cell>
          <cell r="R273" t="str">
            <v>BT</v>
          </cell>
          <cell r="S273" t="str">
            <v>BT</v>
          </cell>
          <cell r="U273" t="str">
            <v>PISCART Quentin</v>
          </cell>
          <cell r="V273" t="str">
            <v>BOMBARDIER</v>
          </cell>
          <cell r="AA273" t="str">
            <v>E</v>
          </cell>
          <cell r="AB273" t="str">
            <v>Design</v>
          </cell>
          <cell r="AC273" t="str">
            <v>MOP</v>
          </cell>
          <cell r="AD273" t="str">
            <v>MOP-ESD-17-6015</v>
          </cell>
          <cell r="AE273" t="str">
            <v>Spécification de management du design</v>
          </cell>
          <cell r="AF273" t="str">
            <v>3.1</v>
          </cell>
          <cell r="AI273">
            <v>1</v>
          </cell>
          <cell r="AU273" t="str">
            <v>FD</v>
          </cell>
          <cell r="CH273" t="e">
            <v>#N/A</v>
          </cell>
          <cell r="CI273" t="e">
            <v>#N/A</v>
          </cell>
          <cell r="CJ273" t="e">
            <v>#N/A</v>
          </cell>
        </row>
        <row r="274">
          <cell r="B274" t="str">
            <v>Ligne_80_PPD</v>
          </cell>
          <cell r="C274">
            <v>80</v>
          </cell>
          <cell r="E274" t="str">
            <v>Plan de Management du Design (PMD) constitué des élements suivants :
- Planning
- Méthodologie pour le développement du design et Moyens techniques et humains mis en oeuvre</v>
          </cell>
          <cell r="G274" t="str">
            <v>renvoi vers 79.1 et 79.3</v>
          </cell>
          <cell r="R274" t="str">
            <v>NA</v>
          </cell>
          <cell r="S274" t="str">
            <v>BT</v>
          </cell>
          <cell r="T274" t="str">
            <v>NA</v>
          </cell>
          <cell r="U274" t="str">
            <v>PISCART Quentin</v>
          </cell>
          <cell r="AA274" t="str">
            <v>E</v>
          </cell>
          <cell r="AB274" t="str">
            <v>Design</v>
          </cell>
          <cell r="AC274" t="str">
            <v>MOP</v>
          </cell>
          <cell r="AD274" t="str">
            <v>MOP-ESD-17-6015</v>
          </cell>
          <cell r="AE274" t="str">
            <v>Spécification de management du design</v>
          </cell>
          <cell r="AF274" t="str">
            <v>3.2</v>
          </cell>
          <cell r="AI274" t="str">
            <v>RENVOI</v>
          </cell>
          <cell r="AL274" t="str">
            <v>Maj</v>
          </cell>
          <cell r="AM274" t="str">
            <v>Maj</v>
          </cell>
          <cell r="AN274" t="str">
            <v>Maj</v>
          </cell>
          <cell r="AO274" t="str">
            <v>Maj</v>
          </cell>
          <cell r="AP274" t="str">
            <v>Maj</v>
          </cell>
          <cell r="AU274" t="str">
            <v>FD</v>
          </cell>
          <cell r="CH274" t="e">
            <v>#N/A</v>
          </cell>
          <cell r="CI274" t="e">
            <v>#N/A</v>
          </cell>
          <cell r="CJ274" t="e">
            <v>#N/A</v>
          </cell>
        </row>
        <row r="275">
          <cell r="B275" t="str">
            <v>Ligne_81_PPD</v>
          </cell>
          <cell r="C275">
            <v>81</v>
          </cell>
          <cell r="E275" t="str">
            <v>Etude du design constitué des éléments suivants :
- Document rédigé intégrant les points nécessaire à la compréhension du projet ;
- Vues d’ensemble en perspective sous différents éclairages (jour/nuit/lumière artificielle) et avec et sans voyageurs ;
- Animations 3D des éléments de design significatifs permettant de bien appréhender les volumes et les détails ;
- Tous plans, perspectives, croquis nécessaires à la compréhension du projet aussi bien en ce qui concerne la définition des éléments du projet que celle de leur implantation ;
- Choix des matériaux, aspects de surface et couleurs, présenté sous forme de palette(s) ;</v>
          </cell>
          <cell r="G275" t="str">
            <v>renvoi à l'item 79.3</v>
          </cell>
          <cell r="R275" t="str">
            <v>NA</v>
          </cell>
          <cell r="S275" t="str">
            <v>BT</v>
          </cell>
          <cell r="T275" t="str">
            <v>NA</v>
          </cell>
          <cell r="U275" t="str">
            <v>PISCART Quentin</v>
          </cell>
          <cell r="AA275" t="str">
            <v>E</v>
          </cell>
          <cell r="AB275" t="str">
            <v>Design</v>
          </cell>
          <cell r="AC275" t="str">
            <v>MOP</v>
          </cell>
          <cell r="AD275" t="str">
            <v>MOP-ESD-17-6015</v>
          </cell>
          <cell r="AE275" t="str">
            <v>Spécification de management du design</v>
          </cell>
          <cell r="AF275" t="str">
            <v>3.2; 3.3</v>
          </cell>
          <cell r="AI275" t="str">
            <v>RENVOI</v>
          </cell>
          <cell r="AL275" t="str">
            <v>FP</v>
          </cell>
          <cell r="AN275" t="str">
            <v>Maj</v>
          </cell>
          <cell r="AP275" t="str">
            <v>FD</v>
          </cell>
          <cell r="AU275" t="str">
            <v>Maj</v>
          </cell>
          <cell r="AY275" t="str">
            <v>Maj</v>
          </cell>
          <cell r="CH275" t="e">
            <v>#N/A</v>
          </cell>
          <cell r="CI275" t="e">
            <v>#N/A</v>
          </cell>
          <cell r="CJ275" t="e">
            <v>#N/A</v>
          </cell>
        </row>
        <row r="276">
          <cell r="B276" t="str">
            <v>Ligne_82_PPD</v>
          </cell>
          <cell r="C276">
            <v>82</v>
          </cell>
          <cell r="E276" t="str">
            <v>Dossier de conformité du train MF19 aux exigences légales et réglementaires en vigueur concernant la mise sur le marché et l’emploi de substances dangereuses.</v>
          </cell>
          <cell r="G276" t="str">
            <v>RENVOI à l'Item 108</v>
          </cell>
          <cell r="R276" t="str">
            <v>NA</v>
          </cell>
          <cell r="S276" t="str">
            <v>BT</v>
          </cell>
          <cell r="T276" t="str">
            <v>NA</v>
          </cell>
          <cell r="Z276" t="str">
            <v>RTS 193 JS2 EMC 07/09/2020</v>
          </cell>
          <cell r="AA276" t="str">
            <v>E</v>
          </cell>
          <cell r="AB276" t="str">
            <v>Projet</v>
          </cell>
          <cell r="AC276" t="str">
            <v>SID</v>
          </cell>
          <cell r="AD276" t="str">
            <v>SM ET.4-10639</v>
          </cell>
          <cell r="AE276" t="str">
            <v>Spécification de management MF19</v>
          </cell>
          <cell r="AF276">
            <v>12</v>
          </cell>
          <cell r="AI276" t="str">
            <v>RENVOI</v>
          </cell>
          <cell r="AN276" t="str">
            <v>FP</v>
          </cell>
          <cell r="AV276" t="str">
            <v>FD</v>
          </cell>
          <cell r="CH276" t="e">
            <v>#N/A</v>
          </cell>
          <cell r="CI276" t="e">
            <v>#N/A</v>
          </cell>
          <cell r="CJ276" t="e">
            <v>#N/A</v>
          </cell>
        </row>
        <row r="277">
          <cell r="B277" t="str">
            <v>Ligne_84_PPD</v>
          </cell>
          <cell r="C277">
            <v>84</v>
          </cell>
          <cell r="E277" t="str">
            <v>Dossier gabarit</v>
          </cell>
          <cell r="G277" t="str">
            <v>LIVRABLE</v>
          </cell>
          <cell r="R277" t="str">
            <v>NA</v>
          </cell>
          <cell r="S277" t="str">
            <v>BT</v>
          </cell>
          <cell r="T277" t="str">
            <v>NA</v>
          </cell>
          <cell r="Z277" t="str">
            <v>RTS 159 JS2 ETS 02/07/2020</v>
          </cell>
          <cell r="AA277" t="str">
            <v>E</v>
          </cell>
          <cell r="AB277" t="str">
            <v>Transversal</v>
          </cell>
          <cell r="AC277" t="str">
            <v>ETS</v>
          </cell>
          <cell r="AD277" t="str">
            <v>ST EM.4-20027</v>
          </cell>
          <cell r="AE277" t="str">
            <v>Gabarits du matériel roulant Métro - Interfaces Caisse - Roulement et Caisse - Caisse</v>
          </cell>
          <cell r="AF277">
            <v>4</v>
          </cell>
          <cell r="AI277" t="str">
            <v>LIVRABLE</v>
          </cell>
          <cell r="AL277" t="str">
            <v>FP</v>
          </cell>
          <cell r="AN277" t="str">
            <v>FD</v>
          </cell>
          <cell r="AP277" t="str">
            <v>Maj</v>
          </cell>
          <cell r="CH277" t="e">
            <v>#N/A</v>
          </cell>
          <cell r="CI277" t="e">
            <v>#N/A</v>
          </cell>
          <cell r="CJ277" t="e">
            <v>#N/A</v>
          </cell>
        </row>
        <row r="278">
          <cell r="A278">
            <v>100444025</v>
          </cell>
          <cell r="B278" t="str">
            <v>Ligne_84.1_PPD</v>
          </cell>
          <cell r="C278" t="str">
            <v>84.1</v>
          </cell>
          <cell r="E278" t="str">
            <v>Dossier gabarit</v>
          </cell>
          <cell r="F278" t="str">
            <v>B</v>
          </cell>
          <cell r="G278" t="str">
            <v>NOTE DE CALCUL GABARIT MF19</v>
          </cell>
          <cell r="M278" t="str">
            <v>SYS-02_GABARIT</v>
          </cell>
          <cell r="N278" t="str">
            <v>DJD</v>
          </cell>
          <cell r="O278" t="str">
            <v>NC_NOTE DE CALCUL</v>
          </cell>
          <cell r="Q278">
            <v>0</v>
          </cell>
          <cell r="R278" t="str">
            <v>BT</v>
          </cell>
          <cell r="S278" t="str">
            <v>BT</v>
          </cell>
          <cell r="T278" t="str">
            <v>NA</v>
          </cell>
          <cell r="U278" t="str">
            <v>Andres Malo Estepa</v>
          </cell>
          <cell r="V278" t="str">
            <v>BOMBARDIER</v>
          </cell>
          <cell r="W278" t="str">
            <v>N</v>
          </cell>
          <cell r="X278" t="str">
            <v>Document contractuel FP</v>
          </cell>
          <cell r="Z278" t="str">
            <v>RTS 159 JS2 ETS 02/07/2020</v>
          </cell>
          <cell r="AA278" t="str">
            <v>E</v>
          </cell>
          <cell r="AB278" t="str">
            <v>Transversal</v>
          </cell>
          <cell r="AC278" t="str">
            <v>ETS</v>
          </cell>
          <cell r="AD278" t="str">
            <v>ST EM.4-20027</v>
          </cell>
          <cell r="AE278" t="str">
            <v>Gabarits du matériel roulant Métro - Interfaces Caisse - Roulement et Caisse - Caisse</v>
          </cell>
          <cell r="AF278">
            <v>4</v>
          </cell>
          <cell r="AI278">
            <v>1</v>
          </cell>
          <cell r="AL278" t="str">
            <v>FP</v>
          </cell>
          <cell r="AN278" t="str">
            <v>FD</v>
          </cell>
          <cell r="AP278" t="str">
            <v>Maj</v>
          </cell>
          <cell r="BJ278">
            <v>44008</v>
          </cell>
          <cell r="CH278" t="str">
            <v>MF19_BORD_BT_00029</v>
          </cell>
          <cell r="CI278" t="str">
            <v>-</v>
          </cell>
          <cell r="CJ278" t="str">
            <v>FP</v>
          </cell>
        </row>
        <row r="279">
          <cell r="A279">
            <v>100444026</v>
          </cell>
          <cell r="B279" t="str">
            <v>Ligne_84.2_PPD</v>
          </cell>
          <cell r="C279" t="str">
            <v>84.2</v>
          </cell>
          <cell r="E279" t="str">
            <v>Dossier gabarit</v>
          </cell>
          <cell r="F279" t="str">
            <v>B</v>
          </cell>
          <cell r="G279" t="str">
            <v>NC INTERFACE AC ELEMENTS FUSIBLES D INFRASTRUCTURE</v>
          </cell>
          <cell r="M279" t="str">
            <v>SYS-02_GABARIT</v>
          </cell>
          <cell r="N279" t="str">
            <v>DJD</v>
          </cell>
          <cell r="O279" t="str">
            <v>NC_NOTE DE CALCUL</v>
          </cell>
          <cell r="Q279">
            <v>0</v>
          </cell>
          <cell r="R279" t="str">
            <v>BT</v>
          </cell>
          <cell r="S279" t="str">
            <v>BT</v>
          </cell>
          <cell r="T279" t="str">
            <v>AT</v>
          </cell>
          <cell r="U279" t="str">
            <v>Andres Malo Estepa</v>
          </cell>
          <cell r="V279" t="str">
            <v>BOMBARDIER</v>
          </cell>
          <cell r="W279" t="str">
            <v>N</v>
          </cell>
          <cell r="X279" t="str">
            <v>Document contractuel FP</v>
          </cell>
          <cell r="Z279" t="str">
            <v>RTS 159 JS2 ETS 02/07/2020</v>
          </cell>
          <cell r="AA279" t="str">
            <v>E</v>
          </cell>
          <cell r="AB279" t="str">
            <v>Transversal</v>
          </cell>
          <cell r="AC279" t="str">
            <v>ETS</v>
          </cell>
          <cell r="AD279" t="str">
            <v>ST EM.4-20027</v>
          </cell>
          <cell r="AE279" t="str">
            <v>Gabarits du matériel roulant Métro - Interfaces Caisse - Roulement et Caisse - Caisse</v>
          </cell>
          <cell r="AF279">
            <v>4</v>
          </cell>
          <cell r="AI279">
            <v>1</v>
          </cell>
          <cell r="AL279" t="str">
            <v>FP</v>
          </cell>
          <cell r="AN279" t="str">
            <v>FD</v>
          </cell>
          <cell r="AP279" t="str">
            <v>Maj</v>
          </cell>
          <cell r="BJ279">
            <v>44008</v>
          </cell>
          <cell r="CH279" t="str">
            <v>MF19_BORD_BT_00032</v>
          </cell>
          <cell r="CI279" t="str">
            <v>-</v>
          </cell>
          <cell r="CJ279" t="str">
            <v>FP</v>
          </cell>
        </row>
        <row r="280">
          <cell r="A280">
            <v>100444027</v>
          </cell>
          <cell r="B280" t="str">
            <v>Ligne_84.3_PPD</v>
          </cell>
          <cell r="C280" t="str">
            <v>84.3</v>
          </cell>
          <cell r="E280" t="str">
            <v>Dossier gabarit</v>
          </cell>
          <cell r="F280" t="str">
            <v>A</v>
          </cell>
          <cell r="G280" t="str">
            <v>NOTE DE CALCUL D INTERFACE AVEC LES FACADES DE QUAI</v>
          </cell>
          <cell r="M280" t="str">
            <v>SYS-02_GABARIT</v>
          </cell>
          <cell r="N280" t="str">
            <v>DJD</v>
          </cell>
          <cell r="O280" t="str">
            <v>NC_NOTE DE CALCUL</v>
          </cell>
          <cell r="Q280">
            <v>0</v>
          </cell>
          <cell r="R280" t="str">
            <v>BT</v>
          </cell>
          <cell r="S280" t="str">
            <v>BT</v>
          </cell>
          <cell r="T280" t="str">
            <v>NA</v>
          </cell>
          <cell r="U280" t="str">
            <v>Andres Malo Estepa</v>
          </cell>
          <cell r="V280" t="str">
            <v>BOMBARDIER</v>
          </cell>
          <cell r="W280" t="str">
            <v>N</v>
          </cell>
          <cell r="X280" t="str">
            <v>Document contractuel FP</v>
          </cell>
          <cell r="Z280" t="str">
            <v>RTS 159 JS2 ETS 02/07/2020</v>
          </cell>
          <cell r="AA280" t="str">
            <v>E</v>
          </cell>
          <cell r="AB280" t="str">
            <v>Transversal</v>
          </cell>
          <cell r="AC280" t="str">
            <v>ETS</v>
          </cell>
          <cell r="AD280" t="str">
            <v>ST EM.4-20027</v>
          </cell>
          <cell r="AE280" t="str">
            <v>Gabarits du matériel roulant Métro - Interfaces Caisse - Roulement et Caisse - Caisse</v>
          </cell>
          <cell r="AF280">
            <v>4</v>
          </cell>
          <cell r="AI280">
            <v>1</v>
          </cell>
          <cell r="AL280" t="str">
            <v>FP</v>
          </cell>
          <cell r="AN280" t="str">
            <v>FD</v>
          </cell>
          <cell r="AP280" t="str">
            <v>Maj</v>
          </cell>
          <cell r="BJ280">
            <v>44008</v>
          </cell>
          <cell r="CH280" t="str">
            <v>MF19_BORD_BT_00021</v>
          </cell>
          <cell r="CI280" t="str">
            <v>AR</v>
          </cell>
          <cell r="CJ280" t="str">
            <v>FP</v>
          </cell>
        </row>
        <row r="281">
          <cell r="B281" t="str">
            <v>Ligne_84.4_PPD</v>
          </cell>
          <cell r="C281" t="str">
            <v>84.4</v>
          </cell>
          <cell r="E281" t="str">
            <v>Dossier gabarit</v>
          </cell>
          <cell r="G281" t="str">
            <v>NOTE DE CALCUL GABARIT EN ATELIER</v>
          </cell>
          <cell r="R281" t="str">
            <v>BT</v>
          </cell>
          <cell r="S281" t="str">
            <v>BT</v>
          </cell>
          <cell r="T281" t="str">
            <v>NA</v>
          </cell>
          <cell r="U281" t="str">
            <v>Andres Malo Estepa</v>
          </cell>
          <cell r="V281" t="str">
            <v>BOMBARDIER</v>
          </cell>
          <cell r="X281" t="str">
            <v>Contractuel Produit</v>
          </cell>
          <cell r="Z281" t="str">
            <v>RTS 159 JS2 ETS 02/07/2020</v>
          </cell>
          <cell r="AA281" t="str">
            <v>E</v>
          </cell>
          <cell r="AB281" t="str">
            <v>Transversal</v>
          </cell>
          <cell r="AC281" t="str">
            <v>ETS</v>
          </cell>
          <cell r="AD281" t="str">
            <v>ST EM.4-20027</v>
          </cell>
          <cell r="AE281" t="str">
            <v>Gabarits du matériel roulant Métro - Interfaces Caisse - Roulement et Caisse - Caisse</v>
          </cell>
          <cell r="AF281">
            <v>4</v>
          </cell>
          <cell r="AI281">
            <v>1</v>
          </cell>
          <cell r="AN281" t="str">
            <v>FP</v>
          </cell>
          <cell r="AP281" t="str">
            <v>FD</v>
          </cell>
          <cell r="CH281" t="e">
            <v>#N/A</v>
          </cell>
          <cell r="CI281" t="e">
            <v>#N/A</v>
          </cell>
          <cell r="CJ281" t="e">
            <v>#N/A</v>
          </cell>
        </row>
        <row r="282">
          <cell r="A282">
            <v>100448287</v>
          </cell>
          <cell r="B282" t="str">
            <v>Ligne_85_PPD</v>
          </cell>
          <cell r="C282">
            <v>85</v>
          </cell>
          <cell r="E282" t="str">
            <v>Dossier Interfaces ‘‘Caisse-Roulement’’</v>
          </cell>
          <cell r="F282" t="str">
            <v>B</v>
          </cell>
          <cell r="G282" t="str">
            <v>NOTE DE CALCUL DES DEBATTEMENTS CAISSE BOGIE</v>
          </cell>
          <cell r="M282" t="str">
            <v>SYS-03_DEBATTEMENTS</v>
          </cell>
          <cell r="N282" t="str">
            <v>DJD</v>
          </cell>
          <cell r="O282" t="str">
            <v>NC_NOTE DE CALCUL</v>
          </cell>
          <cell r="Q282">
            <v>0</v>
          </cell>
          <cell r="R282" t="str">
            <v>BT</v>
          </cell>
          <cell r="S282" t="str">
            <v>BT</v>
          </cell>
          <cell r="T282" t="str">
            <v>NA</v>
          </cell>
          <cell r="U282" t="str">
            <v>Andres Malo Estepa</v>
          </cell>
          <cell r="V282" t="str">
            <v>BOMBARDIER</v>
          </cell>
          <cell r="W282" t="str">
            <v>N</v>
          </cell>
          <cell r="X282" t="str">
            <v>Document contractuel FP</v>
          </cell>
          <cell r="Z282" t="str">
            <v>RTS 159 JS2 ETS 02/07/2020</v>
          </cell>
          <cell r="AA282" t="str">
            <v>E</v>
          </cell>
          <cell r="AB282" t="str">
            <v>Transversal</v>
          </cell>
          <cell r="AC282" t="str">
            <v>ETS</v>
          </cell>
          <cell r="AD282" t="str">
            <v>ST EM.4-20027</v>
          </cell>
          <cell r="AE282" t="str">
            <v>Gabarits du matériel roulant Métro - Interfaces Caisse - Roulement et Caisse - Caisse</v>
          </cell>
          <cell r="AF282">
            <v>5</v>
          </cell>
          <cell r="AI282">
            <v>1</v>
          </cell>
          <cell r="AL282" t="str">
            <v>FP</v>
          </cell>
          <cell r="AN282" t="str">
            <v>FD</v>
          </cell>
          <cell r="AP282" t="str">
            <v>Maj</v>
          </cell>
          <cell r="BJ282">
            <v>44022</v>
          </cell>
          <cell r="CH282" t="str">
            <v>MF19_BORD_BT_00027</v>
          </cell>
          <cell r="CI282" t="str">
            <v>-</v>
          </cell>
          <cell r="CJ282" t="str">
            <v>FP</v>
          </cell>
        </row>
        <row r="283">
          <cell r="A283">
            <v>100444028</v>
          </cell>
          <cell r="B283" t="str">
            <v>Ligne_86_PPD</v>
          </cell>
          <cell r="C283">
            <v>86</v>
          </cell>
          <cell r="E283" t="str">
            <v>Dossier Interfaces ‘’Caisse-Caisse’’</v>
          </cell>
          <cell r="F283" t="str">
            <v>A</v>
          </cell>
          <cell r="G283" t="str">
            <v>NOTE DE CALCUL DEBATTEMENTS CAISSE CAISSE MF19</v>
          </cell>
          <cell r="M283" t="str">
            <v>SYS-03_DEBATTEMENTS</v>
          </cell>
          <cell r="N283" t="str">
            <v>DJD</v>
          </cell>
          <cell r="O283" t="str">
            <v>NC_NOTE DE CALCUL</v>
          </cell>
          <cell r="Q283">
            <v>0</v>
          </cell>
          <cell r="R283" t="str">
            <v>BT</v>
          </cell>
          <cell r="S283" t="str">
            <v>BT</v>
          </cell>
          <cell r="T283" t="str">
            <v>NA</v>
          </cell>
          <cell r="U283" t="str">
            <v>Andres Malo Estepa</v>
          </cell>
          <cell r="V283" t="str">
            <v>BOMBARDIER</v>
          </cell>
          <cell r="W283" t="str">
            <v>N</v>
          </cell>
          <cell r="X283" t="str">
            <v>Document contractuel FP</v>
          </cell>
          <cell r="Z283" t="str">
            <v>RTS 159 JS2 ETS 02/07/2020</v>
          </cell>
          <cell r="AA283" t="str">
            <v>E</v>
          </cell>
          <cell r="AB283" t="str">
            <v>Transversal</v>
          </cell>
          <cell r="AC283" t="str">
            <v>ETS</v>
          </cell>
          <cell r="AD283" t="str">
            <v>ST EM.4-20027</v>
          </cell>
          <cell r="AE283" t="str">
            <v>Gabarits du matériel roulant Métro - Interfaces Caisse - Roulement et Caisse - Caisse</v>
          </cell>
          <cell r="AF283">
            <v>6</v>
          </cell>
          <cell r="AI283">
            <v>1</v>
          </cell>
          <cell r="AL283" t="str">
            <v>FP</v>
          </cell>
          <cell r="AN283" t="str">
            <v>FD</v>
          </cell>
          <cell r="AP283" t="str">
            <v>Maj</v>
          </cell>
          <cell r="BJ283">
            <v>44008</v>
          </cell>
          <cell r="CH283" t="str">
            <v>MF19_BORD_BT_00022</v>
          </cell>
          <cell r="CI283" t="str">
            <v>AR</v>
          </cell>
          <cell r="CJ283" t="str">
            <v>FP</v>
          </cell>
        </row>
        <row r="284">
          <cell r="B284" t="str">
            <v>Ligne_87_PPD</v>
          </cell>
          <cell r="C284">
            <v>87</v>
          </cell>
          <cell r="E284" t="str">
            <v>Document relatif aux dispositions constructives mises en œuvre par le Titulaire pour garantir l’absence de corrosion dans les zones où le potentiel de présence d’eau est élevé (pourtours de baie, montants de porte, seuil de porte, plancher, …)</v>
          </cell>
          <cell r="G284" t="str">
            <v>Item à renvoyer à l'item 40.1 CONCEPT STRUCTURE DE CAISSE VOITURES MF19 (DOUBLON)</v>
          </cell>
          <cell r="R284" t="str">
            <v>NA</v>
          </cell>
          <cell r="S284" t="str">
            <v>BT</v>
          </cell>
          <cell r="T284" t="str">
            <v>NA</v>
          </cell>
          <cell r="Z284" t="str">
            <v>RTS 193 JS2 EMC 07/09/2020</v>
          </cell>
          <cell r="AA284" t="str">
            <v>E</v>
          </cell>
          <cell r="AB284" t="str">
            <v>Mécanique</v>
          </cell>
          <cell r="AC284" t="str">
            <v>EMC</v>
          </cell>
          <cell r="AD284" t="str">
            <v>ST EM.4-40093</v>
          </cell>
          <cell r="AE284" t="str">
            <v xml:space="preserve">Caisse Confort </v>
          </cell>
          <cell r="AF284" t="str">
            <v>3.6.2</v>
          </cell>
          <cell r="AI284" t="str">
            <v>RENVOI</v>
          </cell>
          <cell r="AN284" t="str">
            <v>FD</v>
          </cell>
          <cell r="AP284" t="str">
            <v>Maj</v>
          </cell>
          <cell r="CH284" t="e">
            <v>#N/A</v>
          </cell>
          <cell r="CI284" t="e">
            <v>#N/A</v>
          </cell>
          <cell r="CJ284" t="e">
            <v>#N/A</v>
          </cell>
        </row>
        <row r="285">
          <cell r="B285" t="str">
            <v>Ligne_88_PPD</v>
          </cell>
          <cell r="C285">
            <v>88</v>
          </cell>
          <cell r="E285" t="str">
            <v>Note de calcul de justification du respect des scénarios de collision et de comportement au choc, et du dimensionnement des organes de chocs et traction recensant l’ensemble des configurations à étudier, en particulier :
- choc entre 2 trains en alignement et pseudo courbe
- rapatriement
- exploitation en mode dégradé (voitures isolées en traction / freinage)</v>
          </cell>
          <cell r="G285" t="str">
            <v>LIVRABLE</v>
          </cell>
          <cell r="R285" t="str">
            <v>NA</v>
          </cell>
          <cell r="S285" t="str">
            <v>BT</v>
          </cell>
          <cell r="T285" t="str">
            <v>NA</v>
          </cell>
          <cell r="U285" t="str">
            <v>Virgile Glacis</v>
          </cell>
          <cell r="Z285" t="str">
            <v>RTS 193 JS2 EMC 07/09/2020</v>
          </cell>
          <cell r="AA285" t="str">
            <v>E</v>
          </cell>
          <cell r="AB285" t="str">
            <v>Mécanique</v>
          </cell>
          <cell r="AC285" t="str">
            <v>EMC</v>
          </cell>
          <cell r="AD285" t="str">
            <v>ST EM.4-40093</v>
          </cell>
          <cell r="AE285" t="str">
            <v xml:space="preserve">Caisse Confort </v>
          </cell>
          <cell r="AF285">
            <v>5</v>
          </cell>
          <cell r="AI285" t="str">
            <v>LIVRABLE</v>
          </cell>
          <cell r="AN285" t="str">
            <v>FD</v>
          </cell>
          <cell r="AP285" t="str">
            <v>Maj</v>
          </cell>
          <cell r="CH285" t="e">
            <v>#N/A</v>
          </cell>
          <cell r="CI285" t="e">
            <v>#N/A</v>
          </cell>
          <cell r="CJ285" t="e">
            <v>#N/A</v>
          </cell>
        </row>
        <row r="286">
          <cell r="B286" t="str">
            <v>Ligne_88.1_PPD</v>
          </cell>
          <cell r="C286" t="str">
            <v>88.1</v>
          </cell>
          <cell r="E286" t="str">
            <v>Note de calcul de justification du respect des scénarios de collision et de comportement au choc, et du dimensionnement des organes de chocs et traction recensant l’ensemble des configurations à étudier, en particulier :
- choc entre 2 trains en alignement et pseudo courbe
- rapatriement
- exploitation en mode dégradé (voitures isolées en traction / freinage)</v>
          </cell>
          <cell r="G286" t="str">
            <v>Calcul prédictif MF19 contre mur rigide à 7 km/h</v>
          </cell>
          <cell r="R286" t="str">
            <v>BT</v>
          </cell>
          <cell r="S286" t="str">
            <v>BT</v>
          </cell>
          <cell r="U286" t="str">
            <v>Virgile Glacis</v>
          </cell>
          <cell r="V286" t="str">
            <v>BOMBARDIER</v>
          </cell>
          <cell r="Z286" t="str">
            <v>RTS 193 JS2 EMC 07/09/2020</v>
          </cell>
          <cell r="AA286" t="str">
            <v>E</v>
          </cell>
          <cell r="AB286" t="str">
            <v>Mécanique</v>
          </cell>
          <cell r="AC286" t="str">
            <v>EMC</v>
          </cell>
          <cell r="AD286" t="str">
            <v>ST EM.4-40093</v>
          </cell>
          <cell r="AE286" t="str">
            <v xml:space="preserve">Caisse Confort </v>
          </cell>
          <cell r="AF286">
            <v>5</v>
          </cell>
          <cell r="AI286">
            <v>1</v>
          </cell>
          <cell r="AN286" t="str">
            <v>FP</v>
          </cell>
          <cell r="AU286" t="str">
            <v>FD</v>
          </cell>
          <cell r="CH286" t="e">
            <v>#N/A</v>
          </cell>
          <cell r="CI286" t="e">
            <v>#N/A</v>
          </cell>
          <cell r="CJ286" t="e">
            <v>#N/A</v>
          </cell>
        </row>
        <row r="287">
          <cell r="B287" t="str">
            <v>Ligne_88.2_PPD</v>
          </cell>
          <cell r="C287" t="str">
            <v>88.2</v>
          </cell>
          <cell r="E287" t="str">
            <v>Note de calcul de justification du respect des scénarios de collision et de comportement au choc, et du dimensionnement des organes de chocs et traction recensant l’ensemble des configurations à étudier, en particulier :
- choc entre 2 trains en alignement et pseudo courbe
- rapatriement
- exploitation en mode dégradé (voitures isolées en traction / freinage)</v>
          </cell>
          <cell r="G287" t="str">
            <v>Programme de qualification détaillant les différentes notes de calcul et procédures d'essais mise en œuvre pour valider l'organe (Demander le FU par rupture d’attelage)</v>
          </cell>
          <cell r="R287" t="str">
            <v>VPF</v>
          </cell>
          <cell r="S287" t="str">
            <v>AT</v>
          </cell>
          <cell r="T287" t="str">
            <v>BT</v>
          </cell>
          <cell r="U287" t="str">
            <v>J.Malenge</v>
          </cell>
          <cell r="Z287" t="str">
            <v>RTS 193 JS2 EMC 07/09/2020</v>
          </cell>
          <cell r="AA287" t="str">
            <v>E</v>
          </cell>
          <cell r="AB287" t="str">
            <v>Mécanique</v>
          </cell>
          <cell r="AC287" t="str">
            <v>EMC</v>
          </cell>
          <cell r="AD287" t="str">
            <v>ST EM.4-40093</v>
          </cell>
          <cell r="AE287" t="str">
            <v xml:space="preserve">Caisse Confort </v>
          </cell>
          <cell r="AF287">
            <v>5</v>
          </cell>
          <cell r="AI287">
            <v>1</v>
          </cell>
          <cell r="AN287" t="str">
            <v>FP</v>
          </cell>
          <cell r="AP287" t="str">
            <v>FD</v>
          </cell>
          <cell r="CG287" t="str">
            <v>14/10/2020 : en JS2, il y avait une FD barrée et en JD1 une Maj barrée, retirer pour import dans la base arbo</v>
          </cell>
          <cell r="CH287" t="e">
            <v>#N/A</v>
          </cell>
          <cell r="CI287" t="e">
            <v>#N/A</v>
          </cell>
          <cell r="CJ287" t="e">
            <v>#N/A</v>
          </cell>
        </row>
        <row r="288">
          <cell r="B288" t="str">
            <v>Ligne_88.3_PPD</v>
          </cell>
          <cell r="C288" t="str">
            <v>88.3</v>
          </cell>
          <cell r="E288" t="str">
            <v>Note de calcul de justification du respect des scénarios de collision et de comportement au choc, et du dimensionnement des organes de chocs et traction recensant l’ensemble des configurations à étudier, en particulier :
- choc entre 2 trains en alignement et pseudo courbe
- rapatriement
- exploitation en mode dégradé (voitures isolées en traction / freinage)</v>
          </cell>
          <cell r="G288" t="str">
            <v>Calcul prédictif MF19 contre MF19 à 15 km/h</v>
          </cell>
          <cell r="R288" t="str">
            <v>BT</v>
          </cell>
          <cell r="S288" t="str">
            <v>BT</v>
          </cell>
          <cell r="U288" t="str">
            <v>Virgile Glacis</v>
          </cell>
          <cell r="V288" t="str">
            <v>BOMBARDIER</v>
          </cell>
          <cell r="Z288" t="str">
            <v>RTS 193 JS2 EMC 07/09/2020</v>
          </cell>
          <cell r="AA288" t="str">
            <v>E</v>
          </cell>
          <cell r="AB288" t="str">
            <v>Mécanique</v>
          </cell>
          <cell r="AC288" t="str">
            <v>EMC</v>
          </cell>
          <cell r="AD288" t="str">
            <v>ST EM.4-40093</v>
          </cell>
          <cell r="AE288" t="str">
            <v xml:space="preserve">Caisse Confort </v>
          </cell>
          <cell r="AF288">
            <v>5</v>
          </cell>
          <cell r="AI288">
            <v>1</v>
          </cell>
          <cell r="AN288" t="str">
            <v>FP</v>
          </cell>
          <cell r="AU288" t="str">
            <v>FD</v>
          </cell>
          <cell r="CH288" t="e">
            <v>#N/A</v>
          </cell>
          <cell r="CI288" t="e">
            <v>#N/A</v>
          </cell>
          <cell r="CJ288" t="e">
            <v>#N/A</v>
          </cell>
        </row>
        <row r="289">
          <cell r="B289" t="str">
            <v>Ligne_88.4_PPD</v>
          </cell>
          <cell r="C289" t="str">
            <v>88.4</v>
          </cell>
          <cell r="E289" t="str">
            <v>Note de calcul de justification du respect des scénarios de collision et de comportement au choc, et du dimensionnement des organes de chocs et traction recensant l’ensemble des configurations à étudier, en particulier :
- choc entre 2 trains en alignement et pseudo courbe
- rapatriement
- exploitation en mode dégradé (voitures isolées en traction / freinage)</v>
          </cell>
          <cell r="G289" t="str">
            <v>Calcul prédictif MF19 contre MF19 à 25 km/h</v>
          </cell>
          <cell r="R289" t="str">
            <v>BT</v>
          </cell>
          <cell r="S289" t="str">
            <v>BT</v>
          </cell>
          <cell r="U289" t="str">
            <v>Virgile Glacis</v>
          </cell>
          <cell r="V289" t="str">
            <v>BOMBARDIER</v>
          </cell>
          <cell r="Z289" t="str">
            <v>RTS 193 JS2 EMC 07/09/2020</v>
          </cell>
          <cell r="AA289" t="str">
            <v>E</v>
          </cell>
          <cell r="AB289" t="str">
            <v>Mécanique</v>
          </cell>
          <cell r="AC289" t="str">
            <v>EMC</v>
          </cell>
          <cell r="AD289" t="str">
            <v>ST EM.4-40093</v>
          </cell>
          <cell r="AE289" t="str">
            <v xml:space="preserve">Caisse Confort </v>
          </cell>
          <cell r="AF289">
            <v>5</v>
          </cell>
          <cell r="AI289">
            <v>1</v>
          </cell>
          <cell r="AN289" t="str">
            <v>FP</v>
          </cell>
          <cell r="AU289" t="str">
            <v>FD</v>
          </cell>
          <cell r="CH289" t="e">
            <v>#N/A</v>
          </cell>
          <cell r="CI289" t="e">
            <v>#N/A</v>
          </cell>
          <cell r="CJ289" t="e">
            <v>#N/A</v>
          </cell>
        </row>
        <row r="290">
          <cell r="B290" t="str">
            <v>Ligne_88.5_PPD</v>
          </cell>
          <cell r="C290" t="str">
            <v>88.5</v>
          </cell>
          <cell r="E290" t="str">
            <v>Note de calcul de justification du respect des scénarios de collision et de comportement au choc, et du dimensionnement des organes de chocs et traction recensant l’ensemble des configurations à étudier, en particulier :
- choc entre 2 trains en alignement et pseudo courbe
- rapatriement
- exploitation en mode dégradé (voitures isolées en traction / freinage)</v>
          </cell>
          <cell r="G290" t="str">
            <v>Modèle dynamique de la rame MF19 pour les calculs de collision</v>
          </cell>
          <cell r="R290" t="str">
            <v>BT</v>
          </cell>
          <cell r="S290" t="str">
            <v>BT</v>
          </cell>
          <cell r="T290" t="str">
            <v>NA</v>
          </cell>
          <cell r="U290" t="str">
            <v>Virgile Glacis</v>
          </cell>
          <cell r="Z290" t="str">
            <v>RTS 193 JS2 EMC 07/09/2020</v>
          </cell>
          <cell r="AA290" t="str">
            <v>E</v>
          </cell>
          <cell r="AB290" t="str">
            <v>Mécanique</v>
          </cell>
          <cell r="AC290" t="str">
            <v>EMC</v>
          </cell>
          <cell r="AD290" t="str">
            <v>ST EM.4-40093</v>
          </cell>
          <cell r="AE290" t="str">
            <v xml:space="preserve">Caisse Confort </v>
          </cell>
          <cell r="AF290">
            <v>5</v>
          </cell>
          <cell r="AI290">
            <v>1</v>
          </cell>
          <cell r="AN290" t="str">
            <v>FP</v>
          </cell>
          <cell r="AU290" t="str">
            <v>FD</v>
          </cell>
          <cell r="CH290" t="e">
            <v>#N/A</v>
          </cell>
          <cell r="CI290" t="e">
            <v>#N/A</v>
          </cell>
          <cell r="CJ290" t="e">
            <v>#N/A</v>
          </cell>
        </row>
        <row r="291">
          <cell r="B291" t="str">
            <v>Ligne_89_PPD</v>
          </cell>
          <cell r="C291">
            <v>89</v>
          </cell>
          <cell r="E291" t="str">
            <v>Procédure de rapatriement entre deux rames identiques</v>
          </cell>
          <cell r="G291" t="str">
            <v/>
          </cell>
          <cell r="R291" t="str">
            <v>BT</v>
          </cell>
          <cell r="S291" t="str">
            <v>BT</v>
          </cell>
          <cell r="Z291" t="str">
            <v>RTS 193 JS2 EMC 07/09/2020</v>
          </cell>
          <cell r="AA291" t="str">
            <v>E</v>
          </cell>
          <cell r="AB291" t="str">
            <v>Mécanique</v>
          </cell>
          <cell r="AC291" t="str">
            <v>EMC</v>
          </cell>
          <cell r="AD291" t="str">
            <v>ST EM.4-40093</v>
          </cell>
          <cell r="AE291" t="str">
            <v xml:space="preserve">Caisse Confort </v>
          </cell>
          <cell r="AF291" t="str">
            <v>5.2</v>
          </cell>
          <cell r="AI291">
            <v>1</v>
          </cell>
          <cell r="AP291" t="str">
            <v>FD</v>
          </cell>
          <cell r="CH291" t="e">
            <v>#N/A</v>
          </cell>
          <cell r="CI291" t="e">
            <v>#N/A</v>
          </cell>
          <cell r="CJ291" t="e">
            <v>#N/A</v>
          </cell>
        </row>
        <row r="292">
          <cell r="B292" t="str">
            <v>Ligne_90_PPD</v>
          </cell>
          <cell r="C292">
            <v>90</v>
          </cell>
          <cell r="E292" t="str">
            <v>Procédure de définition et de validation de la pose de la signalétique voyageur comprenant une présentation des véhicules finis</v>
          </cell>
          <cell r="G292" t="str">
            <v/>
          </cell>
          <cell r="R292" t="str">
            <v>BT</v>
          </cell>
          <cell r="S292" t="str">
            <v>BT</v>
          </cell>
          <cell r="Z292" t="str">
            <v>RTS 193 JS2 EMC 07/09/2020</v>
          </cell>
          <cell r="AA292" t="str">
            <v>E</v>
          </cell>
          <cell r="AB292" t="str">
            <v>Mécanique</v>
          </cell>
          <cell r="AC292" t="str">
            <v>EMC</v>
          </cell>
          <cell r="AD292" t="str">
            <v>ST EM.4-40093</v>
          </cell>
          <cell r="AE292" t="str">
            <v xml:space="preserve">Caisse Confort </v>
          </cell>
          <cell r="AF292" t="str">
            <v>10.10</v>
          </cell>
          <cell r="AI292">
            <v>1</v>
          </cell>
          <cell r="AP292" t="str">
            <v>FD</v>
          </cell>
          <cell r="CH292" t="e">
            <v>#N/A</v>
          </cell>
          <cell r="CI292" t="e">
            <v>#N/A</v>
          </cell>
          <cell r="CJ292" t="e">
            <v>#N/A</v>
          </cell>
        </row>
        <row r="293">
          <cell r="A293">
            <v>100435133</v>
          </cell>
          <cell r="B293" t="str">
            <v>Ligne_91_PPD</v>
          </cell>
          <cell r="C293">
            <v>91</v>
          </cell>
          <cell r="E293" t="str">
            <v>Matrice de conformité aux exigences de l'arrêté PMR de juillet 2009 accompagnée d'une note justificative de conformité à ces exigences</v>
          </cell>
          <cell r="F293" t="str">
            <v>A</v>
          </cell>
          <cell r="G293" t="str">
            <v>MATRICE CONFORMITE ARRETE PMR</v>
          </cell>
          <cell r="M293" t="str">
            <v>F-07_CONFORT</v>
          </cell>
          <cell r="N293" t="str">
            <v>DS</v>
          </cell>
          <cell r="O293" t="str">
            <v>SP_SPECIF</v>
          </cell>
          <cell r="Q293">
            <v>0</v>
          </cell>
          <cell r="R293" t="str">
            <v>BT</v>
          </cell>
          <cell r="S293" t="str">
            <v>BT</v>
          </cell>
          <cell r="T293" t="str">
            <v>AT</v>
          </cell>
          <cell r="U293" t="str">
            <v>Jean-François Depreetere</v>
          </cell>
          <cell r="V293" t="str">
            <v>BOMBARDIER</v>
          </cell>
          <cell r="W293" t="str">
            <v>N</v>
          </cell>
          <cell r="X293" t="str">
            <v>Document contractuel FP</v>
          </cell>
          <cell r="Z293" t="str">
            <v>RTS 193 JS2 EMC 07/09/2020</v>
          </cell>
          <cell r="AA293" t="str">
            <v>E</v>
          </cell>
          <cell r="AB293" t="str">
            <v>Mécanique</v>
          </cell>
          <cell r="AC293" t="str">
            <v>EMC</v>
          </cell>
          <cell r="AD293" t="str">
            <v>RPC MF19</v>
          </cell>
          <cell r="AF293" t="str">
            <v>8.2</v>
          </cell>
          <cell r="AI293">
            <v>1</v>
          </cell>
          <cell r="AJ293" t="str">
            <v>FP</v>
          </cell>
          <cell r="AN293" t="str">
            <v>FD</v>
          </cell>
          <cell r="AP293" t="str">
            <v>Maj</v>
          </cell>
          <cell r="CH293" t="str">
            <v>MF19_BORD_BT_00001</v>
          </cell>
          <cell r="CI293" t="str">
            <v>AR</v>
          </cell>
          <cell r="CJ293" t="str">
            <v>FP</v>
          </cell>
        </row>
        <row r="294">
          <cell r="B294" t="str">
            <v>Ligne_92_PPD</v>
          </cell>
          <cell r="C294">
            <v>92</v>
          </cell>
          <cell r="E294" t="str">
            <v>Descriptif des dispositions mises en oeuvre pour permettre l'évolutivité de l'aménagement intérieur et du diagramme.</v>
          </cell>
          <cell r="G294" t="str">
            <v/>
          </cell>
          <cell r="R294" t="str">
            <v>BT</v>
          </cell>
          <cell r="S294" t="str">
            <v>BT</v>
          </cell>
          <cell r="Z294" t="str">
            <v>RTS 193 JS2 EMC 07/09/2020</v>
          </cell>
          <cell r="AA294" t="str">
            <v>E</v>
          </cell>
          <cell r="AB294" t="str">
            <v>Mécanique</v>
          </cell>
          <cell r="AC294" t="str">
            <v>EMC</v>
          </cell>
          <cell r="AD294" t="str">
            <v>SF EM.4-40090</v>
          </cell>
          <cell r="AE294" t="str">
            <v xml:space="preserve">Caisse Confort </v>
          </cell>
          <cell r="AF294" t="str">
            <v>8.4</v>
          </cell>
          <cell r="AI294">
            <v>1</v>
          </cell>
          <cell r="AN294" t="str">
            <v>FP</v>
          </cell>
          <cell r="AP294" t="str">
            <v>FD</v>
          </cell>
          <cell r="CH294" t="e">
            <v>#N/A</v>
          </cell>
          <cell r="CI294" t="e">
            <v>#N/A</v>
          </cell>
          <cell r="CJ294" t="e">
            <v>#N/A</v>
          </cell>
        </row>
        <row r="295">
          <cell r="A295">
            <v>100435134</v>
          </cell>
          <cell r="B295" t="str">
            <v>Ligne_93_PPD</v>
          </cell>
          <cell r="C295">
            <v>93</v>
          </cell>
          <cell r="E295" t="str">
            <v>Descriptif des éléments mis en œuvre pour répondre aux exigences de resistance au vandalisme (sur l'ensemble du matériel intérieur/extérieur)</v>
          </cell>
          <cell r="F295" t="str">
            <v>A</v>
          </cell>
          <cell r="G295" t="str">
            <v>GESTION ANTI-VANDALISME</v>
          </cell>
          <cell r="M295" t="str">
            <v>F-07_CONFORT</v>
          </cell>
          <cell r="N295" t="str">
            <v>DS</v>
          </cell>
          <cell r="O295" t="str">
            <v>SP_SPECIF</v>
          </cell>
          <cell r="Q295">
            <v>0</v>
          </cell>
          <cell r="R295" t="str">
            <v>BT</v>
          </cell>
          <cell r="S295" t="str">
            <v>BT</v>
          </cell>
          <cell r="T295" t="str">
            <v>AT</v>
          </cell>
          <cell r="U295" t="str">
            <v>Jean-François Depreetere</v>
          </cell>
          <cell r="V295" t="str">
            <v>BOMBARDIER</v>
          </cell>
          <cell r="W295" t="str">
            <v>N</v>
          </cell>
          <cell r="X295" t="str">
            <v>Document contractuel FP</v>
          </cell>
          <cell r="Z295" t="str">
            <v>RTS 193 JS2 EMC 07/09/2020</v>
          </cell>
          <cell r="AA295" t="str">
            <v>E</v>
          </cell>
          <cell r="AB295" t="str">
            <v>Projet</v>
          </cell>
          <cell r="AC295" t="str">
            <v>EMC</v>
          </cell>
          <cell r="AD295" t="str">
            <v>RPC MF19</v>
          </cell>
          <cell r="AF295" t="str">
            <v>8.2</v>
          </cell>
          <cell r="AI295">
            <v>1</v>
          </cell>
          <cell r="AJ295" t="str">
            <v>FP</v>
          </cell>
          <cell r="AN295" t="str">
            <v>FD</v>
          </cell>
          <cell r="AP295" t="str">
            <v>Maj</v>
          </cell>
          <cell r="CH295" t="str">
            <v>MF19_BORD_BT_00001</v>
          </cell>
          <cell r="CI295" t="str">
            <v>AR</v>
          </cell>
          <cell r="CJ295" t="str">
            <v>FP</v>
          </cell>
        </row>
        <row r="296">
          <cell r="A296">
            <v>100435135</v>
          </cell>
          <cell r="B296" t="str">
            <v>Ligne_94_PPD</v>
          </cell>
          <cell r="C296">
            <v>94</v>
          </cell>
          <cell r="E296" t="str">
            <v>Descriptif de l'ergonomie, des équipements et accessoires de cabine de conduite</v>
          </cell>
          <cell r="F296" t="str">
            <v>A</v>
          </cell>
          <cell r="G296" t="str">
            <v>ERGONOMIE EQUIPEMENTS ACCESSOIRES CABINE DE CONDUITE</v>
          </cell>
          <cell r="M296" t="str">
            <v>F-03_CONDUITE</v>
          </cell>
          <cell r="N296" t="str">
            <v>DS</v>
          </cell>
          <cell r="O296" t="str">
            <v>SP_SPECIF</v>
          </cell>
          <cell r="Q296">
            <v>0</v>
          </cell>
          <cell r="R296" t="str">
            <v>BT</v>
          </cell>
          <cell r="S296" t="str">
            <v>BT</v>
          </cell>
          <cell r="T296" t="str">
            <v>AT</v>
          </cell>
          <cell r="U296" t="str">
            <v>Adrien Goncalves</v>
          </cell>
          <cell r="V296" t="str">
            <v>BOMBARDIER</v>
          </cell>
          <cell r="W296" t="str">
            <v>N</v>
          </cell>
          <cell r="X296" t="str">
            <v>Document contractuel FP</v>
          </cell>
          <cell r="AA296" t="str">
            <v>E</v>
          </cell>
          <cell r="AB296" t="str">
            <v>Projet</v>
          </cell>
          <cell r="AC296" t="str">
            <v>EMC</v>
          </cell>
          <cell r="AD296" t="str">
            <v>RPC MF19</v>
          </cell>
          <cell r="AF296" t="str">
            <v>8.2</v>
          </cell>
          <cell r="AI296">
            <v>1</v>
          </cell>
          <cell r="AJ296" t="str">
            <v>FP</v>
          </cell>
          <cell r="AP296" t="str">
            <v>FD</v>
          </cell>
          <cell r="CH296" t="str">
            <v>MF19_BORD_BT_00001</v>
          </cell>
          <cell r="CI296" t="str">
            <v>AR</v>
          </cell>
          <cell r="CJ296" t="str">
            <v>FP</v>
          </cell>
        </row>
        <row r="297">
          <cell r="A297">
            <v>100435136</v>
          </cell>
          <cell r="B297" t="str">
            <v>Ligne_95_PPD</v>
          </cell>
          <cell r="C297">
            <v>95</v>
          </cell>
          <cell r="E297" t="str">
            <v>Descriptif des caractéristiques de l'éclairage voyageurs</v>
          </cell>
          <cell r="F297" t="str">
            <v>A</v>
          </cell>
          <cell r="G297" t="str">
            <v>DESCRIPTIF ECLAIRAGE VOYAGEURS</v>
          </cell>
          <cell r="M297" t="str">
            <v>F-07_CONFORT</v>
          </cell>
          <cell r="N297" t="str">
            <v>DS</v>
          </cell>
          <cell r="O297" t="str">
            <v>SP_SPECIF</v>
          </cell>
          <cell r="Q297">
            <v>0</v>
          </cell>
          <cell r="R297" t="str">
            <v>BT</v>
          </cell>
          <cell r="S297" t="str">
            <v>BT</v>
          </cell>
          <cell r="T297" t="str">
            <v>AT</v>
          </cell>
          <cell r="U297" t="str">
            <v>Nada Cherkaoui</v>
          </cell>
          <cell r="V297" t="str">
            <v>BOMBARDIER</v>
          </cell>
          <cell r="W297" t="str">
            <v>N</v>
          </cell>
          <cell r="X297" t="str">
            <v>Document contractuel FP</v>
          </cell>
          <cell r="Z297" t="str">
            <v>RTS 174 JS2 EAI 20/07/2020
RTS 178 JS2 RP11 22/07/2020</v>
          </cell>
          <cell r="AA297" t="str">
            <v>E</v>
          </cell>
          <cell r="AB297" t="str">
            <v>Projet</v>
          </cell>
          <cell r="AC297" t="str">
            <v>EAI</v>
          </cell>
          <cell r="AD297" t="str">
            <v>RPC MF19</v>
          </cell>
          <cell r="AF297" t="str">
            <v>8.2</v>
          </cell>
          <cell r="AI297">
            <v>1</v>
          </cell>
          <cell r="AJ297" t="str">
            <v>FP</v>
          </cell>
          <cell r="AN297" t="str">
            <v>FD</v>
          </cell>
          <cell r="AP297" t="str">
            <v>Maj</v>
          </cell>
          <cell r="CH297" t="str">
            <v>MF19_BORD_BT_00001</v>
          </cell>
          <cell r="CI297" t="str">
            <v>AR</v>
          </cell>
          <cell r="CJ297" t="str">
            <v>FP</v>
          </cell>
        </row>
        <row r="298">
          <cell r="A298">
            <v>100435137</v>
          </cell>
          <cell r="B298" t="str">
            <v>Ligne_96_PPD</v>
          </cell>
          <cell r="C298">
            <v>96</v>
          </cell>
          <cell r="E298" t="str">
            <v>Diagramme et principe de fixation des baies latérales</v>
          </cell>
          <cell r="F298" t="str">
            <v>A</v>
          </cell>
          <cell r="G298" t="str">
            <v>BAIES LATERALES</v>
          </cell>
          <cell r="M298" t="str">
            <v>F-07_CONFORT</v>
          </cell>
          <cell r="N298" t="str">
            <v>DS</v>
          </cell>
          <cell r="O298" t="str">
            <v>SP_SPECIF</v>
          </cell>
          <cell r="Q298">
            <v>0</v>
          </cell>
          <cell r="R298" t="str">
            <v>BT</v>
          </cell>
          <cell r="S298" t="str">
            <v>BT</v>
          </cell>
          <cell r="T298" t="str">
            <v>AT</v>
          </cell>
          <cell r="V298" t="str">
            <v>BOMBARDIER</v>
          </cell>
          <cell r="W298" t="str">
            <v>N</v>
          </cell>
          <cell r="X298" t="str">
            <v>Document contractuel FP</v>
          </cell>
          <cell r="Z298" t="str">
            <v>RTS 178 JS2 RP11 22/07/2020
RTS 193 JS2 EMC 07/09/2020</v>
          </cell>
          <cell r="AA298" t="str">
            <v>E</v>
          </cell>
          <cell r="AB298" t="str">
            <v>Projet</v>
          </cell>
          <cell r="AC298" t="str">
            <v>EMC</v>
          </cell>
          <cell r="AD298" t="str">
            <v>RPC MF19</v>
          </cell>
          <cell r="AF298" t="str">
            <v>8.2</v>
          </cell>
          <cell r="AI298">
            <v>1</v>
          </cell>
          <cell r="AJ298" t="str">
            <v>FP</v>
          </cell>
          <cell r="AN298" t="str">
            <v>FD</v>
          </cell>
          <cell r="CH298" t="str">
            <v>MF19_BORD_BT_00001</v>
          </cell>
          <cell r="CI298" t="str">
            <v>AR</v>
          </cell>
          <cell r="CJ298" t="str">
            <v>FP</v>
          </cell>
        </row>
        <row r="299">
          <cell r="B299" t="str">
            <v>Ligne_97_PPD</v>
          </cell>
          <cell r="C299">
            <v>97</v>
          </cell>
          <cell r="E299" t="str">
            <v>Dossier de calcul du frein précisant les différents réglages pour obtenir les performances requises et répondant aux conditions de la marche type définie dans la spécification technique ST-MRF EM 4-70 050</v>
          </cell>
          <cell r="G299" t="str">
            <v>renvoi vers item 19</v>
          </cell>
          <cell r="R299" t="str">
            <v>NA</v>
          </cell>
          <cell r="S299" t="str">
            <v>BT</v>
          </cell>
          <cell r="T299" t="str">
            <v>NA</v>
          </cell>
          <cell r="Z299" t="str">
            <v>RTS 159 JS2 ETS 02/07/2020
RTS 186 JS2 SME 01/09/2020
RTS 188 JS2 EMR 03/09/2020</v>
          </cell>
          <cell r="AA299" t="str">
            <v>E</v>
          </cell>
          <cell r="AB299" t="str">
            <v>Mécanique</v>
          </cell>
          <cell r="AC299" t="str">
            <v>EMR/SME/ETS</v>
          </cell>
          <cell r="AD299" t="str">
            <v>ST EM.4-70050
SF EZ.4-40083</v>
          </cell>
          <cell r="AE299" t="str">
            <v>Note de calcul et essais de validation du frein du MF19
Motricité</v>
          </cell>
          <cell r="AI299" t="str">
            <v>RENVOI</v>
          </cell>
          <cell r="AN299" t="str">
            <v>FD</v>
          </cell>
          <cell r="AP299" t="str">
            <v>Maj</v>
          </cell>
          <cell r="CH299" t="e">
            <v>#N/A</v>
          </cell>
          <cell r="CI299" t="e">
            <v>#N/A</v>
          </cell>
          <cell r="CJ299" t="e">
            <v>#N/A</v>
          </cell>
        </row>
        <row r="300">
          <cell r="B300" t="str">
            <v>Ligne_98_PPD</v>
          </cell>
          <cell r="C300">
            <v>98</v>
          </cell>
          <cell r="E300" t="str">
            <v>La confirmation et la mise à jour de la note de calcul de la fonction guidage assurant la maitrise du risque de déraillement, de l'endommagement et du respect du gabarit.</v>
          </cell>
          <cell r="G300" t="str">
            <v>renvoi aux items 10 et 84</v>
          </cell>
          <cell r="R300" t="str">
            <v>NA</v>
          </cell>
          <cell r="S300" t="str">
            <v>BT</v>
          </cell>
          <cell r="T300" t="str">
            <v>NA</v>
          </cell>
          <cell r="U300" t="str">
            <v>Bogie</v>
          </cell>
          <cell r="Z300" t="str">
            <v>RTS 188 JS2 EMR 03/09/2020</v>
          </cell>
          <cell r="AA300" t="str">
            <v>E</v>
          </cell>
          <cell r="AB300" t="str">
            <v>Mécanique</v>
          </cell>
          <cell r="AC300" t="str">
            <v>EMR</v>
          </cell>
          <cell r="AD300" t="str">
            <v>SF EM.4-40092</v>
          </cell>
          <cell r="AE300" t="str">
            <v>Roulement</v>
          </cell>
          <cell r="AF300">
            <v>3</v>
          </cell>
          <cell r="AI300" t="str">
            <v>RENVOI</v>
          </cell>
          <cell r="AL300" t="str">
            <v>FP</v>
          </cell>
          <cell r="AN300" t="str">
            <v>Maj</v>
          </cell>
          <cell r="AP300" t="str">
            <v>FD</v>
          </cell>
          <cell r="CG300" t="str">
            <v>11/10/2020 : supprme le "barré" de la FD JS2, pour import dans la base arbo</v>
          </cell>
          <cell r="CH300" t="e">
            <v>#N/A</v>
          </cell>
          <cell r="CI300" t="e">
            <v>#N/A</v>
          </cell>
          <cell r="CJ300" t="e">
            <v>#N/A</v>
          </cell>
        </row>
        <row r="301">
          <cell r="A301">
            <v>100435030</v>
          </cell>
          <cell r="B301" t="str">
            <v>Ligne_99_PPD</v>
          </cell>
          <cell r="C301">
            <v>99</v>
          </cell>
          <cell r="E301" t="str">
            <v>Le plan de validation (conception, calcul et essais) des structures roulement.</v>
          </cell>
          <cell r="F301" t="str">
            <v>A</v>
          </cell>
          <cell r="G301" t="str">
            <v>CALCULS ET ESSAIS DES STRUCTURES ROULEMENT</v>
          </cell>
          <cell r="M301" t="str">
            <v>F-01_ROULEMENT</v>
          </cell>
          <cell r="N301" t="str">
            <v>DJD</v>
          </cell>
          <cell r="O301" t="str">
            <v>PRT_PROG. ESSAIS DE TYPE</v>
          </cell>
          <cell r="Q301">
            <v>0</v>
          </cell>
          <cell r="R301" t="str">
            <v>BT</v>
          </cell>
          <cell r="S301" t="str">
            <v>BT</v>
          </cell>
          <cell r="T301" t="str">
            <v>EX</v>
          </cell>
          <cell r="U301" t="str">
            <v>César Roudière</v>
          </cell>
          <cell r="V301" t="str">
            <v>BOMBARDIER</v>
          </cell>
          <cell r="W301" t="str">
            <v>N</v>
          </cell>
          <cell r="X301" t="str">
            <v>Document contractuel FP</v>
          </cell>
          <cell r="Z301" t="str">
            <v>RTS 188 JS2 EMR 03/09/2020</v>
          </cell>
          <cell r="AA301" t="str">
            <v>E</v>
          </cell>
          <cell r="AB301" t="str">
            <v>Mécanique</v>
          </cell>
          <cell r="AC301" t="str">
            <v>EMR</v>
          </cell>
          <cell r="AD301" t="str">
            <v>ST EM.4-30021</v>
          </cell>
          <cell r="AE301" t="str">
            <v>Conception calcul et essais des structures du roulement MF19</v>
          </cell>
          <cell r="AF301">
            <v>4</v>
          </cell>
          <cell r="AI301">
            <v>1</v>
          </cell>
          <cell r="AL301" t="str">
            <v>FP</v>
          </cell>
          <cell r="AN301" t="str">
            <v>FD</v>
          </cell>
          <cell r="AU301" t="str">
            <v>Maj</v>
          </cell>
          <cell r="BJ301">
            <v>44022</v>
          </cell>
          <cell r="CH301" t="str">
            <v>MF19_BORD_BT_00009</v>
          </cell>
          <cell r="CI301" t="str">
            <v>AR</v>
          </cell>
          <cell r="CJ301" t="str">
            <v>FP</v>
          </cell>
        </row>
        <row r="302">
          <cell r="B302" t="str">
            <v>Ligne_100_PPD</v>
          </cell>
          <cell r="C302">
            <v>100</v>
          </cell>
          <cell r="E302" t="str">
            <v>La note de calcul aux éléments finis des structures sous charge exceptionnelles et sous charges de service.</v>
          </cell>
          <cell r="G302" t="str">
            <v>LIVRABLE</v>
          </cell>
          <cell r="R302" t="str">
            <v>NA</v>
          </cell>
          <cell r="S302" t="str">
            <v>BT</v>
          </cell>
          <cell r="T302" t="str">
            <v>NA</v>
          </cell>
          <cell r="Z302" t="str">
            <v>RTS 188 JS2 EMR 03/09/2020
RTS 193 JS2 EMC 07/09/2020</v>
          </cell>
          <cell r="AA302" t="str">
            <v>E</v>
          </cell>
          <cell r="AB302" t="str">
            <v>Mécanique</v>
          </cell>
          <cell r="AC302" t="str">
            <v>EMR/EMC</v>
          </cell>
          <cell r="AD302" t="str">
            <v>ST EM.4-30021
ST EM.4-40093</v>
          </cell>
          <cell r="AE302" t="str">
            <v xml:space="preserve">Conception calcul et essais des structures du roulement MF19
Caisse Confort </v>
          </cell>
          <cell r="AF302">
            <v>4</v>
          </cell>
          <cell r="AI302" t="str">
            <v>LIVRABLE</v>
          </cell>
          <cell r="AN302" t="str">
            <v>FD</v>
          </cell>
          <cell r="CH302" t="e">
            <v>#N/A</v>
          </cell>
          <cell r="CI302" t="e">
            <v>#N/A</v>
          </cell>
          <cell r="CJ302" t="e">
            <v>#N/A</v>
          </cell>
        </row>
        <row r="303">
          <cell r="B303" t="str">
            <v>Ligne_100.1_PPD</v>
          </cell>
          <cell r="C303" t="str">
            <v>100.1</v>
          </cell>
          <cell r="E303" t="str">
            <v>La note de calcul aux éléments finis des structures sous charge exceptionnelles et sous charges de service.</v>
          </cell>
          <cell r="G303" t="str">
            <v>Note de Calcul essieu axe moteur</v>
          </cell>
          <cell r="R303" t="str">
            <v>BT</v>
          </cell>
          <cell r="S303" t="str">
            <v>BT</v>
          </cell>
          <cell r="T303" t="str">
            <v>EX</v>
          </cell>
          <cell r="V303" t="str">
            <v>BOMBARDIER</v>
          </cell>
          <cell r="Z303" t="str">
            <v>RTS 188 JS2 EMR 03/09/2020</v>
          </cell>
          <cell r="AA303" t="str">
            <v>E</v>
          </cell>
          <cell r="AB303" t="str">
            <v>Mécanique</v>
          </cell>
          <cell r="AC303" t="str">
            <v>EMR</v>
          </cell>
          <cell r="AD303" t="str">
            <v>ST EM.4-30021</v>
          </cell>
          <cell r="AE303" t="str">
            <v>Conception calcul et essais des structures du roulement MF19</v>
          </cell>
          <cell r="AF303">
            <v>4</v>
          </cell>
          <cell r="AI303">
            <v>1</v>
          </cell>
          <cell r="AO303" t="str">
            <v>FD</v>
          </cell>
          <cell r="CH303" t="e">
            <v>#N/A</v>
          </cell>
          <cell r="CI303" t="e">
            <v>#N/A</v>
          </cell>
          <cell r="CJ303" t="e">
            <v>#N/A</v>
          </cell>
        </row>
        <row r="304">
          <cell r="B304" t="str">
            <v>Ligne_100.2_PPD</v>
          </cell>
          <cell r="C304" t="str">
            <v>100.2</v>
          </cell>
          <cell r="E304" t="str">
            <v>La note de calcul aux éléments finis des structures sous charge exceptionnelles et sous charges de service.</v>
          </cell>
          <cell r="G304" t="str">
            <v>Note de calcul essieu axe porteur</v>
          </cell>
          <cell r="R304" t="str">
            <v>BT</v>
          </cell>
          <cell r="S304" t="str">
            <v>BT</v>
          </cell>
          <cell r="T304" t="str">
            <v>EX</v>
          </cell>
          <cell r="V304" t="str">
            <v>BOMBARDIER</v>
          </cell>
          <cell r="Z304" t="str">
            <v>RTS 188 JS2 EMR 03/09/2020</v>
          </cell>
          <cell r="AA304" t="str">
            <v>E</v>
          </cell>
          <cell r="AB304" t="str">
            <v>Mécanique</v>
          </cell>
          <cell r="AC304" t="str">
            <v>EMR</v>
          </cell>
          <cell r="AD304" t="str">
            <v>ST EM.4-30021</v>
          </cell>
          <cell r="AE304" t="str">
            <v>Conception calcul et essais des structures du roulement MF19</v>
          </cell>
          <cell r="AF304">
            <v>4</v>
          </cell>
          <cell r="AI304">
            <v>1</v>
          </cell>
          <cell r="AO304" t="str">
            <v>FD</v>
          </cell>
          <cell r="CH304" t="e">
            <v>#N/A</v>
          </cell>
          <cell r="CI304" t="e">
            <v>#N/A</v>
          </cell>
          <cell r="CJ304" t="e">
            <v>#N/A</v>
          </cell>
        </row>
        <row r="305">
          <cell r="B305" t="str">
            <v>Ligne_100.3_PPD</v>
          </cell>
          <cell r="C305" t="str">
            <v>100.3</v>
          </cell>
          <cell r="E305" t="str">
            <v>La note de calcul aux éléments finis des structures sous charge exceptionnelles et sous charges de service.</v>
          </cell>
          <cell r="G305" t="str">
            <v>Note de calcul du bloc réducteur / Note of calculation of gearbox</v>
          </cell>
          <cell r="R305" t="str">
            <v>BT</v>
          </cell>
          <cell r="S305" t="str">
            <v>BT</v>
          </cell>
          <cell r="T305" t="str">
            <v>EX</v>
          </cell>
          <cell r="V305" t="str">
            <v>BOMBARDIER</v>
          </cell>
          <cell r="Z305" t="str">
            <v>RTS 188 JS2 EMR 03/09/2020</v>
          </cell>
          <cell r="AA305" t="str">
            <v>E</v>
          </cell>
          <cell r="AB305" t="str">
            <v>Mécanique</v>
          </cell>
          <cell r="AC305" t="str">
            <v>EMR</v>
          </cell>
          <cell r="AD305" t="str">
            <v>ST EM.4-30021</v>
          </cell>
          <cell r="AE305" t="str">
            <v>Conception calcul et essais des structures du roulement MF19</v>
          </cell>
          <cell r="AF305">
            <v>4</v>
          </cell>
          <cell r="AI305">
            <v>1</v>
          </cell>
          <cell r="AO305" t="str">
            <v>FD</v>
          </cell>
          <cell r="CH305" t="e">
            <v>#N/A</v>
          </cell>
          <cell r="CI305" t="e">
            <v>#N/A</v>
          </cell>
          <cell r="CJ305" t="e">
            <v>#N/A</v>
          </cell>
        </row>
        <row r="306">
          <cell r="B306" t="str">
            <v>Ligne_100.4_PPD</v>
          </cell>
          <cell r="C306" t="str">
            <v>100.4</v>
          </cell>
          <cell r="E306" t="str">
            <v>La note de calcul aux éléments finis des structures sous charge exceptionnelles et sous charges de service.</v>
          </cell>
          <cell r="G306" t="str">
            <v xml:space="preserve">Note de calcul mécanique de la roue </v>
          </cell>
          <cell r="R306" t="str">
            <v>BT</v>
          </cell>
          <cell r="S306" t="str">
            <v>BT</v>
          </cell>
          <cell r="T306" t="str">
            <v>EX</v>
          </cell>
          <cell r="V306" t="str">
            <v>BOMBARDIER</v>
          </cell>
          <cell r="Z306" t="str">
            <v>RTS 188 JS2 EMR 03/09/2020</v>
          </cell>
          <cell r="AA306" t="str">
            <v>E</v>
          </cell>
          <cell r="AB306" t="str">
            <v>Mécanique</v>
          </cell>
          <cell r="AC306" t="str">
            <v>EMR</v>
          </cell>
          <cell r="AD306" t="str">
            <v>ST EM.4-30021</v>
          </cell>
          <cell r="AE306" t="str">
            <v>Conception calcul et essais des structures du roulement MF19</v>
          </cell>
          <cell r="AF306">
            <v>4</v>
          </cell>
          <cell r="AI306">
            <v>1</v>
          </cell>
          <cell r="AO306" t="str">
            <v>FD</v>
          </cell>
          <cell r="CH306" t="e">
            <v>#N/A</v>
          </cell>
          <cell r="CI306" t="e">
            <v>#N/A</v>
          </cell>
          <cell r="CJ306" t="e">
            <v>#N/A</v>
          </cell>
        </row>
        <row r="307">
          <cell r="B307" t="str">
            <v>Ligne_100.5_PPD</v>
          </cell>
          <cell r="C307" t="str">
            <v>100.5</v>
          </cell>
          <cell r="E307" t="str">
            <v>La note de calcul aux éléments finis des structures sous charge exceptionnelles et sous charges de service.</v>
          </cell>
          <cell r="G307" t="str">
            <v>Note de calcul theromécanique de la roue</v>
          </cell>
          <cell r="R307" t="str">
            <v>BT</v>
          </cell>
          <cell r="S307" t="str">
            <v>BT</v>
          </cell>
          <cell r="T307" t="str">
            <v>EX</v>
          </cell>
          <cell r="V307" t="str">
            <v>BOMBARDIER</v>
          </cell>
          <cell r="Z307" t="str">
            <v>RTS 188 JS2 EMR 03/09/2020</v>
          </cell>
          <cell r="AA307" t="str">
            <v>E</v>
          </cell>
          <cell r="AB307" t="str">
            <v>Mécanique</v>
          </cell>
          <cell r="AC307" t="str">
            <v>EMR</v>
          </cell>
          <cell r="AD307" t="str">
            <v>ST EM.4-30021</v>
          </cell>
          <cell r="AE307" t="str">
            <v>Conception calcul et essais des structures du roulement MF19</v>
          </cell>
          <cell r="AF307">
            <v>4</v>
          </cell>
          <cell r="AI307">
            <v>1</v>
          </cell>
          <cell r="AO307" t="str">
            <v>FD</v>
          </cell>
          <cell r="CH307" t="e">
            <v>#N/A</v>
          </cell>
          <cell r="CI307" t="e">
            <v>#N/A</v>
          </cell>
          <cell r="CJ307" t="e">
            <v>#N/A</v>
          </cell>
        </row>
        <row r="308">
          <cell r="B308" t="str">
            <v>Ligne_100.6_PPD</v>
          </cell>
          <cell r="C308" t="str">
            <v>100.6</v>
          </cell>
          <cell r="E308" t="str">
            <v>La note de calcul aux éléments finis des structures sous charge exceptionnelles et sous charges de service.</v>
          </cell>
          <cell r="G308" t="str">
            <v>Note de calcul bielle de traction</v>
          </cell>
          <cell r="R308" t="str">
            <v>BT</v>
          </cell>
          <cell r="S308" t="str">
            <v>BT</v>
          </cell>
          <cell r="T308" t="str">
            <v>EX</v>
          </cell>
          <cell r="V308" t="str">
            <v>BOMBARDIER</v>
          </cell>
          <cell r="Z308" t="str">
            <v>RTS 188 JS2 EMR 03/09/2020</v>
          </cell>
          <cell r="AA308" t="str">
            <v>E</v>
          </cell>
          <cell r="AB308" t="str">
            <v>Mécanique</v>
          </cell>
          <cell r="AC308" t="str">
            <v>EMR</v>
          </cell>
          <cell r="AD308" t="str">
            <v>ST EM.4-30021</v>
          </cell>
          <cell r="AE308" t="str">
            <v>Conception calcul et essais des structures du roulement MF19</v>
          </cell>
          <cell r="AF308">
            <v>4</v>
          </cell>
          <cell r="AI308">
            <v>1</v>
          </cell>
          <cell r="AO308" t="str">
            <v>FD</v>
          </cell>
          <cell r="CH308" t="e">
            <v>#N/A</v>
          </cell>
          <cell r="CI308" t="e">
            <v>#N/A</v>
          </cell>
          <cell r="CJ308" t="e">
            <v>#N/A</v>
          </cell>
        </row>
        <row r="309">
          <cell r="B309" t="str">
            <v>Ligne_100.7_PPD</v>
          </cell>
          <cell r="C309" t="str">
            <v>100.7</v>
          </cell>
          <cell r="E309" t="str">
            <v>La note de calcul aux éléments finis des structures sous charge exceptionnelles et sous charges de service.</v>
          </cell>
          <cell r="G309" t="str">
            <v>Note de calcul boite d'essieu et couvercle</v>
          </cell>
          <cell r="R309" t="str">
            <v>BT</v>
          </cell>
          <cell r="S309" t="str">
            <v>BT</v>
          </cell>
          <cell r="T309" t="str">
            <v>EX</v>
          </cell>
          <cell r="V309" t="str">
            <v>BOMBARDIER</v>
          </cell>
          <cell r="Z309" t="str">
            <v>RTS 188 JS2 EMR 03/09/2020</v>
          </cell>
          <cell r="AA309" t="str">
            <v>E</v>
          </cell>
          <cell r="AB309" t="str">
            <v>Mécanique</v>
          </cell>
          <cell r="AC309" t="str">
            <v>EMR</v>
          </cell>
          <cell r="AD309" t="str">
            <v>ST EM.4-30021</v>
          </cell>
          <cell r="AE309" t="str">
            <v>Conception calcul et essais des structures du roulement MF19</v>
          </cell>
          <cell r="AF309">
            <v>4</v>
          </cell>
          <cell r="AI309">
            <v>1</v>
          </cell>
          <cell r="AO309" t="str">
            <v>FD</v>
          </cell>
          <cell r="CH309" t="e">
            <v>#N/A</v>
          </cell>
          <cell r="CI309" t="e">
            <v>#N/A</v>
          </cell>
          <cell r="CJ309" t="e">
            <v>#N/A</v>
          </cell>
        </row>
        <row r="310">
          <cell r="B310" t="str">
            <v>Ligne_100.8_PPD</v>
          </cell>
          <cell r="C310" t="str">
            <v>100.8</v>
          </cell>
          <cell r="E310" t="str">
            <v>La note de calcul aux éléments finis des structures sous charge exceptionnelles et sous charges de service.</v>
          </cell>
          <cell r="G310" t="str">
            <v>Note de calcul poutre et supports</v>
          </cell>
          <cell r="R310" t="str">
            <v>BT</v>
          </cell>
          <cell r="S310" t="str">
            <v>BT</v>
          </cell>
          <cell r="T310" t="str">
            <v>EX</v>
          </cell>
          <cell r="V310" t="str">
            <v>BOMBARDIER</v>
          </cell>
          <cell r="Z310" t="str">
            <v>RTS 188 JS2 EMR 03/09/2020</v>
          </cell>
          <cell r="AA310" t="str">
            <v>E</v>
          </cell>
          <cell r="AB310" t="str">
            <v>Mécanique</v>
          </cell>
          <cell r="AC310" t="str">
            <v>EMR</v>
          </cell>
          <cell r="AD310" t="str">
            <v>ST EM.4-30021</v>
          </cell>
          <cell r="AE310" t="str">
            <v>Conception calcul et essais des structures du roulement MF19</v>
          </cell>
          <cell r="AF310">
            <v>4</v>
          </cell>
          <cell r="AI310">
            <v>1</v>
          </cell>
          <cell r="AO310" t="str">
            <v>FD</v>
          </cell>
          <cell r="CH310" t="e">
            <v>#N/A</v>
          </cell>
          <cell r="CI310" t="e">
            <v>#N/A</v>
          </cell>
          <cell r="CJ310" t="e">
            <v>#N/A</v>
          </cell>
        </row>
        <row r="311">
          <cell r="B311" t="str">
            <v>Ligne_100.9_PPD</v>
          </cell>
          <cell r="C311" t="str">
            <v>100.9</v>
          </cell>
          <cell r="E311" t="str">
            <v>La note de calcul aux éléments finis des structures sous charge exceptionnelles et sous charges de service.</v>
          </cell>
          <cell r="G311" t="str">
            <v>Note de calcul support câble sur moteur</v>
          </cell>
          <cell r="R311" t="str">
            <v>BT</v>
          </cell>
          <cell r="S311" t="str">
            <v>BT</v>
          </cell>
          <cell r="T311" t="str">
            <v>EX</v>
          </cell>
          <cell r="V311" t="str">
            <v>BOMBARDIER</v>
          </cell>
          <cell r="Z311" t="str">
            <v>RTS 188 JS2 EMR 03/09/2020</v>
          </cell>
          <cell r="AA311" t="str">
            <v>E</v>
          </cell>
          <cell r="AB311" t="str">
            <v>Mécanique</v>
          </cell>
          <cell r="AC311" t="str">
            <v>EMR</v>
          </cell>
          <cell r="AD311" t="str">
            <v>ST EM.4-30021</v>
          </cell>
          <cell r="AE311" t="str">
            <v>Conception calcul et essais des structures du roulement MF19</v>
          </cell>
          <cell r="AF311">
            <v>4</v>
          </cell>
          <cell r="AI311">
            <v>1</v>
          </cell>
          <cell r="AO311" t="str">
            <v>FD</v>
          </cell>
          <cell r="CH311" t="e">
            <v>#N/A</v>
          </cell>
          <cell r="CI311" t="e">
            <v>#N/A</v>
          </cell>
          <cell r="CJ311" t="e">
            <v>#N/A</v>
          </cell>
        </row>
        <row r="312">
          <cell r="B312" t="str">
            <v>Ligne_100.10_PPD</v>
          </cell>
          <cell r="C312" t="str">
            <v>100.10</v>
          </cell>
          <cell r="E312" t="str">
            <v>La note de calcul aux éléments finis des structures sous charge exceptionnelles et sous charges de service.</v>
          </cell>
          <cell r="G312" t="str">
            <v>Note de calcul support faux moteur</v>
          </cell>
          <cell r="R312" t="str">
            <v>BT</v>
          </cell>
          <cell r="S312" t="str">
            <v>BT</v>
          </cell>
          <cell r="T312" t="str">
            <v>EX</v>
          </cell>
          <cell r="V312" t="str">
            <v>BOMBARDIER</v>
          </cell>
          <cell r="Z312" t="str">
            <v>RTS 188 JS2 EMR 03/09/2020</v>
          </cell>
          <cell r="AA312" t="str">
            <v>E</v>
          </cell>
          <cell r="AB312" t="str">
            <v>Mécanique</v>
          </cell>
          <cell r="AC312" t="str">
            <v>EMR</v>
          </cell>
          <cell r="AD312" t="str">
            <v>ST EM.4-30021</v>
          </cell>
          <cell r="AE312" t="str">
            <v>Conception calcul et essais des structures du roulement MF19</v>
          </cell>
          <cell r="AF312">
            <v>4</v>
          </cell>
          <cell r="AI312">
            <v>1</v>
          </cell>
          <cell r="AO312" t="str">
            <v>FD</v>
          </cell>
          <cell r="CH312" t="e">
            <v>#N/A</v>
          </cell>
          <cell r="CI312" t="e">
            <v>#N/A</v>
          </cell>
          <cell r="CJ312" t="e">
            <v>#N/A</v>
          </cell>
        </row>
        <row r="313">
          <cell r="B313" t="str">
            <v>Ligne_100.11_PPD</v>
          </cell>
          <cell r="C313" t="str">
            <v>100.11</v>
          </cell>
          <cell r="E313" t="str">
            <v>La note de calcul aux éléments finis des structures sous charge exceptionnelles et sous charges de service.</v>
          </cell>
          <cell r="G313" t="str">
            <v>Note de calcul traverse de charge</v>
          </cell>
          <cell r="R313" t="str">
            <v>BT</v>
          </cell>
          <cell r="S313" t="str">
            <v>BT</v>
          </cell>
          <cell r="T313" t="str">
            <v>EX</v>
          </cell>
          <cell r="V313" t="str">
            <v>BOMBARDIER</v>
          </cell>
          <cell r="Z313" t="str">
            <v>RTS 188 JS2 EMR 03/09/2020</v>
          </cell>
          <cell r="AA313" t="str">
            <v>E</v>
          </cell>
          <cell r="AB313" t="str">
            <v>Mécanique</v>
          </cell>
          <cell r="AC313" t="str">
            <v>EMR</v>
          </cell>
          <cell r="AD313" t="str">
            <v>ST EM.4-30021</v>
          </cell>
          <cell r="AE313" t="str">
            <v>Conception calcul et essais des structures du roulement MF19</v>
          </cell>
          <cell r="AF313">
            <v>4</v>
          </cell>
          <cell r="AI313">
            <v>1</v>
          </cell>
          <cell r="AO313" t="str">
            <v>FD</v>
          </cell>
          <cell r="CH313" t="e">
            <v>#N/A</v>
          </cell>
          <cell r="CI313" t="e">
            <v>#N/A</v>
          </cell>
          <cell r="CJ313" t="e">
            <v>#N/A</v>
          </cell>
        </row>
        <row r="314">
          <cell r="B314" t="str">
            <v>Ligne_100.12_PPD</v>
          </cell>
          <cell r="C314" t="str">
            <v>100.12</v>
          </cell>
          <cell r="E314" t="str">
            <v>La note de calcul aux éléments finis des structures sous charge exceptionnelles et sous charges de service.</v>
          </cell>
          <cell r="G314" t="str">
            <v>Note de calcul châssis</v>
          </cell>
          <cell r="R314" t="str">
            <v>BT</v>
          </cell>
          <cell r="S314" t="str">
            <v>BT</v>
          </cell>
          <cell r="T314" t="str">
            <v>EX</v>
          </cell>
          <cell r="V314" t="str">
            <v>BOMBARDIER</v>
          </cell>
          <cell r="Z314" t="str">
            <v>RTS 188 JS2 EMR 03/09/2020</v>
          </cell>
          <cell r="AA314" t="str">
            <v>E</v>
          </cell>
          <cell r="AB314" t="str">
            <v>Mécanique</v>
          </cell>
          <cell r="AC314" t="str">
            <v>EMR</v>
          </cell>
          <cell r="AD314" t="str">
            <v>ST EM.4-30021</v>
          </cell>
          <cell r="AE314" t="str">
            <v>Conception calcul et essais des structures du roulement MF19</v>
          </cell>
          <cell r="AF314">
            <v>4</v>
          </cell>
          <cell r="AI314">
            <v>1</v>
          </cell>
          <cell r="AO314" t="str">
            <v>FD</v>
          </cell>
          <cell r="CH314" t="e">
            <v>#N/A</v>
          </cell>
          <cell r="CI314" t="e">
            <v>#N/A</v>
          </cell>
          <cell r="CJ314" t="e">
            <v>#N/A</v>
          </cell>
        </row>
        <row r="315">
          <cell r="B315" t="str">
            <v>Ligne_100.13_PPD</v>
          </cell>
          <cell r="C315" t="str">
            <v>100.13</v>
          </cell>
          <cell r="E315" t="str">
            <v>La note de calcul aux éléments finis des structures sous charge exceptionnelles et sous charges de service.</v>
          </cell>
          <cell r="G315" t="str">
            <v>Note de calcul élément de levage-relevage</v>
          </cell>
          <cell r="R315" t="str">
            <v>BT</v>
          </cell>
          <cell r="S315" t="str">
            <v>BT</v>
          </cell>
          <cell r="T315" t="str">
            <v>EX</v>
          </cell>
          <cell r="V315" t="str">
            <v>BOMBARDIER</v>
          </cell>
          <cell r="Z315" t="str">
            <v>RTS 188 JS2 EMR 03/09/2020</v>
          </cell>
          <cell r="AA315" t="str">
            <v>E</v>
          </cell>
          <cell r="AB315" t="str">
            <v>Mécanique</v>
          </cell>
          <cell r="AC315" t="str">
            <v>EMR</v>
          </cell>
          <cell r="AD315" t="str">
            <v>ST EM.4-30021</v>
          </cell>
          <cell r="AE315" t="str">
            <v>Conception calcul et essais des structures du roulement MF19</v>
          </cell>
          <cell r="AF315">
            <v>4</v>
          </cell>
          <cell r="AI315">
            <v>1</v>
          </cell>
          <cell r="AO315" t="str">
            <v>FD</v>
          </cell>
          <cell r="CH315" t="e">
            <v>#N/A</v>
          </cell>
          <cell r="CI315" t="e">
            <v>#N/A</v>
          </cell>
          <cell r="CJ315" t="e">
            <v>#N/A</v>
          </cell>
        </row>
        <row r="316">
          <cell r="B316" t="str">
            <v>Ligne_100.14_PPD</v>
          </cell>
          <cell r="C316" t="str">
            <v>100.14</v>
          </cell>
          <cell r="E316" t="str">
            <v>La note de calcul aux éléments finis des structures sous charge exceptionnelles et sous charges de service.</v>
          </cell>
          <cell r="G316" t="str">
            <v>Note de calcul barre de détection d'obstacle (BDO)</v>
          </cell>
          <cell r="R316" t="str">
            <v>BT</v>
          </cell>
          <cell r="S316" t="str">
            <v>BT</v>
          </cell>
          <cell r="T316" t="str">
            <v>EX</v>
          </cell>
          <cell r="V316" t="str">
            <v>BOMBARDIER</v>
          </cell>
          <cell r="Z316" t="str">
            <v>RTS 188 JS2 EMR 03/09/2020</v>
          </cell>
          <cell r="AA316" t="str">
            <v>E</v>
          </cell>
          <cell r="AB316" t="str">
            <v>Mécanique</v>
          </cell>
          <cell r="AC316" t="str">
            <v>EMR</v>
          </cell>
          <cell r="AD316" t="str">
            <v>ST EM.4-30021</v>
          </cell>
          <cell r="AE316" t="str">
            <v>Conception calcul et essais des structures du roulement MF19</v>
          </cell>
          <cell r="AF316">
            <v>4</v>
          </cell>
          <cell r="AI316">
            <v>1</v>
          </cell>
          <cell r="AO316" t="str">
            <v>FD</v>
          </cell>
          <cell r="CH316" t="e">
            <v>#N/A</v>
          </cell>
          <cell r="CI316" t="e">
            <v>#N/A</v>
          </cell>
          <cell r="CJ316" t="e">
            <v>#N/A</v>
          </cell>
        </row>
        <row r="317">
          <cell r="A317">
            <v>100447069</v>
          </cell>
          <cell r="B317" t="str">
            <v>Ligne_100.15_PPD</v>
          </cell>
          <cell r="C317" t="str">
            <v>100.15</v>
          </cell>
          <cell r="E317" t="str">
            <v>La note de calcul aux éléments finis des structures sous charge exceptionnelles et sous charges de service.</v>
          </cell>
          <cell r="G317" t="str">
            <v>Présentation du modèle du véhicule S</v>
          </cell>
          <cell r="H317" t="str">
            <v/>
          </cell>
          <cell r="R317" t="str">
            <v>BT</v>
          </cell>
          <cell r="S317" t="str">
            <v>BT</v>
          </cell>
          <cell r="T317" t="str">
            <v>NA</v>
          </cell>
          <cell r="U317" t="str">
            <v>Bastien Leprete</v>
          </cell>
          <cell r="V317" t="str">
            <v>BOMBARDIER</v>
          </cell>
          <cell r="Z317" t="str">
            <v>RTS 193 JS2 EMC 07/09/2020</v>
          </cell>
          <cell r="AA317" t="str">
            <v>E</v>
          </cell>
          <cell r="AB317" t="str">
            <v>Mécanique</v>
          </cell>
          <cell r="AC317" t="str">
            <v>EMC</v>
          </cell>
          <cell r="AD317" t="str">
            <v>ST EM.4-40093</v>
          </cell>
          <cell r="AE317" t="str">
            <v xml:space="preserve">Caisse Confort </v>
          </cell>
          <cell r="AF317">
            <v>4</v>
          </cell>
          <cell r="AI317">
            <v>1</v>
          </cell>
          <cell r="AO317" t="str">
            <v>FD</v>
          </cell>
          <cell r="CH317" t="e">
            <v>#N/A</v>
          </cell>
          <cell r="CI317" t="e">
            <v>#N/A</v>
          </cell>
          <cell r="CJ317" t="e">
            <v>#N/A</v>
          </cell>
        </row>
        <row r="318">
          <cell r="A318">
            <v>100447070</v>
          </cell>
          <cell r="B318" t="str">
            <v>Ligne_100.16_PPD</v>
          </cell>
          <cell r="C318" t="str">
            <v>100.16</v>
          </cell>
          <cell r="E318" t="str">
            <v>La note de calcul aux éléments finis des structures sous charge exceptionnelles et sous charges de service.</v>
          </cell>
          <cell r="G318" t="str">
            <v>Présentation du modèle du véhicule N</v>
          </cell>
          <cell r="H318" t="str">
            <v/>
          </cell>
          <cell r="R318" t="str">
            <v>BT</v>
          </cell>
          <cell r="S318" t="str">
            <v>BT</v>
          </cell>
          <cell r="T318" t="str">
            <v>NA</v>
          </cell>
          <cell r="U318" t="str">
            <v>Bastien Leprete</v>
          </cell>
          <cell r="V318" t="str">
            <v>BOMBARDIER</v>
          </cell>
          <cell r="Z318" t="str">
            <v>RTS 193 JS2 EMC 07/09/2020</v>
          </cell>
          <cell r="AA318" t="str">
            <v>E</v>
          </cell>
          <cell r="AB318" t="str">
            <v>Mécanique</v>
          </cell>
          <cell r="AC318" t="str">
            <v>EMC</v>
          </cell>
          <cell r="AD318" t="str">
            <v>ST EM.4-40093</v>
          </cell>
          <cell r="AE318" t="str">
            <v xml:space="preserve">Caisse Confort </v>
          </cell>
          <cell r="AF318">
            <v>4</v>
          </cell>
          <cell r="AI318">
            <v>1</v>
          </cell>
          <cell r="AO318" t="str">
            <v>FD</v>
          </cell>
          <cell r="CH318" t="e">
            <v>#N/A</v>
          </cell>
          <cell r="CI318" t="e">
            <v>#N/A</v>
          </cell>
          <cell r="CJ318" t="e">
            <v>#N/A</v>
          </cell>
        </row>
        <row r="319">
          <cell r="A319">
            <v>100447071</v>
          </cell>
          <cell r="B319" t="str">
            <v>Ligne_100.17_PPD</v>
          </cell>
          <cell r="C319" t="str">
            <v>100.17</v>
          </cell>
          <cell r="E319" t="str">
            <v>La note de calcul aux éléments finis des structures sous charge exceptionnelles et sous charges de service.</v>
          </cell>
          <cell r="G319" t="str">
            <v>Note de calcul du véhicule S : Sollicitations exceptionnelles</v>
          </cell>
          <cell r="H319" t="str">
            <v/>
          </cell>
          <cell r="R319" t="str">
            <v>BT</v>
          </cell>
          <cell r="S319" t="str">
            <v>BT</v>
          </cell>
          <cell r="T319" t="str">
            <v>NA</v>
          </cell>
          <cell r="U319" t="str">
            <v>Bastien Leprete</v>
          </cell>
          <cell r="V319" t="str">
            <v>BOMBARDIER</v>
          </cell>
          <cell r="Z319" t="str">
            <v>RTS 193 JS2 EMC 07/09/2020</v>
          </cell>
          <cell r="AA319" t="str">
            <v>E</v>
          </cell>
          <cell r="AB319" t="str">
            <v>Mécanique</v>
          </cell>
          <cell r="AC319" t="str">
            <v>EMC</v>
          </cell>
          <cell r="AD319" t="str">
            <v>ST EM.4-40093</v>
          </cell>
          <cell r="AE319" t="str">
            <v xml:space="preserve">Caisse Confort </v>
          </cell>
          <cell r="AF319">
            <v>4</v>
          </cell>
          <cell r="AI319">
            <v>1</v>
          </cell>
          <cell r="AO319" t="str">
            <v>FP</v>
          </cell>
          <cell r="AP319" t="str">
            <v>FD</v>
          </cell>
          <cell r="CH319" t="e">
            <v>#N/A</v>
          </cell>
          <cell r="CI319" t="e">
            <v>#N/A</v>
          </cell>
          <cell r="CJ319" t="e">
            <v>#N/A</v>
          </cell>
        </row>
        <row r="320">
          <cell r="A320">
            <v>100447072</v>
          </cell>
          <cell r="B320" t="str">
            <v>Ligne_100.18_PPD</v>
          </cell>
          <cell r="C320" t="str">
            <v>100.18</v>
          </cell>
          <cell r="E320" t="str">
            <v>La note de calcul aux éléments finis des structures sous charge exceptionnelles et sous charges de service.</v>
          </cell>
          <cell r="G320" t="str">
            <v>Note de calcul du véhicule N : Sollicitations exceptionnelles</v>
          </cell>
          <cell r="H320" t="str">
            <v/>
          </cell>
          <cell r="R320" t="str">
            <v>BT</v>
          </cell>
          <cell r="S320" t="str">
            <v>BT</v>
          </cell>
          <cell r="T320" t="str">
            <v>NA</v>
          </cell>
          <cell r="U320" t="str">
            <v>Bastien Leprete</v>
          </cell>
          <cell r="V320" t="str">
            <v>BOMBARDIER</v>
          </cell>
          <cell r="Z320" t="str">
            <v>RTS 193 JS2 EMC 07/09/2020</v>
          </cell>
          <cell r="AA320" t="str">
            <v>E</v>
          </cell>
          <cell r="AB320" t="str">
            <v>Mécanique</v>
          </cell>
          <cell r="AC320" t="str">
            <v>EMC</v>
          </cell>
          <cell r="AD320" t="str">
            <v>ST EM.4-40093</v>
          </cell>
          <cell r="AE320" t="str">
            <v xml:space="preserve">Caisse Confort </v>
          </cell>
          <cell r="AF320">
            <v>4</v>
          </cell>
          <cell r="AI320">
            <v>1</v>
          </cell>
          <cell r="AO320" t="str">
            <v>FP</v>
          </cell>
          <cell r="AP320" t="str">
            <v>FD</v>
          </cell>
          <cell r="CH320" t="e">
            <v>#N/A</v>
          </cell>
          <cell r="CI320" t="e">
            <v>#N/A</v>
          </cell>
          <cell r="CJ320" t="e">
            <v>#N/A</v>
          </cell>
        </row>
        <row r="321">
          <cell r="A321">
            <v>100447075</v>
          </cell>
          <cell r="B321" t="str">
            <v>Ligne_100.19_PPD</v>
          </cell>
          <cell r="C321" t="str">
            <v>100.19</v>
          </cell>
          <cell r="E321" t="str">
            <v>La note de calcul aux éléments finis des structures sous charge exceptionnelles et sous charges de service.</v>
          </cell>
          <cell r="G321" t="str">
            <v>Note de calcul du véhicule S : Analyse modale</v>
          </cell>
          <cell r="H321" t="str">
            <v/>
          </cell>
          <cell r="R321" t="str">
            <v>BT</v>
          </cell>
          <cell r="S321" t="str">
            <v>BT</v>
          </cell>
          <cell r="T321" t="str">
            <v>NA</v>
          </cell>
          <cell r="U321" t="str">
            <v>Bastien Leprete</v>
          </cell>
          <cell r="V321" t="str">
            <v>BOMBARDIER</v>
          </cell>
          <cell r="Z321" t="str">
            <v>RTS 193 JS2 EMC 07/09/2020</v>
          </cell>
          <cell r="AA321" t="str">
            <v>E</v>
          </cell>
          <cell r="AB321" t="str">
            <v>Mécanique</v>
          </cell>
          <cell r="AC321" t="str">
            <v>EMC</v>
          </cell>
          <cell r="AD321" t="str">
            <v>ST EM.4-40093</v>
          </cell>
          <cell r="AE321" t="str">
            <v xml:space="preserve">Caisse Confort </v>
          </cell>
          <cell r="AF321">
            <v>4</v>
          </cell>
          <cell r="AI321">
            <v>1</v>
          </cell>
          <cell r="AO321" t="str">
            <v>FP</v>
          </cell>
          <cell r="AP321" t="str">
            <v>FD</v>
          </cell>
          <cell r="CH321" t="e">
            <v>#N/A</v>
          </cell>
          <cell r="CI321" t="e">
            <v>#N/A</v>
          </cell>
          <cell r="CJ321" t="e">
            <v>#N/A</v>
          </cell>
        </row>
        <row r="322">
          <cell r="A322">
            <v>100447076</v>
          </cell>
          <cell r="B322" t="str">
            <v>Ligne_100.20_PPD</v>
          </cell>
          <cell r="C322" t="str">
            <v>100.20</v>
          </cell>
          <cell r="E322" t="str">
            <v>La note de calcul aux éléments finis des structures sous charge exceptionnelles et sous charges de service.</v>
          </cell>
          <cell r="G322" t="str">
            <v>Note de calcul du véhicule N : Analyse modale</v>
          </cell>
          <cell r="H322" t="str">
            <v/>
          </cell>
          <cell r="R322" t="str">
            <v>BT</v>
          </cell>
          <cell r="S322" t="str">
            <v>BT</v>
          </cell>
          <cell r="T322" t="str">
            <v>NA</v>
          </cell>
          <cell r="U322" t="str">
            <v>Bastien Leprete</v>
          </cell>
          <cell r="V322" t="str">
            <v>BOMBARDIER</v>
          </cell>
          <cell r="Z322" t="str">
            <v>RTS 193 JS2 EMC 07/09/2020</v>
          </cell>
          <cell r="AA322" t="str">
            <v>E</v>
          </cell>
          <cell r="AB322" t="str">
            <v>Mécanique</v>
          </cell>
          <cell r="AC322" t="str">
            <v>EMC</v>
          </cell>
          <cell r="AD322" t="str">
            <v>ST EM.4-40093</v>
          </cell>
          <cell r="AE322" t="str">
            <v xml:space="preserve">Caisse Confort </v>
          </cell>
          <cell r="AF322">
            <v>4</v>
          </cell>
          <cell r="AI322">
            <v>1</v>
          </cell>
          <cell r="AO322" t="str">
            <v>FP</v>
          </cell>
          <cell r="AP322" t="str">
            <v>FD</v>
          </cell>
          <cell r="CH322" t="e">
            <v>#N/A</v>
          </cell>
          <cell r="CI322" t="e">
            <v>#N/A</v>
          </cell>
          <cell r="CJ322" t="e">
            <v>#N/A</v>
          </cell>
        </row>
        <row r="323">
          <cell r="A323">
            <v>100447073</v>
          </cell>
          <cell r="B323" t="str">
            <v>Ligne_100.21_PPD</v>
          </cell>
          <cell r="C323" t="str">
            <v>100.21</v>
          </cell>
          <cell r="E323" t="str">
            <v>La note de calcul aux éléments finis des structures sous charge exceptionnelles et sous charges de service.</v>
          </cell>
          <cell r="G323" t="str">
            <v>Note de calcul du véhicule S : Sollicitations de service</v>
          </cell>
          <cell r="H323" t="str">
            <v/>
          </cell>
          <cell r="R323" t="str">
            <v>BT</v>
          </cell>
          <cell r="S323" t="str">
            <v>BT</v>
          </cell>
          <cell r="T323" t="str">
            <v>NA</v>
          </cell>
          <cell r="U323" t="str">
            <v>Bastien Leprete</v>
          </cell>
          <cell r="V323" t="str">
            <v>BOMBARDIER</v>
          </cell>
          <cell r="Z323" t="str">
            <v>RTS 193 JS2 EMC 07/09/2020</v>
          </cell>
          <cell r="AA323" t="str">
            <v>E</v>
          </cell>
          <cell r="AB323" t="str">
            <v>Mécanique</v>
          </cell>
          <cell r="AC323" t="str">
            <v>EMC</v>
          </cell>
          <cell r="AD323" t="str">
            <v>ST EM.4-40093</v>
          </cell>
          <cell r="AE323" t="str">
            <v xml:space="preserve">Caisse Confort </v>
          </cell>
          <cell r="AF323">
            <v>4</v>
          </cell>
          <cell r="AI323">
            <v>1</v>
          </cell>
          <cell r="AO323" t="str">
            <v>FP</v>
          </cell>
          <cell r="AP323" t="str">
            <v>FD</v>
          </cell>
          <cell r="CH323" t="e">
            <v>#N/A</v>
          </cell>
          <cell r="CI323" t="e">
            <v>#N/A</v>
          </cell>
          <cell r="CJ323" t="e">
            <v>#N/A</v>
          </cell>
        </row>
        <row r="324">
          <cell r="A324">
            <v>100447074</v>
          </cell>
          <cell r="B324" t="str">
            <v>Ligne_100.22_PPD</v>
          </cell>
          <cell r="C324" t="str">
            <v>100.22</v>
          </cell>
          <cell r="E324" t="str">
            <v>La note de calcul aux éléments finis des structures sous charge exceptionnelles et sous charges de service.</v>
          </cell>
          <cell r="G324" t="str">
            <v>Note de calcul du véhicule N : Sollicitations de service</v>
          </cell>
          <cell r="H324" t="str">
            <v/>
          </cell>
          <cell r="R324" t="str">
            <v>BT</v>
          </cell>
          <cell r="S324" t="str">
            <v>BT</v>
          </cell>
          <cell r="T324" t="str">
            <v>NA</v>
          </cell>
          <cell r="U324" t="str">
            <v>Bastien Leprete</v>
          </cell>
          <cell r="V324" t="str">
            <v>BOMBARDIER</v>
          </cell>
          <cell r="Z324" t="str">
            <v>RTS 193 JS2 EMC 07/09/2020</v>
          </cell>
          <cell r="AA324" t="str">
            <v>E</v>
          </cell>
          <cell r="AB324" t="str">
            <v>Mécanique</v>
          </cell>
          <cell r="AC324" t="str">
            <v>EMC</v>
          </cell>
          <cell r="AD324" t="str">
            <v>ST EM.4-40093</v>
          </cell>
          <cell r="AE324" t="str">
            <v xml:space="preserve">Caisse Confort </v>
          </cell>
          <cell r="AF324">
            <v>4</v>
          </cell>
          <cell r="AI324">
            <v>1</v>
          </cell>
          <cell r="AO324" t="str">
            <v>FP</v>
          </cell>
          <cell r="AP324" t="str">
            <v>FD</v>
          </cell>
          <cell r="CH324" t="e">
            <v>#N/A</v>
          </cell>
          <cell r="CI324" t="e">
            <v>#N/A</v>
          </cell>
          <cell r="CJ324" t="e">
            <v>#N/A</v>
          </cell>
        </row>
        <row r="325">
          <cell r="A325">
            <v>100447077</v>
          </cell>
          <cell r="B325" t="str">
            <v>Ligne_100.23_PPD</v>
          </cell>
          <cell r="C325" t="str">
            <v>100.23</v>
          </cell>
          <cell r="E325" t="str">
            <v>La note de calcul aux éléments finis des structures sous charge exceptionnelles et sous charges de service.</v>
          </cell>
          <cell r="G325" t="str">
            <v>Note de calcul du véhicule S : corrélation d'essais </v>
          </cell>
          <cell r="H325" t="str">
            <v/>
          </cell>
          <cell r="R325" t="str">
            <v>BT</v>
          </cell>
          <cell r="S325" t="str">
            <v>BT</v>
          </cell>
          <cell r="T325" t="str">
            <v>NA</v>
          </cell>
          <cell r="U325" t="str">
            <v>Bastien Leprete</v>
          </cell>
          <cell r="V325" t="str">
            <v>BOMBARDIER</v>
          </cell>
          <cell r="Z325" t="str">
            <v>RTS 193 JS2 EMC 07/09/2020</v>
          </cell>
          <cell r="AA325" t="str">
            <v>E</v>
          </cell>
          <cell r="AB325" t="str">
            <v>Mécanique</v>
          </cell>
          <cell r="AC325" t="str">
            <v>EMC</v>
          </cell>
          <cell r="AD325" t="str">
            <v>ST EM.4-40093</v>
          </cell>
          <cell r="AE325" t="str">
            <v xml:space="preserve">Caisse Confort </v>
          </cell>
          <cell r="AF325">
            <v>4</v>
          </cell>
          <cell r="AI325">
            <v>1</v>
          </cell>
          <cell r="AR325" t="str">
            <v>FD</v>
          </cell>
          <cell r="CH325" t="e">
            <v>#N/A</v>
          </cell>
          <cell r="CI325" t="e">
            <v>#N/A</v>
          </cell>
          <cell r="CJ325" t="e">
            <v>#N/A</v>
          </cell>
        </row>
        <row r="326">
          <cell r="B326" t="str">
            <v>Ligne_101_PPD</v>
          </cell>
          <cell r="C326">
            <v>101</v>
          </cell>
          <cell r="E326" t="str">
            <v>L'analyse modale des structures composant le roulement.</v>
          </cell>
          <cell r="G326" t="str">
            <v>inclus dans les 100.X</v>
          </cell>
          <cell r="R326" t="str">
            <v>NA</v>
          </cell>
          <cell r="S326" t="str">
            <v>BT</v>
          </cell>
          <cell r="T326" t="str">
            <v>NA</v>
          </cell>
          <cell r="Z326" t="str">
            <v>RTS 188 JS2 EMR 03/09/2020</v>
          </cell>
          <cell r="AA326" t="str">
            <v>E</v>
          </cell>
          <cell r="AB326" t="str">
            <v>Mécanique</v>
          </cell>
          <cell r="AC326" t="str">
            <v>EMR</v>
          </cell>
          <cell r="AD326" t="str">
            <v>ST EM.4-30021</v>
          </cell>
          <cell r="AE326" t="str">
            <v>Conception calcul et essais des structures du roulement MF19</v>
          </cell>
          <cell r="AF326">
            <v>4</v>
          </cell>
          <cell r="AI326" t="str">
            <v>RENVOI</v>
          </cell>
          <cell r="AN326" t="str">
            <v>FD</v>
          </cell>
          <cell r="CH326" t="e">
            <v>#N/A</v>
          </cell>
          <cell r="CI326" t="e">
            <v>#N/A</v>
          </cell>
          <cell r="CJ326" t="e">
            <v>#N/A</v>
          </cell>
        </row>
        <row r="327">
          <cell r="A327">
            <v>100444727</v>
          </cell>
          <cell r="B327" t="str">
            <v>Ligne_102_PPD</v>
          </cell>
          <cell r="C327">
            <v>102</v>
          </cell>
          <cell r="E327" t="str">
            <v>Le plan de validation (procédure d'homologation et essais de qualification) des équipements suivants :
- transmission
- pont
- suspensions primaires et secondaires</v>
          </cell>
          <cell r="F327" t="str">
            <v>A</v>
          </cell>
          <cell r="G327" t="str">
            <v>SUSPENSIONS PRIMAIRE ET SECONDAIRE TRANSMISSION PONT</v>
          </cell>
          <cell r="M327" t="str">
            <v>F-01_ROULEMENT</v>
          </cell>
          <cell r="N327" t="str">
            <v>DJD</v>
          </cell>
          <cell r="O327" t="str">
            <v>PRT_PROG. ESSAIS DE TYPE</v>
          </cell>
          <cell r="Q327">
            <v>0</v>
          </cell>
          <cell r="R327" t="str">
            <v>BT</v>
          </cell>
          <cell r="S327" t="str">
            <v>BT</v>
          </cell>
          <cell r="T327" t="str">
            <v>EX</v>
          </cell>
          <cell r="U327" t="str">
            <v>Christophe Mas</v>
          </cell>
          <cell r="V327" t="str">
            <v>BOMBARDIER</v>
          </cell>
          <cell r="W327" t="str">
            <v>N</v>
          </cell>
          <cell r="X327" t="str">
            <v>Document contractuel FP</v>
          </cell>
          <cell r="Z327" t="str">
            <v>RTS 188 JS2 EMR 03/09/2020</v>
          </cell>
          <cell r="AA327" t="str">
            <v>E</v>
          </cell>
          <cell r="AB327" t="str">
            <v>Mécanique</v>
          </cell>
          <cell r="AC327" t="str">
            <v>EMR</v>
          </cell>
          <cell r="AD327" t="str">
            <v>ST EM.4-70024</v>
          </cell>
          <cell r="AE327" t="str">
            <v>Roulement MF19</v>
          </cell>
          <cell r="AF327">
            <v>8</v>
          </cell>
          <cell r="AI327">
            <v>1</v>
          </cell>
          <cell r="AL327" t="str">
            <v>FP</v>
          </cell>
          <cell r="AO327" t="str">
            <v>FD</v>
          </cell>
          <cell r="AU327" t="str">
            <v>Maj</v>
          </cell>
          <cell r="BJ327">
            <v>44022</v>
          </cell>
          <cell r="CH327" t="str">
            <v>MF19_BORD_BT_00012</v>
          </cell>
          <cell r="CI327" t="str">
            <v>AR</v>
          </cell>
          <cell r="CJ327" t="str">
            <v>FP</v>
          </cell>
        </row>
        <row r="328">
          <cell r="B328" t="str">
            <v>Ligne_103_PPD</v>
          </cell>
          <cell r="C328">
            <v>103</v>
          </cell>
          <cell r="E328" t="str">
            <v>La note de calcul aux éléments finis et l'analyse modale des structures composants le frotteur positif et brosse à neige</v>
          </cell>
          <cell r="G328" t="str">
            <v/>
          </cell>
          <cell r="R328" t="str">
            <v>BT</v>
          </cell>
          <cell r="S328" t="str">
            <v>BT</v>
          </cell>
          <cell r="T328" t="str">
            <v>EX</v>
          </cell>
          <cell r="V328" t="str">
            <v>BOMBARDIER</v>
          </cell>
          <cell r="Z328" t="str">
            <v>RTS 188 JS2 EMR 03/09/2020</v>
          </cell>
          <cell r="AA328" t="str">
            <v>E</v>
          </cell>
          <cell r="AB328" t="str">
            <v>Mécanique</v>
          </cell>
          <cell r="AC328" t="str">
            <v>EMR</v>
          </cell>
          <cell r="AD328" t="str">
            <v>ST EM.4-70022</v>
          </cell>
          <cell r="AE328" t="str">
            <v>Capteurs de courant pour matériel roulant sur fer</v>
          </cell>
          <cell r="AF328" t="str">
            <v>6.2</v>
          </cell>
          <cell r="AI328">
            <v>1</v>
          </cell>
          <cell r="AO328" t="str">
            <v>FD</v>
          </cell>
          <cell r="CH328" t="e">
            <v>#N/A</v>
          </cell>
          <cell r="CI328" t="e">
            <v>#N/A</v>
          </cell>
          <cell r="CJ328" t="e">
            <v>#N/A</v>
          </cell>
        </row>
        <row r="329">
          <cell r="A329">
            <v>100444795</v>
          </cell>
          <cell r="B329" t="str">
            <v>Ligne_104_PPD</v>
          </cell>
          <cell r="C329">
            <v>104</v>
          </cell>
          <cell r="E329" t="str">
            <v>Le plan de validation (procédure d'homologation et essais de qualification) des frotteurs positifs.</v>
          </cell>
          <cell r="F329" t="str">
            <v>A</v>
          </cell>
          <cell r="G329" t="str">
            <v>FROTTEUR DE 3 EME RAIL</v>
          </cell>
          <cell r="M329" t="str">
            <v>F-01_ROULEMENT</v>
          </cell>
          <cell r="N329" t="str">
            <v>DJD</v>
          </cell>
          <cell r="O329" t="str">
            <v>PRT_PROG. ESSAIS DE TYPE</v>
          </cell>
          <cell r="Q329">
            <v>0</v>
          </cell>
          <cell r="R329" t="str">
            <v>BT</v>
          </cell>
          <cell r="S329" t="str">
            <v>BT</v>
          </cell>
          <cell r="T329" t="str">
            <v>EX</v>
          </cell>
          <cell r="U329" t="str">
            <v>Christophe Mas</v>
          </cell>
          <cell r="V329" t="str">
            <v>BOMBARDIER</v>
          </cell>
          <cell r="W329" t="str">
            <v>N</v>
          </cell>
          <cell r="X329" t="str">
            <v>Document contractuel FP</v>
          </cell>
          <cell r="Z329" t="str">
            <v>RTS 188 JS2 EMR 03/09/2020</v>
          </cell>
          <cell r="AA329" t="str">
            <v>E</v>
          </cell>
          <cell r="AB329" t="str">
            <v>Mécanique</v>
          </cell>
          <cell r="AC329" t="str">
            <v>EMR</v>
          </cell>
          <cell r="AD329" t="str">
            <v>ST EM.4-70022</v>
          </cell>
          <cell r="AE329" t="str">
            <v>Capteurs de courant pour matériel roulant sur fer</v>
          </cell>
          <cell r="AF329" t="str">
            <v>7, 8; 9</v>
          </cell>
          <cell r="AI329">
            <v>1</v>
          </cell>
          <cell r="AL329" t="str">
            <v>FP</v>
          </cell>
          <cell r="AO329" t="str">
            <v>FD</v>
          </cell>
          <cell r="AU329" t="str">
            <v>Maj</v>
          </cell>
          <cell r="BJ329">
            <v>44022</v>
          </cell>
          <cell r="CH329" t="str">
            <v>MF19_BORD_BT_00010</v>
          </cell>
          <cell r="CI329" t="str">
            <v>AR</v>
          </cell>
          <cell r="CJ329" t="str">
            <v>FP</v>
          </cell>
        </row>
        <row r="330">
          <cell r="A330">
            <v>100445186</v>
          </cell>
          <cell r="B330" t="str">
            <v>Ligne_105_PPD</v>
          </cell>
          <cell r="C330">
            <v>105</v>
          </cell>
          <cell r="E330" t="str">
            <v>Descriptif de l'environnement vibratoire retenu pour la conception.</v>
          </cell>
          <cell r="F330" t="str">
            <v>A</v>
          </cell>
          <cell r="G330" t="str">
            <v>DESCRIPTIF ENVIRONNEMENT VIBRATOIRE RETENU PR LA CONCEPTION</v>
          </cell>
          <cell r="M330" t="str">
            <v>F-01_ROULEMENT</v>
          </cell>
          <cell r="N330" t="str">
            <v>DS</v>
          </cell>
          <cell r="O330" t="str">
            <v>SP_SPECIF</v>
          </cell>
          <cell r="Q330">
            <v>0</v>
          </cell>
          <cell r="R330" t="str">
            <v>BT</v>
          </cell>
          <cell r="S330" t="str">
            <v>BT</v>
          </cell>
          <cell r="T330" t="str">
            <v>EX</v>
          </cell>
          <cell r="U330" t="str">
            <v>César Roudière</v>
          </cell>
          <cell r="V330" t="str">
            <v>BOMBARDIER</v>
          </cell>
          <cell r="W330" t="str">
            <v>N</v>
          </cell>
          <cell r="X330" t="str">
            <v>Document contractuel FP</v>
          </cell>
          <cell r="Z330" t="str">
            <v>RTS 188 JS2 EMR 03/09/2020</v>
          </cell>
          <cell r="AA330" t="str">
            <v>E</v>
          </cell>
          <cell r="AB330" t="str">
            <v>Mécanique</v>
          </cell>
          <cell r="AC330" t="str">
            <v>EMR</v>
          </cell>
          <cell r="AD330" t="str">
            <v>ST EM.4-70024</v>
          </cell>
          <cell r="AE330" t="str">
            <v>Roulement MF19</v>
          </cell>
          <cell r="AF330">
            <v>7</v>
          </cell>
          <cell r="AI330">
            <v>1</v>
          </cell>
          <cell r="AL330" t="str">
            <v>FP</v>
          </cell>
          <cell r="AM330" t="str">
            <v>FP</v>
          </cell>
          <cell r="AO330" t="str">
            <v>FD</v>
          </cell>
          <cell r="BJ330">
            <v>44022</v>
          </cell>
          <cell r="BK330">
            <v>44162</v>
          </cell>
          <cell r="CH330" t="str">
            <v>MF19_BORD_BT_00012</v>
          </cell>
          <cell r="CI330" t="str">
            <v>AR</v>
          </cell>
          <cell r="CJ330" t="str">
            <v>FP</v>
          </cell>
        </row>
        <row r="331">
          <cell r="B331" t="str">
            <v>Ligne_106_PPD</v>
          </cell>
          <cell r="C331">
            <v>106</v>
          </cell>
          <cell r="E331" t="str">
            <v>Confirmation des niveaux acoustiques et vibratoires.</v>
          </cell>
          <cell r="G331" t="str">
            <v>renvoi à l'item 37.2</v>
          </cell>
          <cell r="R331" t="str">
            <v>NA</v>
          </cell>
          <cell r="S331" t="str">
            <v>BT</v>
          </cell>
          <cell r="T331" t="str">
            <v>NA</v>
          </cell>
          <cell r="U331" t="str">
            <v>Sébastien lottiaux</v>
          </cell>
          <cell r="Z331" t="str">
            <v>RTS 188 JS2 EMR 03/09/2020</v>
          </cell>
          <cell r="AA331" t="str">
            <v>E</v>
          </cell>
          <cell r="AB331" t="str">
            <v>Mécanique</v>
          </cell>
          <cell r="AC331" t="str">
            <v>EMR</v>
          </cell>
          <cell r="AD331" t="str">
            <v>ST EM.4-70048</v>
          </cell>
          <cell r="AE331" t="str">
            <v>Ambiance acoustique et vibratoire MF19</v>
          </cell>
          <cell r="AF331" t="str">
            <v>3; Annexe B</v>
          </cell>
          <cell r="AI331" t="str">
            <v>RENVOI</v>
          </cell>
          <cell r="AL331" t="str">
            <v>FD</v>
          </cell>
          <cell r="AN331" t="str">
            <v>Maj</v>
          </cell>
          <cell r="AP331" t="str">
            <v>Maj</v>
          </cell>
          <cell r="CH331" t="e">
            <v>#N/A</v>
          </cell>
          <cell r="CI331" t="e">
            <v>#N/A</v>
          </cell>
          <cell r="CJ331" t="e">
            <v>#N/A</v>
          </cell>
        </row>
        <row r="332">
          <cell r="B332" t="str">
            <v>Ligne_107_PPD</v>
          </cell>
          <cell r="C332">
            <v>107</v>
          </cell>
          <cell r="E332" t="str">
            <v>Note de calcul du frein. (DOUBLON AVEC ITEM 19)</v>
          </cell>
          <cell r="G332" t="str">
            <v>renvoi vers item 19</v>
          </cell>
          <cell r="R332" t="str">
            <v>NA</v>
          </cell>
          <cell r="S332" t="str">
            <v>BT</v>
          </cell>
          <cell r="T332" t="str">
            <v>NA</v>
          </cell>
          <cell r="Z332" t="str">
            <v>RTS 159 JS2 ETS 02/07/2020
RTS 186 SME JS2 01/09/2020
RTS 188 JS2 EMR 03/09/2020</v>
          </cell>
          <cell r="AA332" t="str">
            <v>E</v>
          </cell>
          <cell r="AB332" t="str">
            <v>Mécanique</v>
          </cell>
          <cell r="AC332" t="str">
            <v>EMR/SME/ETS</v>
          </cell>
          <cell r="AD332" t="str">
            <v>ST EM.4-70050
SF EZ.4-40083</v>
          </cell>
          <cell r="AE332" t="str">
            <v>Note de calcul et essais de validation du frein du MF19
Motricité</v>
          </cell>
          <cell r="AF332">
            <v>3</v>
          </cell>
          <cell r="AI332" t="str">
            <v>RENVOI</v>
          </cell>
          <cell r="AN332" t="str">
            <v>FD</v>
          </cell>
          <cell r="BA332" t="str">
            <v>Maj</v>
          </cell>
          <cell r="CH332" t="e">
            <v>#N/A</v>
          </cell>
          <cell r="CI332" t="e">
            <v>#N/A</v>
          </cell>
          <cell r="CJ332" t="e">
            <v>#N/A</v>
          </cell>
        </row>
        <row r="333">
          <cell r="A333">
            <v>100435138</v>
          </cell>
          <cell r="B333" t="str">
            <v>Ligne_108_PPD</v>
          </cell>
          <cell r="C333">
            <v>108</v>
          </cell>
          <cell r="E333" t="str">
            <v>Dossier d'éco-conception (DEC)</v>
          </cell>
          <cell r="F333" t="str">
            <v>B</v>
          </cell>
          <cell r="G333" t="str">
            <v>DOSSIER D ECOCONCEPTION</v>
          </cell>
          <cell r="M333" t="str">
            <v>SYS-17_ENVIRONNEMENT-ECODESIGN</v>
          </cell>
          <cell r="N333" t="str">
            <v>DS</v>
          </cell>
          <cell r="O333" t="str">
            <v>SP_SPECIF</v>
          </cell>
          <cell r="Q333">
            <v>0</v>
          </cell>
          <cell r="R333" t="str">
            <v>BT</v>
          </cell>
          <cell r="S333" t="str">
            <v>BT</v>
          </cell>
          <cell r="T333" t="str">
            <v>AT</v>
          </cell>
          <cell r="U333" t="str">
            <v>Antoine Biotteau</v>
          </cell>
          <cell r="V333" t="str">
            <v>BOMBARDIER</v>
          </cell>
          <cell r="W333" t="str">
            <v>N</v>
          </cell>
          <cell r="X333" t="str">
            <v>Document contractuel FP</v>
          </cell>
          <cell r="Z333" t="str">
            <v>RTS 193 JS2 EMC 07/09/2020</v>
          </cell>
          <cell r="AA333" t="str">
            <v>E</v>
          </cell>
          <cell r="AB333" t="str">
            <v>Projet</v>
          </cell>
          <cell r="AC333" t="str">
            <v>EMC</v>
          </cell>
          <cell r="AD333" t="str">
            <v>SM ET.4-10639</v>
          </cell>
          <cell r="AE333" t="str">
            <v>Spécification de management MF19</v>
          </cell>
          <cell r="AF333">
            <v>12</v>
          </cell>
          <cell r="AI333">
            <v>1</v>
          </cell>
          <cell r="AJ333" t="str">
            <v>FP</v>
          </cell>
          <cell r="AN333" t="str">
            <v xml:space="preserve">FP </v>
          </cell>
          <cell r="AR333" t="str">
            <v>FP</v>
          </cell>
          <cell r="AT333" t="str">
            <v>FD</v>
          </cell>
          <cell r="AV333" t="str">
            <v>Maj</v>
          </cell>
          <cell r="CG333" t="str">
            <v>05/10/2020 : changement du domaine RATP pour import dans la base arbo, avant : M-12_ENVIRONNEMENT-ECODESIGN</v>
          </cell>
          <cell r="CH333" t="str">
            <v>MF19_BORD_BT_00002</v>
          </cell>
          <cell r="CI333" t="str">
            <v>AR</v>
          </cell>
          <cell r="CJ333" t="str">
            <v>FP</v>
          </cell>
        </row>
        <row r="334">
          <cell r="B334" t="str">
            <v>Ligne_109_PPD</v>
          </cell>
          <cell r="C334">
            <v>109</v>
          </cell>
          <cell r="E334" t="str">
            <v>Note de calcul relative à l’augmentation de la distance d’arrêt entraînée par l’ouverture retardée du disjoncteur de l’ETF</v>
          </cell>
          <cell r="G334" t="str">
            <v/>
          </cell>
          <cell r="S334" t="str">
            <v>AT</v>
          </cell>
          <cell r="T334" t="str">
            <v>BT</v>
          </cell>
          <cell r="U334" t="str">
            <v>F.HOUZE</v>
          </cell>
          <cell r="AA334" t="str">
            <v>E</v>
          </cell>
          <cell r="AB334" t="str">
            <v>Electrique</v>
          </cell>
          <cell r="AC334" t="str">
            <v>SME/ETS</v>
          </cell>
          <cell r="AD334" t="str">
            <v>SF EZ.4-40083</v>
          </cell>
          <cell r="AE334" t="str">
            <v>Motricité</v>
          </cell>
          <cell r="AF334" t="str">
            <v>2.5.1</v>
          </cell>
          <cell r="AI334">
            <v>1</v>
          </cell>
          <cell r="AP334" t="str">
            <v>FD</v>
          </cell>
          <cell r="CH334" t="e">
            <v>#N/A</v>
          </cell>
          <cell r="CI334" t="e">
            <v>#N/A</v>
          </cell>
          <cell r="CJ334" t="e">
            <v>#N/A</v>
          </cell>
        </row>
        <row r="335">
          <cell r="B335" t="str">
            <v>DECOMPOSITION</v>
          </cell>
          <cell r="C335">
            <v>110</v>
          </cell>
          <cell r="E335" t="str">
            <v>Spécification de contraintes et de définition des composants de puissance (semi-conducteurs, capteurs, résistances, condensateurs, inductances...). Les paramètres éléctrotechniques caractérisant le fonctionnement  de la traction et du frein électrodynamique, en particulier les cycles thermiques subis par les composants de puissance (évolution des températures de jonction des semi-conducteurs de puissance de l'équipement traction-freinage).</v>
          </cell>
          <cell r="G335" t="str">
            <v>LIVRABLE</v>
          </cell>
          <cell r="R335" t="str">
            <v>NA</v>
          </cell>
          <cell r="S335" t="str">
            <v>AT</v>
          </cell>
          <cell r="T335" t="str">
            <v>NA</v>
          </cell>
          <cell r="U335" t="str">
            <v>G.BITRIA</v>
          </cell>
          <cell r="Z335" t="str">
            <v>RTS 186 JS2 SME 01/09/2020</v>
          </cell>
          <cell r="AA335" t="str">
            <v>E</v>
          </cell>
          <cell r="AB335" t="str">
            <v>Electrique</v>
          </cell>
          <cell r="AC335" t="str">
            <v>SME</v>
          </cell>
          <cell r="AD335" t="str">
            <v>SF EZ.4-40083</v>
          </cell>
          <cell r="AE335" t="str">
            <v>Motricité</v>
          </cell>
          <cell r="AF335" t="str">
            <v>2.5.3</v>
          </cell>
          <cell r="AI335" t="str">
            <v>LIVRABLE</v>
          </cell>
          <cell r="AN335" t="str">
            <v>FD</v>
          </cell>
          <cell r="CH335" t="e">
            <v>#N/A</v>
          </cell>
          <cell r="CI335" t="e">
            <v>#N/A</v>
          </cell>
          <cell r="CJ335" t="e">
            <v>#N/A</v>
          </cell>
        </row>
        <row r="336">
          <cell r="B336" t="str">
            <v>Ligne_110.1_PPD</v>
          </cell>
          <cell r="C336" t="str">
            <v>110.1</v>
          </cell>
          <cell r="E336" t="str">
            <v>Spécification de contraintes et de définition des composants de puissance (semi-conducteurs, capteurs, résistances, condensateurs, inductances...). Les paramètres éléctrotechniques caractérisant le fonctionnement  de la traction et du frein électrodynamique, en particulier les cycles thermiques subis par les composants de puissance (évolution des températures de jonction des semi-conducteurs de puissance de l'équipement traction-freinage).</v>
          </cell>
          <cell r="G336" t="str">
            <v>FICHE TECHNIQUE DE COMPOSANT-KAHT</v>
          </cell>
          <cell r="R336" t="str">
            <v>TRT</v>
          </cell>
          <cell r="S336" t="str">
            <v>AT</v>
          </cell>
          <cell r="T336" t="str">
            <v>EX</v>
          </cell>
          <cell r="U336" t="str">
            <v>G.BITRIA</v>
          </cell>
          <cell r="Z336" t="str">
            <v>RTS 186 JS2 SME 01/09/2020</v>
          </cell>
          <cell r="AA336" t="str">
            <v>E</v>
          </cell>
          <cell r="AB336" t="str">
            <v>Electrique</v>
          </cell>
          <cell r="AC336" t="str">
            <v>SME</v>
          </cell>
          <cell r="AD336" t="str">
            <v>SF EZ.4-40083</v>
          </cell>
          <cell r="AE336" t="str">
            <v>Motricité</v>
          </cell>
          <cell r="AF336" t="str">
            <v>2.5.3</v>
          </cell>
          <cell r="AI336">
            <v>1</v>
          </cell>
          <cell r="AN336" t="str">
            <v>FD</v>
          </cell>
          <cell r="CH336" t="e">
            <v>#N/A</v>
          </cell>
          <cell r="CI336" t="e">
            <v>#N/A</v>
          </cell>
          <cell r="CJ336" t="e">
            <v>#N/A</v>
          </cell>
        </row>
        <row r="337">
          <cell r="B337" t="str">
            <v>Ligne_110.2_PPD</v>
          </cell>
          <cell r="C337" t="str">
            <v>110.2</v>
          </cell>
          <cell r="E337" t="str">
            <v>Spécification de contraintes et de définition des composants de puissance (semi-conducteurs, capteurs, résistances, condensateurs, inductances...). Les paramètres éléctrotechniques caractérisant le fonctionnement  de la traction et du frein électrodynamique, en particulier les cycles thermiques subis par les composants de puissance (évolution des températures de jonction des semi-conducteurs de puissance de l'équipement traction-freinage).</v>
          </cell>
          <cell r="G337" t="str">
            <v>FICHE TECHNIQUE DE COMPOSANT-contacteur de précharge</v>
          </cell>
          <cell r="R337" t="str">
            <v>TRT</v>
          </cell>
          <cell r="S337" t="str">
            <v>AT</v>
          </cell>
          <cell r="T337" t="str">
            <v>EX</v>
          </cell>
          <cell r="U337" t="str">
            <v>G.BITRIA</v>
          </cell>
          <cell r="Z337" t="str">
            <v>RTS 186 JS2 SME 01/09/2020</v>
          </cell>
          <cell r="AA337" t="str">
            <v>E</v>
          </cell>
          <cell r="AB337" t="str">
            <v>Electrique</v>
          </cell>
          <cell r="AC337" t="str">
            <v>SME</v>
          </cell>
          <cell r="AD337" t="str">
            <v>SF EZ.4-40083</v>
          </cell>
          <cell r="AE337" t="str">
            <v>Motricité</v>
          </cell>
          <cell r="AF337" t="str">
            <v>2.5.3</v>
          </cell>
          <cell r="AI337">
            <v>1</v>
          </cell>
          <cell r="AN337" t="str">
            <v>FD</v>
          </cell>
          <cell r="CH337" t="e">
            <v>#N/A</v>
          </cell>
          <cell r="CI337" t="e">
            <v>#N/A</v>
          </cell>
          <cell r="CJ337" t="e">
            <v>#N/A</v>
          </cell>
        </row>
        <row r="338">
          <cell r="B338" t="str">
            <v>Ligne_110.3_PPD</v>
          </cell>
          <cell r="C338" t="str">
            <v>110.3</v>
          </cell>
          <cell r="E338" t="str">
            <v>Spécification de contraintes et de définition des composants de puissance (semi-conducteurs, capteurs, résistances, condensateurs, inductances...). Les paramètres éléctrotechniques caractérisant le fonctionnement  de la traction et du frein électrodynamique, en particulier les cycles thermiques subis par les composants de puissance (évolution des températures de jonction des semi-conducteurs de puissance de l'équipement traction-freinage).</v>
          </cell>
          <cell r="G338" t="str">
            <v>FICHE TECHNIQUE DE COMPOSANT-capteur de tension</v>
          </cell>
          <cell r="R338" t="str">
            <v>TRT</v>
          </cell>
          <cell r="S338" t="str">
            <v>AT</v>
          </cell>
          <cell r="T338" t="str">
            <v>EX</v>
          </cell>
          <cell r="U338" t="str">
            <v>G.BITRIA</v>
          </cell>
          <cell r="Z338" t="str">
            <v>RTS 186 JS2 SME 01/09/2020</v>
          </cell>
          <cell r="AA338" t="str">
            <v>E</v>
          </cell>
          <cell r="AB338" t="str">
            <v>Electrique</v>
          </cell>
          <cell r="AC338" t="str">
            <v>SME</v>
          </cell>
          <cell r="AD338" t="str">
            <v>SF EZ.4-40083</v>
          </cell>
          <cell r="AE338" t="str">
            <v>Motricité</v>
          </cell>
          <cell r="AF338" t="str">
            <v>2.5.3</v>
          </cell>
          <cell r="AI338">
            <v>1</v>
          </cell>
          <cell r="AN338" t="str">
            <v>FD</v>
          </cell>
          <cell r="CH338" t="e">
            <v>#N/A</v>
          </cell>
          <cell r="CI338" t="e">
            <v>#N/A</v>
          </cell>
          <cell r="CJ338" t="e">
            <v>#N/A</v>
          </cell>
        </row>
        <row r="339">
          <cell r="B339" t="str">
            <v>Ligne_110.4_PPD</v>
          </cell>
          <cell r="C339" t="str">
            <v>110.4</v>
          </cell>
          <cell r="E339" t="str">
            <v>Spécification de contraintes et de définition des composants de puissance (semi-conducteurs, capteurs, résistances, condensateurs, inductances...). Les paramètres éléctrotechniques caractérisant le fonctionnement  de la traction et du frein électrodynamique, en particulier les cycles thermiques subis par les composants de puissance (évolution des températures de jonction des semi-conducteurs de puissance de l'équipement traction-freinage).</v>
          </cell>
          <cell r="G339" t="str">
            <v>FICHE TECHNIQUE DE COMPOSANT-inductance de ligne</v>
          </cell>
          <cell r="R339" t="str">
            <v>TRT</v>
          </cell>
          <cell r="S339" t="str">
            <v>AT</v>
          </cell>
          <cell r="T339" t="str">
            <v>EX</v>
          </cell>
          <cell r="U339" t="str">
            <v>G.BITRIA</v>
          </cell>
          <cell r="Z339" t="str">
            <v>RTS 186 JS2 SME 01/09/2020</v>
          </cell>
          <cell r="AA339" t="str">
            <v>E</v>
          </cell>
          <cell r="AB339" t="str">
            <v>Electrique</v>
          </cell>
          <cell r="AC339" t="str">
            <v>SME</v>
          </cell>
          <cell r="AD339" t="str">
            <v>SF EZ.4-40083</v>
          </cell>
          <cell r="AE339" t="str">
            <v>Motricité</v>
          </cell>
          <cell r="AF339" t="str">
            <v>2.5.3</v>
          </cell>
          <cell r="AI339">
            <v>1</v>
          </cell>
          <cell r="AN339" t="str">
            <v>FP</v>
          </cell>
          <cell r="AP339" t="str">
            <v>FD</v>
          </cell>
          <cell r="CH339" t="e">
            <v>#N/A</v>
          </cell>
          <cell r="CI339" t="e">
            <v>#N/A</v>
          </cell>
          <cell r="CJ339" t="e">
            <v>#N/A</v>
          </cell>
        </row>
        <row r="340">
          <cell r="B340" t="str">
            <v>Ligne_110.5_PPD</v>
          </cell>
          <cell r="C340" t="str">
            <v>110.5</v>
          </cell>
          <cell r="E340" t="str">
            <v>Spécification de contraintes et de définition des composants de puissance (semi-conducteurs, capteurs, résistances, condensateurs, inductances...). Les paramètres éléctrotechniques caractérisant le fonctionnement  de la traction et du frein électrodynamique, en particulier les cycles thermiques subis par les composants de puissance (évolution des températures de jonction des semi-conducteurs de puissance de l'équipement traction-freinage).</v>
          </cell>
          <cell r="G340" t="str">
            <v>FICHE TECHNIQUE DE COMPOSANT-rhéostat</v>
          </cell>
          <cell r="R340" t="str">
            <v>TRT</v>
          </cell>
          <cell r="S340" t="str">
            <v>AT</v>
          </cell>
          <cell r="T340" t="str">
            <v>EX</v>
          </cell>
          <cell r="U340" t="str">
            <v>G.BITRIA</v>
          </cell>
          <cell r="Z340" t="str">
            <v>RTS 186 JS2 SME 01/09/2020</v>
          </cell>
          <cell r="AA340" t="str">
            <v>E</v>
          </cell>
          <cell r="AB340" t="str">
            <v>Electrique</v>
          </cell>
          <cell r="AC340" t="str">
            <v>SME</v>
          </cell>
          <cell r="AD340" t="str">
            <v>SF EZ.4-40083</v>
          </cell>
          <cell r="AE340" t="str">
            <v>Motricité</v>
          </cell>
          <cell r="AF340" t="str">
            <v>2.5.3</v>
          </cell>
          <cell r="AI340">
            <v>1</v>
          </cell>
          <cell r="AN340" t="str">
            <v>FD</v>
          </cell>
          <cell r="CH340" t="e">
            <v>#N/A</v>
          </cell>
          <cell r="CI340" t="e">
            <v>#N/A</v>
          </cell>
          <cell r="CJ340" t="e">
            <v>#N/A</v>
          </cell>
        </row>
        <row r="341">
          <cell r="B341" t="str">
            <v>Ligne_110.6_PPD</v>
          </cell>
          <cell r="C341" t="str">
            <v>110.6</v>
          </cell>
          <cell r="E341" t="str">
            <v>Spécification de contraintes et de définition des composants de puissance (semi-conducteurs, capteurs, résistances, condensateurs, inductances...). Les paramètres éléctrotechniques caractérisant le fonctionnement  de la traction et du frein électrodynamique, en particulier les cycles thermiques subis par les composants de puissance (évolution des températures de jonction des semi-conducteurs de puissance de l'équipement traction-freinage).</v>
          </cell>
          <cell r="G341" t="str">
            <v>FICHE TECHNIQUE DE COMPOSANT-condensateur</v>
          </cell>
          <cell r="R341" t="str">
            <v>TRT</v>
          </cell>
          <cell r="S341" t="str">
            <v>AT</v>
          </cell>
          <cell r="T341" t="str">
            <v>EX</v>
          </cell>
          <cell r="U341" t="str">
            <v>G.BITRIA</v>
          </cell>
          <cell r="Z341" t="str">
            <v>RTS 186 JS2 SME 01/09/2020</v>
          </cell>
          <cell r="AA341" t="str">
            <v>E</v>
          </cell>
          <cell r="AB341" t="str">
            <v>Electrique</v>
          </cell>
          <cell r="AC341" t="str">
            <v>SME</v>
          </cell>
          <cell r="AD341" t="str">
            <v>SF EZ.4-40083</v>
          </cell>
          <cell r="AE341" t="str">
            <v>Motricité</v>
          </cell>
          <cell r="AF341" t="str">
            <v>2.5.3</v>
          </cell>
          <cell r="AI341">
            <v>1</v>
          </cell>
          <cell r="AN341" t="str">
            <v>FD</v>
          </cell>
          <cell r="CH341" t="e">
            <v>#N/A</v>
          </cell>
          <cell r="CI341" t="e">
            <v>#N/A</v>
          </cell>
          <cell r="CJ341" t="e">
            <v>#N/A</v>
          </cell>
        </row>
        <row r="342">
          <cell r="B342" t="str">
            <v>Ligne_110.7_PPD</v>
          </cell>
          <cell r="C342" t="str">
            <v>110.7</v>
          </cell>
          <cell r="E342" t="str">
            <v>Spécification de contraintes et de définition des composants de puissance (semi-conducteurs, capteurs, résistances, condensateurs, inductances...). Les paramètres éléctrotechniques caractérisant le fonctionnement  de la traction et du frein électrodynamique, en particulier les cycles thermiques subis par les composants de puissance (évolution des températures de jonction des semi-conducteurs de puissance de l'équipement traction-freinage).</v>
          </cell>
          <cell r="G342" t="str">
            <v>FICHE TECHNIQUE DE COMPOSANT-capteur de courant phase moteur</v>
          </cell>
          <cell r="R342" t="str">
            <v>TRT</v>
          </cell>
          <cell r="S342" t="str">
            <v>AT</v>
          </cell>
          <cell r="T342" t="str">
            <v>EX</v>
          </cell>
          <cell r="U342" t="str">
            <v>G.BITRIA</v>
          </cell>
          <cell r="Z342" t="str">
            <v>RTS 186 JS2 SME 01/09/2020</v>
          </cell>
          <cell r="AA342" t="str">
            <v>E</v>
          </cell>
          <cell r="AB342" t="str">
            <v>Electrique</v>
          </cell>
          <cell r="AC342" t="str">
            <v>SME</v>
          </cell>
          <cell r="AD342" t="str">
            <v>SF EZ.4-40083</v>
          </cell>
          <cell r="AE342" t="str">
            <v>Motricité</v>
          </cell>
          <cell r="AF342" t="str">
            <v>2.5.3</v>
          </cell>
          <cell r="AI342">
            <v>1</v>
          </cell>
          <cell r="AN342" t="str">
            <v>FD</v>
          </cell>
          <cell r="CH342" t="e">
            <v>#N/A</v>
          </cell>
          <cell r="CI342" t="e">
            <v>#N/A</v>
          </cell>
          <cell r="CJ342" t="e">
            <v>#N/A</v>
          </cell>
        </row>
        <row r="343">
          <cell r="B343" t="str">
            <v>Ligne_110.8_PPD</v>
          </cell>
          <cell r="C343" t="str">
            <v>110.8</v>
          </cell>
          <cell r="E343" t="str">
            <v>Spécification de contraintes et de définition des composants de puissance (semi-conducteurs, capteurs, résistances, condensateurs, inductances...). Les paramètres éléctrotechniques caractérisant le fonctionnement  de la traction et du frein électrodynamique, en particulier les cycles thermiques subis par les composants de puissance (évolution des températures de jonction des semi-conducteurs de puissance de l'équipement traction-freinage).</v>
          </cell>
          <cell r="G343" t="str">
            <v>FICHE TECHNIQUE DE COMPOSANT-capteur de courant entrée</v>
          </cell>
          <cell r="R343" t="str">
            <v>TRT</v>
          </cell>
          <cell r="S343" t="str">
            <v>AT</v>
          </cell>
          <cell r="T343" t="str">
            <v>EX</v>
          </cell>
          <cell r="U343" t="str">
            <v>G.BITRIA</v>
          </cell>
          <cell r="Z343" t="str">
            <v>RTS 186 JS2 SME 01/09/2020</v>
          </cell>
          <cell r="AA343" t="str">
            <v>E</v>
          </cell>
          <cell r="AB343" t="str">
            <v>Electrique</v>
          </cell>
          <cell r="AC343" t="str">
            <v>SME</v>
          </cell>
          <cell r="AD343" t="str">
            <v>SF EZ.4-40083</v>
          </cell>
          <cell r="AE343" t="str">
            <v>Motricité</v>
          </cell>
          <cell r="AF343" t="str">
            <v>2.5.3</v>
          </cell>
          <cell r="AI343">
            <v>1</v>
          </cell>
          <cell r="AN343" t="str">
            <v>FD</v>
          </cell>
          <cell r="CH343" t="e">
            <v>#N/A</v>
          </cell>
          <cell r="CI343" t="e">
            <v>#N/A</v>
          </cell>
          <cell r="CJ343" t="e">
            <v>#N/A</v>
          </cell>
        </row>
        <row r="344">
          <cell r="B344" t="str">
            <v>Ligne_110.9_PPD</v>
          </cell>
          <cell r="C344" t="str">
            <v>110.9</v>
          </cell>
          <cell r="E344" t="str">
            <v>Spécification de contraintes et de définition des composants de puissance (semi-conducteurs, capteurs, résistances, condensateurs, inductances...). Les paramètres éléctrotechniques caractérisant le fonctionnement  de la traction et du frein électrodynamique, en particulier les cycles thermiques subis par les composants de puissance (évolution des températures de jonction des semi-conducteurs de puissance de l'équipement traction-freinage).</v>
          </cell>
          <cell r="G344" t="str">
            <v>FICHE TECHNIQUE DE COMPOSANT-IGBT</v>
          </cell>
          <cell r="R344" t="str">
            <v>TRT</v>
          </cell>
          <cell r="S344" t="str">
            <v>AT</v>
          </cell>
          <cell r="T344" t="str">
            <v>EX</v>
          </cell>
          <cell r="U344" t="str">
            <v>G.BITRIA</v>
          </cell>
          <cell r="Z344" t="str">
            <v>RTS 186 JS2 SME 01/09/2020</v>
          </cell>
          <cell r="AA344" t="str">
            <v>E</v>
          </cell>
          <cell r="AB344" t="str">
            <v>Electrique</v>
          </cell>
          <cell r="AC344" t="str">
            <v>SME</v>
          </cell>
          <cell r="AD344" t="str">
            <v>SF EZ.4-40083</v>
          </cell>
          <cell r="AE344" t="str">
            <v>Motricité</v>
          </cell>
          <cell r="AF344" t="str">
            <v>2.5.3</v>
          </cell>
          <cell r="AI344">
            <v>1</v>
          </cell>
          <cell r="AN344" t="str">
            <v>FD</v>
          </cell>
          <cell r="CH344" t="e">
            <v>#N/A</v>
          </cell>
          <cell r="CI344" t="e">
            <v>#N/A</v>
          </cell>
          <cell r="CJ344" t="e">
            <v>#N/A</v>
          </cell>
        </row>
        <row r="345">
          <cell r="B345" t="str">
            <v>Ligne_110.10_PPD</v>
          </cell>
          <cell r="C345" t="str">
            <v>110.10</v>
          </cell>
          <cell r="E345" t="str">
            <v>Spécification de contraintes et de définition des composants de puissance (semi-conducteurs, capteurs, résistances, condensateurs, inductances...). Les paramètres éléctrotechniques caractérisant le fonctionnement  de la traction et du frein électrodynamique, en particulier les cycles thermiques subis par les composants de puissance (évolution des températures de jonction des semi-conducteurs de puissance de l'équipement traction-freinage).</v>
          </cell>
          <cell r="G345" t="str">
            <v>FICHE TECHNIQUE DE COMPOSANT-DISJONCTEUR PRINCIPAL</v>
          </cell>
          <cell r="R345" t="str">
            <v>TRT</v>
          </cell>
          <cell r="S345" t="str">
            <v>AT</v>
          </cell>
          <cell r="T345" t="str">
            <v>EX</v>
          </cell>
          <cell r="U345" t="str">
            <v>G.BITRIA</v>
          </cell>
          <cell r="Z345" t="str">
            <v>RTS 186 JS2 SME 01/09/2020</v>
          </cell>
          <cell r="AA345" t="str">
            <v>E</v>
          </cell>
          <cell r="AB345" t="str">
            <v>Electrique</v>
          </cell>
          <cell r="AC345" t="str">
            <v>SME</v>
          </cell>
          <cell r="AD345" t="str">
            <v>SF EZ.4-40083</v>
          </cell>
          <cell r="AE345" t="str">
            <v>Motricité</v>
          </cell>
          <cell r="AF345" t="str">
            <v>2.5.3</v>
          </cell>
          <cell r="AI345">
            <v>1</v>
          </cell>
          <cell r="AN345" t="str">
            <v>FD</v>
          </cell>
          <cell r="CH345" t="e">
            <v>#N/A</v>
          </cell>
          <cell r="CI345" t="e">
            <v>#N/A</v>
          </cell>
          <cell r="CJ345" t="e">
            <v>#N/A</v>
          </cell>
        </row>
        <row r="346">
          <cell r="B346" t="str">
            <v>Ligne_110.11_PPD</v>
          </cell>
          <cell r="C346" t="str">
            <v>110.11</v>
          </cell>
          <cell r="E346" t="str">
            <v>Spécification de contraintes et de définition des composants de puissance (semi-conducteurs, capteurs, résistances, condensateurs, inductances...). Les paramètres éléctrotechniques caractérisant le fonctionnement  de la traction et du frein électrodynamique, en particulier les cycles thermiques subis par les composants de puissance (évolution des températures de jonction des semi-conducteurs de puissance de l'équipement traction-freinage).</v>
          </cell>
          <cell r="G346" t="str">
            <v>FICHE TECHNIQUE DE COMPOSANT-Mini-rhéostat</v>
          </cell>
          <cell r="R346" t="str">
            <v>TRT</v>
          </cell>
          <cell r="S346" t="str">
            <v>AT</v>
          </cell>
          <cell r="T346" t="str">
            <v>EX</v>
          </cell>
          <cell r="U346" t="str">
            <v>G.BITRIA</v>
          </cell>
          <cell r="Z346" t="str">
            <v>RTS 186 JS2 SME 01/09/2020</v>
          </cell>
          <cell r="AA346" t="str">
            <v>E</v>
          </cell>
          <cell r="AB346" t="str">
            <v>Electrique</v>
          </cell>
          <cell r="AC346" t="str">
            <v>SME</v>
          </cell>
          <cell r="AD346" t="str">
            <v>SF EZ.4-40083</v>
          </cell>
          <cell r="AE346" t="str">
            <v>Motricité</v>
          </cell>
          <cell r="AF346" t="str">
            <v>2.5.3</v>
          </cell>
          <cell r="AI346">
            <v>1</v>
          </cell>
          <cell r="AN346" t="str">
            <v>FD</v>
          </cell>
          <cell r="CH346" t="e">
            <v>#N/A</v>
          </cell>
          <cell r="CI346" t="e">
            <v>#N/A</v>
          </cell>
          <cell r="CJ346" t="e">
            <v>#N/A</v>
          </cell>
        </row>
        <row r="347">
          <cell r="B347" t="str">
            <v>Ligne_111_PPD</v>
          </cell>
          <cell r="C347">
            <v>111</v>
          </cell>
          <cell r="E347" t="str">
            <v>La fiche regroupant les caractéristiques principales du moteur de traction conformément au modèle présenté dans la spécification technique « Moteurs de traction » (ST-MRF N° EZ.4-5017) et plans de bobinage (en format A4) du moteur de traction,</v>
          </cell>
          <cell r="G347" t="str">
            <v>SCHEMA DE BOBINAGE</v>
          </cell>
          <cell r="R347" t="str">
            <v>ORN</v>
          </cell>
          <cell r="S347" t="str">
            <v>AT</v>
          </cell>
          <cell r="T347" t="str">
            <v>EX</v>
          </cell>
          <cell r="U347" t="str">
            <v>M.SOUGH</v>
          </cell>
          <cell r="V347" t="str">
            <v>ALSTOM</v>
          </cell>
          <cell r="Z347" t="str">
            <v>RTS 186 JS2 SME 01/09/2020</v>
          </cell>
          <cell r="AA347" t="str">
            <v>E</v>
          </cell>
          <cell r="AB347" t="str">
            <v>Electrique</v>
          </cell>
          <cell r="AC347" t="str">
            <v>SME</v>
          </cell>
          <cell r="AD347" t="str">
            <v>SF EZ.4-40083</v>
          </cell>
          <cell r="AE347" t="str">
            <v>Motricité</v>
          </cell>
          <cell r="AF347" t="str">
            <v>2.5.3</v>
          </cell>
          <cell r="AI347">
            <v>1</v>
          </cell>
          <cell r="AN347" t="str">
            <v>FD</v>
          </cell>
          <cell r="CH347" t="e">
            <v>#N/A</v>
          </cell>
          <cell r="CI347" t="e">
            <v>#N/A</v>
          </cell>
          <cell r="CJ347" t="e">
            <v>#N/A</v>
          </cell>
        </row>
        <row r="348">
          <cell r="B348" t="str">
            <v>Ligne_112_PPD</v>
          </cell>
          <cell r="C348">
            <v>112</v>
          </cell>
          <cell r="E348" t="str">
            <v>Les configurations de « secours » feront l’objet d’une simulation dynamique de la part du titulaire. De plus, ce dernier préconisera les conditions de freinage du convoi pour respecter la « performance minimale garantie » de freinage.</v>
          </cell>
          <cell r="G348" t="str">
            <v>Scenario de secours : clarifier l'attendu de ce document et le livrable attendu (Note de calcul thermique déjà prévue - possible doublon avec item 19.2) inclus dans les doc 19</v>
          </cell>
          <cell r="R348" t="str">
            <v>BT</v>
          </cell>
          <cell r="S348" t="str">
            <v>BT</v>
          </cell>
          <cell r="T348" t="str">
            <v>AT</v>
          </cell>
          <cell r="V348" t="str">
            <v>BOMBARDIER</v>
          </cell>
          <cell r="Z348" t="str">
            <v>RTS 186 JS2 SME 01/09/2020</v>
          </cell>
          <cell r="AA348" t="str">
            <v>E</v>
          </cell>
          <cell r="AB348" t="str">
            <v>Electrique</v>
          </cell>
          <cell r="AC348" t="str">
            <v>SME</v>
          </cell>
          <cell r="AD348" t="str">
            <v>SF EZ.4-40083</v>
          </cell>
          <cell r="AE348" t="str">
            <v>Motricité</v>
          </cell>
          <cell r="AF348" t="str">
            <v>2.2.2.2</v>
          </cell>
          <cell r="AI348">
            <v>1</v>
          </cell>
          <cell r="AN348" t="str">
            <v>FD</v>
          </cell>
          <cell r="CH348" t="e">
            <v>#N/A</v>
          </cell>
          <cell r="CI348" t="e">
            <v>#N/A</v>
          </cell>
          <cell r="CJ348" t="e">
            <v>#N/A</v>
          </cell>
        </row>
        <row r="349">
          <cell r="B349" t="str">
            <v>Ligne_113_PPD</v>
          </cell>
          <cell r="C349">
            <v>113</v>
          </cell>
          <cell r="E349" t="str">
            <v>Le modèle mathématique de la réponse de la chaîne de motricité, en traction et en freinage sous le format compatible ControlBuild</v>
          </cell>
          <cell r="G349" t="str">
            <v/>
          </cell>
          <cell r="R349" t="str">
            <v>VPF</v>
          </cell>
          <cell r="S349" t="str">
            <v>AT</v>
          </cell>
          <cell r="T349" t="str">
            <v>EX</v>
          </cell>
          <cell r="U349" t="str">
            <v>J.MALENGE</v>
          </cell>
          <cell r="Z349" t="str">
            <v>RTS 186 JS2 SME 01/09/2020</v>
          </cell>
          <cell r="AA349" t="str">
            <v>E</v>
          </cell>
          <cell r="AB349" t="str">
            <v>Electrique</v>
          </cell>
          <cell r="AC349" t="str">
            <v>SME</v>
          </cell>
          <cell r="AD349" t="str">
            <v>SF EZ.4-40083</v>
          </cell>
          <cell r="AE349" t="str">
            <v>Motricité</v>
          </cell>
          <cell r="AF349" t="str">
            <v>2.5.3</v>
          </cell>
          <cell r="AI349">
            <v>1</v>
          </cell>
          <cell r="AP349" t="str">
            <v>FP</v>
          </cell>
          <cell r="AU349" t="str">
            <v>FD</v>
          </cell>
          <cell r="CH349" t="e">
            <v>#N/A</v>
          </cell>
          <cell r="CI349" t="e">
            <v>#N/A</v>
          </cell>
          <cell r="CJ349" t="e">
            <v>#N/A</v>
          </cell>
        </row>
        <row r="350">
          <cell r="B350" t="str">
            <v>Ligne_114_PPD</v>
          </cell>
          <cell r="C350">
            <v>114</v>
          </cell>
          <cell r="E350" t="str">
            <v>Note de calcul du dimensionnement des câbles et des protections.</v>
          </cell>
          <cell r="G350" t="str">
            <v>Note de calcul du dimensionnement des câbles et des protections.</v>
          </cell>
          <cell r="R350" t="str">
            <v>VPF</v>
          </cell>
          <cell r="S350" t="str">
            <v>AT</v>
          </cell>
          <cell r="T350" t="str">
            <v>EX</v>
          </cell>
          <cell r="U350" t="str">
            <v>W.BOSQUILLON</v>
          </cell>
          <cell r="Z350" t="str">
            <v>RTS 186 JS2 SME 01/09/2020</v>
          </cell>
          <cell r="AA350" t="str">
            <v>E</v>
          </cell>
          <cell r="AB350" t="str">
            <v>Electrique</v>
          </cell>
          <cell r="AC350" t="str">
            <v>SME</v>
          </cell>
          <cell r="AD350" t="str">
            <v>ST EZ.4-05025</v>
          </cell>
          <cell r="AE350" t="str">
            <v>Transformation, stockage, distribution et gestion de l'énergie électrique</v>
          </cell>
          <cell r="AF350" t="str">
            <v>3.2</v>
          </cell>
          <cell r="AI350">
            <v>1</v>
          </cell>
          <cell r="AN350" t="str">
            <v>FD</v>
          </cell>
          <cell r="CH350" t="e">
            <v>#N/A</v>
          </cell>
          <cell r="CI350" t="e">
            <v>#N/A</v>
          </cell>
          <cell r="CJ350" t="e">
            <v>#N/A</v>
          </cell>
        </row>
        <row r="351">
          <cell r="B351" t="str">
            <v>Ligne_115_PPD</v>
          </cell>
          <cell r="C351">
            <v>115</v>
          </cell>
          <cell r="E351" t="str">
            <v>Note de calcul justifiant les caractéristiques électrotechniques des batteries d’accumulateurs et de leur chargeur (loi de charge).</v>
          </cell>
          <cell r="G351" t="str">
            <v/>
          </cell>
          <cell r="R351" t="str">
            <v>VPF</v>
          </cell>
          <cell r="S351" t="str">
            <v>AT</v>
          </cell>
          <cell r="T351" t="str">
            <v>NA</v>
          </cell>
          <cell r="U351" t="str">
            <v>T.LEROY</v>
          </cell>
          <cell r="Z351" t="str">
            <v>RTS 186 JS2 SME 01/09/2020</v>
          </cell>
          <cell r="AA351" t="str">
            <v>E</v>
          </cell>
          <cell r="AB351" t="str">
            <v>Electrique</v>
          </cell>
          <cell r="AC351" t="str">
            <v>SME</v>
          </cell>
          <cell r="AD351" t="str">
            <v>ST EZ.4-05025</v>
          </cell>
          <cell r="AE351" t="str">
            <v>Transformation, stockage, distribution et gestion de l'énergie électrique</v>
          </cell>
          <cell r="AF351" t="str">
            <v>3.2</v>
          </cell>
          <cell r="AI351">
            <v>1</v>
          </cell>
          <cell r="AN351" t="str">
            <v>FD</v>
          </cell>
          <cell r="CH351" t="e">
            <v>#N/A</v>
          </cell>
          <cell r="CI351" t="e">
            <v>#N/A</v>
          </cell>
          <cell r="CJ351" t="e">
            <v>#N/A</v>
          </cell>
        </row>
        <row r="352">
          <cell r="B352" t="str">
            <v>Ligne_116_PPD</v>
          </cell>
          <cell r="C352">
            <v>116</v>
          </cell>
          <cell r="E352" t="str">
            <v>Pour les moteurs auxiliares :
Les coûts de rebobinage et de maintenance</v>
          </cell>
          <cell r="G352" t="str">
            <v/>
          </cell>
          <cell r="S352" t="str">
            <v>AT</v>
          </cell>
          <cell r="U352" t="str">
            <v>J.MALENGE</v>
          </cell>
          <cell r="AA352" t="str">
            <v>E</v>
          </cell>
          <cell r="AB352" t="str">
            <v>Electrique</v>
          </cell>
          <cell r="AC352" t="str">
            <v>SME</v>
          </cell>
          <cell r="AD352" t="str">
            <v xml:space="preserve">ST EZ.4-05017 </v>
          </cell>
          <cell r="AE352" t="str">
            <v>Moteurs de traction et machines tournantes auxiliaires</v>
          </cell>
          <cell r="AF352" t="str">
            <v>6.1.1</v>
          </cell>
          <cell r="AI352">
            <v>5</v>
          </cell>
          <cell r="AP352" t="str">
            <v>FD</v>
          </cell>
          <cell r="CH352" t="e">
            <v>#N/A</v>
          </cell>
          <cell r="CI352" t="e">
            <v>#N/A</v>
          </cell>
          <cell r="CJ352" t="e">
            <v>#N/A</v>
          </cell>
        </row>
        <row r="353">
          <cell r="B353" t="str">
            <v>Ligne_117_PPD</v>
          </cell>
          <cell r="C353">
            <v>117</v>
          </cell>
          <cell r="E353" t="str">
            <v>Pour les moteurs de traction :
- le schéma de bobinage (en format A4) du moteur de traction (repris par livrable 111)
- l'ensemble des caractéristiques projetées au sens de la publication CEI 349 (pour un moteur asynchrone, le schéma équivalent établi selon la méthode des fuites partielles et faisant apparaître le rapport de transformation)
- une note descriptive de la technologie d'isolation utilisée
- les courbes décrivant la magnétisation de la machine 
- la courbe inductance magnétisante Lm = f (E/F).
(intégrant les valeurs et courbes du 31.2 actualisées et renseignées dans les programmes et rapports d’essais, suite aux mesures sur les moteurs)</v>
          </cell>
          <cell r="G353" t="str">
            <v>PROGRAMME ESSAIS MOTEUR DE TRACTION</v>
          </cell>
          <cell r="R353" t="str">
            <v>ORN</v>
          </cell>
          <cell r="S353" t="str">
            <v>AT</v>
          </cell>
          <cell r="T353" t="str">
            <v>EX</v>
          </cell>
          <cell r="U353" t="str">
            <v>M.SOUGH</v>
          </cell>
          <cell r="Z353" t="str">
            <v>RTS 186 JS2 SME 01/09/2020</v>
          </cell>
          <cell r="AA353" t="str">
            <v>E</v>
          </cell>
          <cell r="AB353" t="str">
            <v>Electrique</v>
          </cell>
          <cell r="AC353" t="str">
            <v>SME</v>
          </cell>
          <cell r="AD353" t="str">
            <v xml:space="preserve">ST EZ.4-05017 </v>
          </cell>
          <cell r="AE353" t="str">
            <v>Moteurs de traction et machines tournantes auxiliaires</v>
          </cell>
          <cell r="AF353" t="str">
            <v>6.1.2</v>
          </cell>
          <cell r="AI353">
            <v>1</v>
          </cell>
          <cell r="AN353" t="str">
            <v>FP</v>
          </cell>
          <cell r="AQ353" t="str">
            <v>FD</v>
          </cell>
          <cell r="CH353" t="e">
            <v>#N/A</v>
          </cell>
          <cell r="CI353" t="e">
            <v>#N/A</v>
          </cell>
          <cell r="CJ353" t="e">
            <v>#N/A</v>
          </cell>
        </row>
        <row r="354">
          <cell r="B354" t="str">
            <v>Ligne_118_PPD</v>
          </cell>
          <cell r="C354">
            <v>118</v>
          </cell>
          <cell r="E354" t="str">
            <v>Matrice de traçabilité entre les documents conception du Titulaire et la spécification technique ING-SVMSGE-D2012 5128</v>
          </cell>
          <cell r="G354" t="str">
            <v/>
          </cell>
          <cell r="S354" t="str">
            <v>AT</v>
          </cell>
          <cell r="U354" t="str">
            <v>L.DERU</v>
          </cell>
          <cell r="Z354" t="str">
            <v>discussion doc 50</v>
          </cell>
          <cell r="AA354" t="str">
            <v>E</v>
          </cell>
          <cell r="AB354" t="str">
            <v>Interface</v>
          </cell>
          <cell r="AC354" t="str">
            <v>SIT</v>
          </cell>
          <cell r="AD354" t="str">
            <v>ING-SVM-STV-D-2016-5128</v>
          </cell>
          <cell r="AE354" t="str">
            <v>Spécification technique vidéoprotection</v>
          </cell>
          <cell r="AF354" t="str">
            <v>13.1</v>
          </cell>
          <cell r="AI354">
            <v>1</v>
          </cell>
          <cell r="AP354" t="str">
            <v>FP</v>
          </cell>
          <cell r="AU354" t="str">
            <v>Maj</v>
          </cell>
          <cell r="BA354" t="str">
            <v>Maj</v>
          </cell>
          <cell r="BE354" t="str">
            <v>FD</v>
          </cell>
          <cell r="BG354" t="str">
            <v>FD</v>
          </cell>
          <cell r="CG354" t="str">
            <v>30/09/2020 : Retiré le "barré" de la FD de JU2.Ti pour pouvoir importer dans la base arbo</v>
          </cell>
          <cell r="CH354" t="e">
            <v>#N/A</v>
          </cell>
          <cell r="CI354" t="e">
            <v>#N/A</v>
          </cell>
          <cell r="CJ354" t="e">
            <v>#N/A</v>
          </cell>
        </row>
        <row r="355">
          <cell r="B355" t="str">
            <v>Ligne_119_PPD</v>
          </cell>
          <cell r="C355">
            <v>119</v>
          </cell>
          <cell r="E355" t="str">
            <v>Document "Fiabilité du système vidéoprotection embarqué"</v>
          </cell>
          <cell r="G355" t="str">
            <v/>
          </cell>
          <cell r="R355" t="str">
            <v>VBN</v>
          </cell>
          <cell r="S355" t="str">
            <v>AT</v>
          </cell>
          <cell r="U355" t="str">
            <v>S.GUNIN</v>
          </cell>
          <cell r="AA355" t="str">
            <v>E</v>
          </cell>
          <cell r="AB355" t="str">
            <v>Electronique</v>
          </cell>
          <cell r="AC355" t="str">
            <v>SIT</v>
          </cell>
          <cell r="AD355" t="str">
            <v>SF EZ.4-40084</v>
          </cell>
          <cell r="AE355" t="str">
            <v>Vidéoprotection</v>
          </cell>
          <cell r="AF355" t="str">
            <v>5.1</v>
          </cell>
          <cell r="AI355">
            <v>1</v>
          </cell>
          <cell r="AP355" t="str">
            <v>FD</v>
          </cell>
          <cell r="CH355" t="e">
            <v>#N/A</v>
          </cell>
          <cell r="CI355" t="e">
            <v>#N/A</v>
          </cell>
          <cell r="CJ355" t="e">
            <v>#N/A</v>
          </cell>
        </row>
        <row r="356">
          <cell r="B356" t="str">
            <v>Ligne_120_PPD</v>
          </cell>
          <cell r="C356">
            <v>120</v>
          </cell>
          <cell r="E356" t="str">
            <v>Procédure de mise à jour du système vidéoprotection embarqué</v>
          </cell>
          <cell r="G356" t="str">
            <v/>
          </cell>
          <cell r="R356" t="str">
            <v>VBN</v>
          </cell>
          <cell r="S356" t="str">
            <v>AT</v>
          </cell>
          <cell r="U356" t="str">
            <v>S.GUNIN</v>
          </cell>
          <cell r="AA356" t="str">
            <v>E</v>
          </cell>
          <cell r="AB356" t="str">
            <v>Electronique</v>
          </cell>
          <cell r="AC356" t="str">
            <v>SIT</v>
          </cell>
          <cell r="AD356" t="str">
            <v>SF EZ.4-40084</v>
          </cell>
          <cell r="AE356" t="str">
            <v>Vidéoprotection</v>
          </cell>
          <cell r="AF356" t="str">
            <v>5.1</v>
          </cell>
          <cell r="AI356">
            <v>1</v>
          </cell>
          <cell r="AQ356" t="str">
            <v>FD</v>
          </cell>
          <cell r="CH356" t="e">
            <v>#N/A</v>
          </cell>
          <cell r="CI356" t="e">
            <v>#N/A</v>
          </cell>
          <cell r="CJ356" t="e">
            <v>#N/A</v>
          </cell>
        </row>
        <row r="357">
          <cell r="B357" t="str">
            <v>Ligne_121_PPD</v>
          </cell>
          <cell r="C357">
            <v>121</v>
          </cell>
          <cell r="E357" t="str">
            <v>Procédure de supervision des équipements vidéoprotection</v>
          </cell>
          <cell r="G357" t="str">
            <v/>
          </cell>
          <cell r="R357" t="str">
            <v>VBN</v>
          </cell>
          <cell r="S357" t="str">
            <v>AT</v>
          </cell>
          <cell r="U357" t="str">
            <v>S.GUNIN</v>
          </cell>
          <cell r="AA357" t="str">
            <v>E</v>
          </cell>
          <cell r="AB357" t="str">
            <v>Electronique</v>
          </cell>
          <cell r="AC357" t="str">
            <v>SIT</v>
          </cell>
          <cell r="AD357" t="str">
            <v>SF EZ.4-40084</v>
          </cell>
          <cell r="AE357" t="str">
            <v>Vidéoprotection</v>
          </cell>
          <cell r="AF357" t="str">
            <v>5.1</v>
          </cell>
          <cell r="AI357">
            <v>1</v>
          </cell>
          <cell r="AQ357" t="str">
            <v>FD</v>
          </cell>
          <cell r="CH357" t="e">
            <v>#N/A</v>
          </cell>
          <cell r="CI357" t="e">
            <v>#N/A</v>
          </cell>
          <cell r="CJ357" t="e">
            <v>#N/A</v>
          </cell>
        </row>
        <row r="358">
          <cell r="B358" t="str">
            <v>Ligne_122_PPD</v>
          </cell>
          <cell r="C358">
            <v>122</v>
          </cell>
          <cell r="E358" t="str">
            <v>Descriptif des performances et caractéristiques techniques du système vidéoprotection</v>
          </cell>
          <cell r="G358" t="str">
            <v/>
          </cell>
          <cell r="R358" t="str">
            <v>VBN</v>
          </cell>
          <cell r="S358" t="str">
            <v>AT</v>
          </cell>
          <cell r="U358" t="str">
            <v>S.GUNIN</v>
          </cell>
          <cell r="AA358" t="str">
            <v>E</v>
          </cell>
          <cell r="AB358" t="str">
            <v>Electronique</v>
          </cell>
          <cell r="AC358" t="str">
            <v>SIT</v>
          </cell>
          <cell r="AD358" t="str">
            <v>SF EZ.4-40084</v>
          </cell>
          <cell r="AE358" t="str">
            <v>Vidéoprotection</v>
          </cell>
          <cell r="AF358" t="str">
            <v>5.1</v>
          </cell>
          <cell r="AI358">
            <v>1</v>
          </cell>
          <cell r="AP358" t="str">
            <v>FD</v>
          </cell>
          <cell r="CH358" t="e">
            <v>#N/A</v>
          </cell>
          <cell r="CI358" t="e">
            <v>#N/A</v>
          </cell>
          <cell r="CJ358" t="e">
            <v>#N/A</v>
          </cell>
        </row>
        <row r="359">
          <cell r="B359" t="str">
            <v>Ligne_123_PPD</v>
          </cell>
          <cell r="C359">
            <v>123</v>
          </cell>
          <cell r="E359" t="str">
            <v>Matrice de traçabilité entre les documents de conception du titulaire et la SF Vidéoprotection EZ.4-40084</v>
          </cell>
          <cell r="G359" t="str">
            <v>renvoi vers la matrice de traçabilité 49.3</v>
          </cell>
          <cell r="R359" t="str">
            <v>NA</v>
          </cell>
          <cell r="S359" t="str">
            <v>AT</v>
          </cell>
          <cell r="T359" t="str">
            <v>NA</v>
          </cell>
          <cell r="AA359" t="str">
            <v>E</v>
          </cell>
          <cell r="AB359" t="str">
            <v>Electronique</v>
          </cell>
          <cell r="AC359" t="str">
            <v>SIT</v>
          </cell>
          <cell r="AD359" t="str">
            <v>SF EZ.4-40084</v>
          </cell>
          <cell r="AE359" t="str">
            <v>Vidéoprotection</v>
          </cell>
          <cell r="AF359" t="str">
            <v>5.1</v>
          </cell>
          <cell r="AI359" t="str">
            <v>RENVOI</v>
          </cell>
          <cell r="AP359" t="str">
            <v>FP</v>
          </cell>
          <cell r="AU359" t="str">
            <v>Maj</v>
          </cell>
          <cell r="BA359" t="str">
            <v>Maj</v>
          </cell>
          <cell r="BE359" t="str">
            <v>FD</v>
          </cell>
          <cell r="BG359" t="str">
            <v>FD</v>
          </cell>
          <cell r="CG359" t="str">
            <v>30/09/2020 : Retiré le "barré" de la FD de JU2.Ti pour pouvoir importer dans la base arbo</v>
          </cell>
          <cell r="CH359" t="e">
            <v>#N/A</v>
          </cell>
          <cell r="CI359" t="e">
            <v>#N/A</v>
          </cell>
          <cell r="CJ359" t="e">
            <v>#N/A</v>
          </cell>
        </row>
        <row r="360">
          <cell r="B360" t="str">
            <v>Ligne_124_PPD</v>
          </cell>
          <cell r="C360">
            <v>124</v>
          </cell>
          <cell r="E360" t="str">
            <v>Matrice de traçabilité entre le programme d’essais du titulaire et la SF Vidéoprotection EZ.4-40084.</v>
          </cell>
          <cell r="G360" t="str">
            <v>renvoi vers la matrice de traçabilité 49.3 (+ Maj 49.3 à JS2)</v>
          </cell>
          <cell r="R360" t="str">
            <v>NA</v>
          </cell>
          <cell r="S360" t="str">
            <v>AT</v>
          </cell>
          <cell r="T360" t="str">
            <v>NA</v>
          </cell>
          <cell r="AA360" t="str">
            <v>E</v>
          </cell>
          <cell r="AB360" t="str">
            <v>Electronique</v>
          </cell>
          <cell r="AC360" t="str">
            <v>SIT</v>
          </cell>
          <cell r="AD360" t="str">
            <v>SF EZ.4-40084</v>
          </cell>
          <cell r="AE360" t="str">
            <v>Vidéoprotection</v>
          </cell>
          <cell r="AF360" t="str">
            <v>5.1</v>
          </cell>
          <cell r="AI360" t="str">
            <v>RENVOI</v>
          </cell>
          <cell r="AP360" t="str">
            <v>FP</v>
          </cell>
          <cell r="AU360" t="str">
            <v>Maj</v>
          </cell>
          <cell r="BA360" t="str">
            <v>Maj</v>
          </cell>
          <cell r="BE360" t="str">
            <v>FD</v>
          </cell>
          <cell r="BG360" t="str">
            <v>FD</v>
          </cell>
          <cell r="CG360" t="str">
            <v>30/09/2020 : Retiré le "barré" de la FD de JU2.Ti pour pouvoir importer dans la base arbo</v>
          </cell>
          <cell r="CH360" t="e">
            <v>#N/A</v>
          </cell>
          <cell r="CI360" t="e">
            <v>#N/A</v>
          </cell>
          <cell r="CJ360" t="e">
            <v>#N/A</v>
          </cell>
        </row>
        <row r="361">
          <cell r="B361" t="str">
            <v>Ligne_125_PPD</v>
          </cell>
          <cell r="C361">
            <v>125</v>
          </cell>
          <cell r="E361" t="str">
            <v>Liste des avaries et performances nominales des équipements VP</v>
          </cell>
          <cell r="G361" t="str">
            <v/>
          </cell>
          <cell r="R361" t="str">
            <v>VBN</v>
          </cell>
          <cell r="S361" t="str">
            <v>AT</v>
          </cell>
          <cell r="U361" t="str">
            <v>S.GUNIN</v>
          </cell>
          <cell r="AA361" t="str">
            <v>E</v>
          </cell>
          <cell r="AB361" t="str">
            <v>Electronique</v>
          </cell>
          <cell r="AC361" t="str">
            <v>SIT</v>
          </cell>
          <cell r="AD361" t="str">
            <v>SF EZ.4-40084</v>
          </cell>
          <cell r="AE361" t="str">
            <v>Vidéoprotection</v>
          </cell>
          <cell r="AF361" t="str">
            <v>5.2</v>
          </cell>
          <cell r="AI361">
            <v>1</v>
          </cell>
          <cell r="AP361" t="str">
            <v>FD</v>
          </cell>
          <cell r="CH361" t="e">
            <v>#N/A</v>
          </cell>
          <cell r="CI361" t="e">
            <v>#N/A</v>
          </cell>
          <cell r="CJ361" t="e">
            <v>#N/A</v>
          </cell>
        </row>
        <row r="362">
          <cell r="B362" t="str">
            <v>Ligne_126_PPD</v>
          </cell>
          <cell r="C362">
            <v>126</v>
          </cell>
          <cell r="E362" t="str">
            <v>Fourniture de 2 exemplaires de chaque type de caméras</v>
          </cell>
          <cell r="G362" t="str">
            <v>2 livraisons de chaque ref de CAMERA (A confirmer si le suivi est gardé dans le PPD)</v>
          </cell>
          <cell r="R362" t="str">
            <v>VBN</v>
          </cell>
          <cell r="S362" t="str">
            <v>AT</v>
          </cell>
          <cell r="T362" t="str">
            <v>NA</v>
          </cell>
          <cell r="U362" t="str">
            <v>P.DENIS</v>
          </cell>
          <cell r="Z362" t="str">
            <v>RTS 181 JS2 SIT 27/08/2020</v>
          </cell>
          <cell r="AA362" t="str">
            <v>E</v>
          </cell>
          <cell r="AB362" t="str">
            <v>Electronique</v>
          </cell>
          <cell r="AC362" t="str">
            <v>SIT</v>
          </cell>
          <cell r="AD362" t="str">
            <v>SF EZ.4-40084</v>
          </cell>
          <cell r="AE362" t="str">
            <v>Vidéoprotection</v>
          </cell>
          <cell r="AF362" t="str">
            <v>3.3.17</v>
          </cell>
          <cell r="AI362" t="str">
            <v>pas de document</v>
          </cell>
          <cell r="AN362" t="str">
            <v>FD</v>
          </cell>
          <cell r="CH362" t="e">
            <v>#N/A</v>
          </cell>
          <cell r="CI362" t="e">
            <v>#N/A</v>
          </cell>
          <cell r="CJ362" t="e">
            <v>#N/A</v>
          </cell>
        </row>
        <row r="363">
          <cell r="B363" t="str">
            <v>Ligne_127_PPD</v>
          </cell>
          <cell r="C363">
            <v>127</v>
          </cell>
          <cell r="E363" t="str">
            <v>Etude prévisionnelle de l'acoustique, cartographie des niveaux sonores et calcul relatif à la caractérisation du niveau de recouvrement sonore.</v>
          </cell>
          <cell r="G363" t="str">
            <v/>
          </cell>
          <cell r="R363" t="str">
            <v>VBN</v>
          </cell>
          <cell r="S363" t="str">
            <v>AT</v>
          </cell>
          <cell r="U363" t="str">
            <v>S.GUNIN</v>
          </cell>
          <cell r="AA363" t="str">
            <v>E</v>
          </cell>
          <cell r="AB363" t="str">
            <v>Electronique</v>
          </cell>
          <cell r="AC363" t="str">
            <v>MOP/ESP/EAV</v>
          </cell>
          <cell r="AD363" t="str">
            <v>SF EZ.4-40085</v>
          </cell>
          <cell r="AE363" t="str">
            <v>Informations aux voyageurs et services de communication</v>
          </cell>
          <cell r="AF363" t="str">
            <v>14.1</v>
          </cell>
          <cell r="AI363">
            <v>1</v>
          </cell>
          <cell r="AP363" t="str">
            <v>FD</v>
          </cell>
          <cell r="CH363" t="e">
            <v>#N/A</v>
          </cell>
          <cell r="CI363" t="e">
            <v>#N/A</v>
          </cell>
          <cell r="CJ363" t="e">
            <v>#N/A</v>
          </cell>
        </row>
        <row r="364">
          <cell r="B364" t="str">
            <v>Ligne_128_PPD</v>
          </cell>
          <cell r="C364">
            <v>128</v>
          </cell>
          <cell r="E364" t="str">
            <v xml:space="preserve">Etude d'implantation et de la couverture visuelle </v>
          </cell>
          <cell r="G364" t="str">
            <v>intègre la couverture (fournisseur/AT) et l'étude d'intégration (BT) - peut être en DOUBLON avec PPD_218</v>
          </cell>
          <cell r="R364" t="str">
            <v>VBN</v>
          </cell>
          <cell r="S364" t="str">
            <v>AT</v>
          </cell>
          <cell r="T364" t="str">
            <v>BT</v>
          </cell>
          <cell r="U364" t="str">
            <v>S.GUNIN</v>
          </cell>
          <cell r="Z364" t="str">
            <v>RTS 174 JS2 EAI 20/07/2020</v>
          </cell>
          <cell r="AA364" t="str">
            <v>E</v>
          </cell>
          <cell r="AB364" t="str">
            <v>Electronique</v>
          </cell>
          <cell r="AC364" t="str">
            <v>EAI</v>
          </cell>
          <cell r="AD364" t="str">
            <v>SF EZ.4-40085</v>
          </cell>
          <cell r="AE364" t="str">
            <v>Informations aux voyageurs et services de communication</v>
          </cell>
          <cell r="AF364" t="str">
            <v>14.2</v>
          </cell>
          <cell r="AI364">
            <v>1</v>
          </cell>
          <cell r="AN364" t="str">
            <v>FP</v>
          </cell>
          <cell r="AP364" t="str">
            <v>FD</v>
          </cell>
          <cell r="CH364" t="e">
            <v>#N/A</v>
          </cell>
          <cell r="CI364" t="e">
            <v>#N/A</v>
          </cell>
          <cell r="CJ364" t="e">
            <v>#N/A</v>
          </cell>
        </row>
        <row r="365">
          <cell r="B365" t="str">
            <v>Ligne_129_PPD</v>
          </cell>
          <cell r="C365">
            <v>129</v>
          </cell>
          <cell r="E365" t="str">
            <v>Prototype écran IV et PLDN</v>
          </cell>
          <cell r="G365" t="str">
            <v/>
          </cell>
          <cell r="R365" t="str">
            <v>VBN</v>
          </cell>
          <cell r="S365" t="str">
            <v>AT</v>
          </cell>
          <cell r="U365" t="str">
            <v>S.GUNIN</v>
          </cell>
          <cell r="Z365" t="str">
            <v>discussion doc 50</v>
          </cell>
          <cell r="AA365" t="str">
            <v>E</v>
          </cell>
          <cell r="AB365" t="str">
            <v>Electronique</v>
          </cell>
          <cell r="AC365" t="str">
            <v>SIT</v>
          </cell>
          <cell r="AD365" t="str">
            <v>SF EZ.4-40085</v>
          </cell>
          <cell r="AE365" t="str">
            <v>Informations aux voyageurs et services de communication</v>
          </cell>
          <cell r="AF365" t="str">
            <v>14.2</v>
          </cell>
          <cell r="AI365">
            <v>1</v>
          </cell>
          <cell r="AU365" t="str">
            <v>FD</v>
          </cell>
          <cell r="CH365" t="e">
            <v>#N/A</v>
          </cell>
          <cell r="CI365" t="e">
            <v>#N/A</v>
          </cell>
          <cell r="CJ365" t="e">
            <v>#N/A</v>
          </cell>
        </row>
        <row r="366">
          <cell r="B366" t="str">
            <v>Ligne_130_PPD</v>
          </cell>
          <cell r="C366">
            <v>130</v>
          </cell>
          <cell r="E366" t="str">
            <v>Liste des avaries et performances nominales des équipements ISVC</v>
          </cell>
          <cell r="G366" t="str">
            <v/>
          </cell>
          <cell r="R366" t="str">
            <v>VBN</v>
          </cell>
          <cell r="S366" t="str">
            <v>AT</v>
          </cell>
          <cell r="U366" t="str">
            <v>S.GUNIN</v>
          </cell>
          <cell r="AA366" t="str">
            <v>E</v>
          </cell>
          <cell r="AB366" t="str">
            <v>Electronique</v>
          </cell>
          <cell r="AC366" t="str">
            <v>SIT</v>
          </cell>
          <cell r="AD366" t="str">
            <v>SF EZ.4-40085</v>
          </cell>
          <cell r="AE366" t="str">
            <v>Informations aux voyageurs et services de communication</v>
          </cell>
          <cell r="AF366" t="str">
            <v>14.3</v>
          </cell>
          <cell r="AI366">
            <v>6</v>
          </cell>
          <cell r="AP366" t="str">
            <v>FD</v>
          </cell>
          <cell r="CH366" t="e">
            <v>#N/A</v>
          </cell>
          <cell r="CI366" t="e">
            <v>#N/A</v>
          </cell>
          <cell r="CJ366" t="e">
            <v>#N/A</v>
          </cell>
        </row>
        <row r="367">
          <cell r="B367" t="str">
            <v>Ligne_131_PPD</v>
          </cell>
          <cell r="C367">
            <v>131</v>
          </cell>
          <cell r="E367" t="str">
            <v>Etude sur le choix de l’OS pour le serveur IV et les écrans IV</v>
          </cell>
          <cell r="G367" t="str">
            <v/>
          </cell>
          <cell r="R367" t="str">
            <v>VBN</v>
          </cell>
          <cell r="S367" t="str">
            <v>AT</v>
          </cell>
          <cell r="U367" t="str">
            <v>P.DENIS</v>
          </cell>
          <cell r="Z367" t="str">
            <v>RTS 181 JS2 SIT 27/08/2020</v>
          </cell>
          <cell r="AA367" t="str">
            <v>E</v>
          </cell>
          <cell r="AB367" t="str">
            <v>Interface</v>
          </cell>
          <cell r="AC367" t="str">
            <v>SIT</v>
          </cell>
          <cell r="AD367" t="str">
            <v>ING-SVM-STV-D-2016-5129</v>
          </cell>
          <cell r="AE367" t="str">
            <v>Spécification d’interface logiciel applicatif des équipements IV</v>
          </cell>
          <cell r="AF367">
            <v>5</v>
          </cell>
          <cell r="AI367">
            <v>1</v>
          </cell>
          <cell r="AN367" t="str">
            <v>FD</v>
          </cell>
          <cell r="CH367" t="e">
            <v>#N/A</v>
          </cell>
          <cell r="CI367" t="e">
            <v>#N/A</v>
          </cell>
          <cell r="CJ367" t="e">
            <v>#N/A</v>
          </cell>
        </row>
        <row r="368">
          <cell r="B368" t="str">
            <v>Ligne_132_PPD</v>
          </cell>
          <cell r="C368">
            <v>132</v>
          </cell>
          <cell r="E368" t="str">
            <v>Documentation API pour le logiciel fournisseur du serveur IV, des écrans IV et des afficheurs PLDN</v>
          </cell>
          <cell r="G368" t="str">
            <v/>
          </cell>
          <cell r="S368" t="str">
            <v>AT</v>
          </cell>
          <cell r="U368" t="str">
            <v>S.GUNIN</v>
          </cell>
          <cell r="Z368" t="str">
            <v>discussion doc 50</v>
          </cell>
          <cell r="AA368" t="str">
            <v>E</v>
          </cell>
          <cell r="AB368" t="str">
            <v>Interface</v>
          </cell>
          <cell r="AC368" t="str">
            <v>SIT</v>
          </cell>
          <cell r="AD368" t="str">
            <v>ING-SVM-STV-D-2016-5129</v>
          </cell>
          <cell r="AE368" t="str">
            <v>Spécification d’interface logiciel applicatif des équipements IV</v>
          </cell>
          <cell r="AF368">
            <v>5</v>
          </cell>
          <cell r="AI368">
            <v>1</v>
          </cell>
          <cell r="AP368" t="str">
            <v>FD</v>
          </cell>
          <cell r="CH368" t="e">
            <v>#N/A</v>
          </cell>
          <cell r="CI368" t="e">
            <v>#N/A</v>
          </cell>
          <cell r="CJ368" t="e">
            <v>#N/A</v>
          </cell>
        </row>
        <row r="369">
          <cell r="B369" t="str">
            <v>Ligne_133_PPD</v>
          </cell>
          <cell r="C369">
            <v>133</v>
          </cell>
          <cell r="E369" t="str">
            <v>Documentation d’utilisation des services applicatifs pour le logiciel fournisseur du serveur IV, des écrans IV et des afficheurs PLDN</v>
          </cell>
          <cell r="G369" t="str">
            <v/>
          </cell>
          <cell r="R369" t="str">
            <v>VBN</v>
          </cell>
          <cell r="S369" t="str">
            <v>AT</v>
          </cell>
          <cell r="U369" t="str">
            <v>P.DENIS</v>
          </cell>
          <cell r="Z369" t="str">
            <v>RTS 181 JS2 SIT 27/08/2020</v>
          </cell>
          <cell r="AA369" t="str">
            <v>E</v>
          </cell>
          <cell r="AB369" t="str">
            <v>Interface</v>
          </cell>
          <cell r="AC369" t="str">
            <v>SIT</v>
          </cell>
          <cell r="AD369" t="str">
            <v>ING-SVM-STV-D-2016-5129</v>
          </cell>
          <cell r="AE369" t="str">
            <v>Spécification d’interface logiciel applicatif des équipements IV</v>
          </cell>
          <cell r="AF369">
            <v>5</v>
          </cell>
          <cell r="AI369">
            <v>1</v>
          </cell>
          <cell r="AN369" t="str">
            <v>FP</v>
          </cell>
          <cell r="AP369" t="str">
            <v>FD</v>
          </cell>
          <cell r="CH369" t="e">
            <v>#N/A</v>
          </cell>
          <cell r="CI369" t="e">
            <v>#N/A</v>
          </cell>
          <cell r="CJ369" t="e">
            <v>#N/A</v>
          </cell>
        </row>
        <row r="370">
          <cell r="B370" t="str">
            <v>Ligne_134_PPD</v>
          </cell>
          <cell r="C370">
            <v>134</v>
          </cell>
          <cell r="E370" t="str">
            <v>Sources, binaires, ensemble de la documentation relative aux logiciels fournis (selon le logiciel, peut comprendre la documentation d’installation, utilisateur, opérateur, API,…)</v>
          </cell>
          <cell r="G370" t="str">
            <v/>
          </cell>
          <cell r="S370" t="str">
            <v>AT</v>
          </cell>
          <cell r="U370" t="str">
            <v>S.GUNIN</v>
          </cell>
          <cell r="Z370" t="str">
            <v>discussion doc 50</v>
          </cell>
          <cell r="AA370" t="str">
            <v>E</v>
          </cell>
          <cell r="AB370" t="str">
            <v>Interface</v>
          </cell>
          <cell r="AC370" t="str">
            <v>SIT</v>
          </cell>
          <cell r="AD370" t="str">
            <v>ING-SVM-STV-D-2016-5129</v>
          </cell>
          <cell r="AE370" t="str">
            <v>Spécification d’interface logiciel applicatif des équipements IV</v>
          </cell>
          <cell r="AF370">
            <v>5</v>
          </cell>
          <cell r="AI370">
            <v>1</v>
          </cell>
          <cell r="AU370" t="str">
            <v>FD</v>
          </cell>
          <cell r="CH370" t="e">
            <v>#N/A</v>
          </cell>
          <cell r="CI370" t="e">
            <v>#N/A</v>
          </cell>
          <cell r="CJ370" t="e">
            <v>#N/A</v>
          </cell>
        </row>
        <row r="371">
          <cell r="B371" t="str">
            <v>Ligne_135_PPD</v>
          </cell>
          <cell r="C371">
            <v>135</v>
          </cell>
          <cell r="E371" t="str">
            <v>Planning des revues de conception pour l'étape de conception détaillée IVSC/VP</v>
          </cell>
          <cell r="G371" t="str">
            <v/>
          </cell>
          <cell r="R371" t="str">
            <v>VBN</v>
          </cell>
          <cell r="S371" t="str">
            <v>AT</v>
          </cell>
          <cell r="U371" t="str">
            <v>P.DENIS</v>
          </cell>
          <cell r="Z371" t="str">
            <v>RTS 181 JS2 SIT 27/08/2020</v>
          </cell>
          <cell r="AA371" t="str">
            <v>E</v>
          </cell>
          <cell r="AB371" t="str">
            <v>Interface</v>
          </cell>
          <cell r="AC371" t="str">
            <v>SIT</v>
          </cell>
          <cell r="AD371" t="str">
            <v>ING-SVM-STV-D-2016-5130</v>
          </cell>
          <cell r="AE371" t="str">
            <v>Stratégie intégration IVSC/VP</v>
          </cell>
          <cell r="AF371" t="str">
            <v>9.3</v>
          </cell>
          <cell r="AI371">
            <v>1</v>
          </cell>
          <cell r="AN371" t="str">
            <v>FD</v>
          </cell>
          <cell r="CH371" t="e">
            <v>#N/A</v>
          </cell>
          <cell r="CI371" t="e">
            <v>#N/A</v>
          </cell>
          <cell r="CJ371" t="e">
            <v>#N/A</v>
          </cell>
        </row>
        <row r="372">
          <cell r="B372" t="str">
            <v>Ligne_136_PPD</v>
          </cell>
          <cell r="C372">
            <v>136</v>
          </cell>
          <cell r="E372" t="str">
            <v>Définition des interfaces Mécaniques : Routeur TDSE, tiroir SPE/PE, Bloc Radio, Antennes Blocs Radio TDSE et SPE/PE 
Définition des Interfaces Physiques : Connectiques Ethernet, connectique Audio, Plat flottant, Câblage et connectique (TDSE, SPE/PE),</v>
          </cell>
          <cell r="G372" t="str">
            <v>Pour tous les équipements en fourniture RATP y compris le LIC et autres non spécifiés dans le descriptifs</v>
          </cell>
          <cell r="R372" t="str">
            <v>VBN</v>
          </cell>
          <cell r="S372" t="str">
            <v>AT</v>
          </cell>
          <cell r="T372" t="str">
            <v>BT</v>
          </cell>
          <cell r="U372" t="str">
            <v>W.BOSQUILLON</v>
          </cell>
          <cell r="Z372" t="str">
            <v>RTS 181 JS2 SIT 27/08/2020</v>
          </cell>
          <cell r="AA372" t="str">
            <v>E</v>
          </cell>
          <cell r="AB372" t="str">
            <v>Interface</v>
          </cell>
          <cell r="AC372" t="str">
            <v>SIT</v>
          </cell>
          <cell r="AD372" t="str">
            <v>ING-SVM-STV-D-2016-5130</v>
          </cell>
          <cell r="AE372" t="str">
            <v>Stratégie intégration IVSC/VP</v>
          </cell>
          <cell r="AF372" t="str">
            <v>5.2</v>
          </cell>
          <cell r="AI372">
            <v>1</v>
          </cell>
          <cell r="AN372" t="str">
            <v>FD</v>
          </cell>
          <cell r="CG372" t="str">
            <v>En RTS 181, dans la colonne "Livrable" la phrase "alimentation électrique, Vidéoprotection (caméras, NVR), …" a été barrée et donc j'ai supprimé dans ladite colonne</v>
          </cell>
          <cell r="CH372" t="e">
            <v>#N/A</v>
          </cell>
          <cell r="CI372" t="e">
            <v>#N/A</v>
          </cell>
          <cell r="CJ372" t="e">
            <v>#N/A</v>
          </cell>
        </row>
        <row r="373">
          <cell r="B373" t="str">
            <v>Ligne_137_PPD</v>
          </cell>
          <cell r="C373">
            <v>137</v>
          </cell>
          <cell r="E373" t="str">
            <v>Spécifications interfaces logiques (TDSE, SPE/PE, Serveurs IV, Ecrans IV, PLDN, Vidéoprotection) 
Spécification plan d’adressage Réseau haut-Débit,
Configuration et accès au Réseau local embarqué haut-débit, (paramétrage, supervision,…),
Spécification fonctionnelle du logiciel fournisseur (pilotes, services logiciels)(Serveur IV, écrans IV, PLDN),
Spécification des flux vidéoprotection, définition des interfaces d’accès,</v>
          </cell>
          <cell r="G373" t="str">
            <v/>
          </cell>
          <cell r="S373" t="str">
            <v>AT</v>
          </cell>
          <cell r="U373" t="str">
            <v>S.GUNIN</v>
          </cell>
          <cell r="Z373" t="str">
            <v>discussion doc 50</v>
          </cell>
          <cell r="AA373" t="str">
            <v>E</v>
          </cell>
          <cell r="AB373" t="str">
            <v>Interface</v>
          </cell>
          <cell r="AC373" t="str">
            <v>SIT</v>
          </cell>
          <cell r="AD373" t="str">
            <v>ING-SVM-STV-D-2016-5130</v>
          </cell>
          <cell r="AE373" t="str">
            <v>Stratégie intégration IVSC/VP</v>
          </cell>
          <cell r="AF373" t="str">
            <v>5.2</v>
          </cell>
          <cell r="AI373">
            <v>1</v>
          </cell>
          <cell r="AP373" t="str">
            <v>FD</v>
          </cell>
          <cell r="AR373" t="str">
            <v>FD</v>
          </cell>
          <cell r="CH373" t="e">
            <v>#N/A</v>
          </cell>
          <cell r="CI373" t="e">
            <v>#N/A</v>
          </cell>
          <cell r="CJ373" t="e">
            <v>#N/A</v>
          </cell>
        </row>
        <row r="374">
          <cell r="B374" t="str">
            <v>Ligne_138_PPD</v>
          </cell>
          <cell r="C374">
            <v>138</v>
          </cell>
          <cell r="E374" t="str">
            <v>Planning de livraison des plateformes de développement IVSC/VP</v>
          </cell>
          <cell r="G374" t="str">
            <v/>
          </cell>
          <cell r="R374" t="str">
            <v>VBN</v>
          </cell>
          <cell r="S374" t="str">
            <v>AT</v>
          </cell>
          <cell r="U374" t="str">
            <v>P.DENIS</v>
          </cell>
          <cell r="Z374" t="str">
            <v>RTS 181 JS2 SIT 27/08/2020</v>
          </cell>
          <cell r="AA374" t="str">
            <v>E</v>
          </cell>
          <cell r="AB374" t="str">
            <v>Interface</v>
          </cell>
          <cell r="AC374" t="str">
            <v>SIT</v>
          </cell>
          <cell r="AD374" t="str">
            <v>ING-SVM-STV-D-2016-5130</v>
          </cell>
          <cell r="AE374" t="str">
            <v>Stratégie intégration IVSC/VP</v>
          </cell>
          <cell r="AF374" t="str">
            <v>9.4</v>
          </cell>
          <cell r="AI374">
            <v>1</v>
          </cell>
          <cell r="AN374" t="str">
            <v>FD</v>
          </cell>
          <cell r="CH374" t="e">
            <v>#N/A</v>
          </cell>
          <cell r="CI374" t="e">
            <v>#N/A</v>
          </cell>
          <cell r="CJ374" t="e">
            <v>#N/A</v>
          </cell>
        </row>
        <row r="375">
          <cell r="B375" t="str">
            <v>Ligne_139_PPD</v>
          </cell>
          <cell r="C375">
            <v>139</v>
          </cell>
          <cell r="E375" t="str">
            <v>Spécifications préliminaires des interfaces MR et Hors MR (STB et DDF).
Sélection des antennes.
Validation des gabarits.</v>
          </cell>
          <cell r="G375" t="str">
            <v/>
          </cell>
          <cell r="R375" t="str">
            <v>VBN</v>
          </cell>
          <cell r="S375" t="str">
            <v>AT</v>
          </cell>
          <cell r="U375" t="str">
            <v>P.DENIS</v>
          </cell>
          <cell r="Z375" t="str">
            <v>RTS 181 JS2 SIT 27/08/2020</v>
          </cell>
          <cell r="AA375" t="str">
            <v>E</v>
          </cell>
          <cell r="AB375" t="str">
            <v>Interface</v>
          </cell>
          <cell r="AC375" t="str">
            <v>SIT</v>
          </cell>
          <cell r="AD375" t="str">
            <v>ING-SVM-STV-D-2016-5130</v>
          </cell>
          <cell r="AE375" t="str">
            <v>Stratégie intégration IVSC/VP</v>
          </cell>
          <cell r="AF375">
            <v>3</v>
          </cell>
          <cell r="AI375">
            <v>1</v>
          </cell>
          <cell r="AN375" t="str">
            <v>FD</v>
          </cell>
          <cell r="CH375" t="e">
            <v>#N/A</v>
          </cell>
          <cell r="CI375" t="e">
            <v>#N/A</v>
          </cell>
          <cell r="CJ375" t="e">
            <v>#N/A</v>
          </cell>
        </row>
        <row r="376">
          <cell r="B376" t="str">
            <v>Ligne_140_PPD</v>
          </cell>
          <cell r="C376">
            <v>140</v>
          </cell>
          <cell r="E376" t="str">
            <v>Rapport de performance sur les matériels sélectionnés par rapport aux performances attendues</v>
          </cell>
          <cell r="G376" t="str">
            <v/>
          </cell>
          <cell r="S376" t="str">
            <v>AT</v>
          </cell>
          <cell r="U376" t="str">
            <v>S.GUNIN</v>
          </cell>
          <cell r="Z376" t="str">
            <v>discussion doc 50</v>
          </cell>
          <cell r="AA376" t="str">
            <v>E</v>
          </cell>
          <cell r="AB376" t="str">
            <v>Interface</v>
          </cell>
          <cell r="AC376" t="str">
            <v>SIT</v>
          </cell>
          <cell r="AD376" t="str">
            <v>ING-SVM-STV-D-2016-5132</v>
          </cell>
          <cell r="AE376" t="str">
            <v>Spécification technique serveur et écrans pour l'information voyageur</v>
          </cell>
          <cell r="AF376">
            <v>5</v>
          </cell>
          <cell r="AI376">
            <v>1</v>
          </cell>
          <cell r="AU376" t="str">
            <v>FD</v>
          </cell>
          <cell r="CH376" t="e">
            <v>#N/A</v>
          </cell>
          <cell r="CI376" t="e">
            <v>#N/A</v>
          </cell>
          <cell r="CJ376" t="e">
            <v>#N/A</v>
          </cell>
        </row>
        <row r="377">
          <cell r="B377" t="str">
            <v>Ligne_141_PPD</v>
          </cell>
          <cell r="C377">
            <v>141</v>
          </cell>
          <cell r="E377" t="str">
            <v>Stratégie d'obsolescence des équipements IV (serveur IV, écran IV, afficheurs PLDN)</v>
          </cell>
          <cell r="G377" t="str">
            <v>à inclure dans le plan d'obsolescence global train (= item344)</v>
          </cell>
          <cell r="R377" t="str">
            <v>NA</v>
          </cell>
          <cell r="S377" t="str">
            <v>AT</v>
          </cell>
          <cell r="T377" t="str">
            <v>NA</v>
          </cell>
          <cell r="U377" t="str">
            <v>P.DENIS</v>
          </cell>
          <cell r="Z377" t="str">
            <v>RTS 181 JS2 SIT 27/08/2020</v>
          </cell>
          <cell r="AA377" t="str">
            <v>E</v>
          </cell>
          <cell r="AB377" t="str">
            <v>Interface</v>
          </cell>
          <cell r="AC377" t="str">
            <v>SIT/MRB</v>
          </cell>
          <cell r="AD377" t="str">
            <v>ING-SVM-STV-D-2016-5132</v>
          </cell>
          <cell r="AE377" t="str">
            <v>Spécification technique serveur et écrans pour l'information voyageur</v>
          </cell>
          <cell r="AF377">
            <v>5</v>
          </cell>
          <cell r="AI377" t="str">
            <v>RENVOI</v>
          </cell>
          <cell r="AN377" t="str">
            <v>FD</v>
          </cell>
          <cell r="CH377" t="e">
            <v>#N/A</v>
          </cell>
          <cell r="CI377" t="e">
            <v>#N/A</v>
          </cell>
          <cell r="CJ377" t="e">
            <v>#N/A</v>
          </cell>
        </row>
        <row r="378">
          <cell r="B378" t="str">
            <v>Ligne_142_PPD</v>
          </cell>
          <cell r="C378">
            <v>142</v>
          </cell>
          <cell r="E378" t="str">
            <v>Note de calcul "Disponibilité du serveur IV"</v>
          </cell>
          <cell r="G378" t="str">
            <v/>
          </cell>
          <cell r="S378" t="str">
            <v>AT</v>
          </cell>
          <cell r="U378" t="str">
            <v>S.GUNIN</v>
          </cell>
          <cell r="Z378" t="str">
            <v>discussion doc 50</v>
          </cell>
          <cell r="AA378" t="str">
            <v>E</v>
          </cell>
          <cell r="AB378" t="str">
            <v>Interface</v>
          </cell>
          <cell r="AC378" t="str">
            <v>SIT</v>
          </cell>
          <cell r="AD378" t="str">
            <v>ING-SVM-STV-D-2016-5132</v>
          </cell>
          <cell r="AE378" t="str">
            <v>Spécification technique serveur et écrans pour l'information voyageur</v>
          </cell>
          <cell r="AF378">
            <v>5</v>
          </cell>
          <cell r="AI378">
            <v>1</v>
          </cell>
          <cell r="AP378" t="str">
            <v>FD</v>
          </cell>
          <cell r="CH378" t="e">
            <v>#N/A</v>
          </cell>
          <cell r="CI378" t="e">
            <v>#N/A</v>
          </cell>
          <cell r="CJ378" t="e">
            <v>#N/A</v>
          </cell>
        </row>
        <row r="379">
          <cell r="B379" t="str">
            <v>Ligne_143_PPD</v>
          </cell>
          <cell r="C379">
            <v>143</v>
          </cell>
          <cell r="E379" t="str">
            <v>Spécification d’Interface logicielle détaillée du SPE</v>
          </cell>
          <cell r="R379" t="str">
            <v>VBN</v>
          </cell>
          <cell r="S379" t="str">
            <v>AT</v>
          </cell>
          <cell r="U379" t="str">
            <v>P.DENIS</v>
          </cell>
          <cell r="Z379" t="str">
            <v>RTS 181 JS2 SIT 27/08/2020</v>
          </cell>
          <cell r="AA379" t="str">
            <v>E</v>
          </cell>
          <cell r="AB379" t="str">
            <v>Interface</v>
          </cell>
          <cell r="AC379" t="str">
            <v>SIT</v>
          </cell>
          <cell r="AD379" t="str">
            <v>ING-SVM-STV-D-2017-000034</v>
          </cell>
          <cell r="AE379" t="str">
            <v>Spécification d'interface avec le Serveur Phonie Embarqué et le Poste TETRA Embarqué</v>
          </cell>
          <cell r="AF379" t="str">
            <v>Management particulier</v>
          </cell>
          <cell r="AI379">
            <v>1</v>
          </cell>
          <cell r="AN379" t="str">
            <v>FD</v>
          </cell>
          <cell r="CH379" t="e">
            <v>#N/A</v>
          </cell>
          <cell r="CI379" t="e">
            <v>#N/A</v>
          </cell>
          <cell r="CJ379" t="e">
            <v>#N/A</v>
          </cell>
        </row>
        <row r="380">
          <cell r="B380" t="str">
            <v>Ligne_144_PPD</v>
          </cell>
          <cell r="C380">
            <v>144</v>
          </cell>
          <cell r="E380" t="str">
            <v>Plan mécanique du support d’antenne</v>
          </cell>
          <cell r="R380" t="str">
            <v>BT</v>
          </cell>
          <cell r="S380" t="str">
            <v>BT</v>
          </cell>
          <cell r="T380" t="str">
            <v>AT</v>
          </cell>
          <cell r="V380" t="str">
            <v>BOMBARDIER</v>
          </cell>
          <cell r="Z380" t="str">
            <v>RTS 181 JS2 SIT 27/08/2020
Point FRD --&gt; courrier réponse MF19_ATBT_2020-00542. Dans l'atttente confirmation RATP du décallage de la FD</v>
          </cell>
          <cell r="AA380" t="str">
            <v>E</v>
          </cell>
          <cell r="AB380" t="str">
            <v>Interface</v>
          </cell>
          <cell r="AC380" t="str">
            <v>SIT</v>
          </cell>
          <cell r="AD380" t="str">
            <v>ING-SVM-STV-D-2017-000034</v>
          </cell>
          <cell r="AE380" t="str">
            <v>Spécification d'interface avec le Serveur Phonie Embarqué et le Poste TETRA Embarqué</v>
          </cell>
          <cell r="AF380" t="str">
            <v>Management particulier</v>
          </cell>
          <cell r="AI380">
            <v>1</v>
          </cell>
          <cell r="AN380" t="str">
            <v>FD</v>
          </cell>
          <cell r="AO380" t="str">
            <v>FD</v>
          </cell>
          <cell r="CG380" t="str">
            <v>07/10/2020 : enlevé le "barré" de la FD à JS2 pour pouvoir importer dans la base arbo. Pas encore accepté par la RATP</v>
          </cell>
          <cell r="CH380" t="e">
            <v>#N/A</v>
          </cell>
          <cell r="CI380" t="e">
            <v>#N/A</v>
          </cell>
          <cell r="CJ380" t="e">
            <v>#N/A</v>
          </cell>
        </row>
        <row r="381">
          <cell r="B381" t="str">
            <v>Ligne_145_PPD</v>
          </cell>
          <cell r="C381">
            <v>145</v>
          </cell>
          <cell r="E381" t="str">
            <v>Dossier de définition du fonctionnement de l’alimentation électrique du TDSE et autres équipements de fourniture RATP et de la continuité masse électrique "Routeur" et "Bloc radio"</v>
          </cell>
          <cell r="G381" t="str">
            <v>Fonctionnel electrIque / strategie d'alimentation electrique</v>
          </cell>
          <cell r="R381" t="str">
            <v>VPF</v>
          </cell>
          <cell r="S381" t="str">
            <v>AT</v>
          </cell>
          <cell r="T381" t="str">
            <v>EX</v>
          </cell>
          <cell r="U381" t="str">
            <v>W.BOSQUILLON</v>
          </cell>
          <cell r="Z381" t="str">
            <v>RTS 181 JS2 SIT 27/08/2020</v>
          </cell>
          <cell r="AA381" t="str">
            <v>E</v>
          </cell>
          <cell r="AB381" t="str">
            <v>Interface</v>
          </cell>
          <cell r="AC381" t="str">
            <v>SIT</v>
          </cell>
          <cell r="AD381" t="str">
            <v>ING-SVM-STV-D-2016-5126</v>
          </cell>
          <cell r="AE381" t="str">
            <v xml:space="preserve">Spécification Interface TDSE </v>
          </cell>
          <cell r="AF381" t="str">
            <v>7.1</v>
          </cell>
          <cell r="AI381">
            <v>1</v>
          </cell>
          <cell r="AN381" t="str">
            <v>FD</v>
          </cell>
          <cell r="CH381" t="e">
            <v>#N/A</v>
          </cell>
          <cell r="CI381" t="e">
            <v>#N/A</v>
          </cell>
          <cell r="CJ381" t="e">
            <v>#N/A</v>
          </cell>
        </row>
        <row r="382">
          <cell r="B382" t="str">
            <v>Ligne_146_PPD</v>
          </cell>
          <cell r="C382">
            <v>146</v>
          </cell>
          <cell r="E382" t="str">
            <v>Dossier de définition des séquences de mise en service et à l’arrêt du "Routeur" et du "Bloc radio"</v>
          </cell>
          <cell r="G382" t="str">
            <v>attendu et jalon à confirmer suivant discussion doc 50 (RTS IVSC/VP et CBTC en septembre)</v>
          </cell>
          <cell r="R382" t="str">
            <v>VBN</v>
          </cell>
          <cell r="S382" t="str">
            <v>AT</v>
          </cell>
          <cell r="T382" t="str">
            <v>EX</v>
          </cell>
          <cell r="U382" t="str">
            <v>P.DENIS</v>
          </cell>
          <cell r="Z382" t="str">
            <v>RTS 181 JS2 SIT 27/08/2020</v>
          </cell>
          <cell r="AA382" t="str">
            <v>E</v>
          </cell>
          <cell r="AB382" t="str">
            <v>Interface</v>
          </cell>
          <cell r="AC382" t="str">
            <v>SIT</v>
          </cell>
          <cell r="AD382" t="str">
            <v>ING-SVM-STV-D-2016-5126</v>
          </cell>
          <cell r="AE382" t="str">
            <v xml:space="preserve">Spécification Interface TDSE </v>
          </cell>
          <cell r="AF382" t="str">
            <v>7.2</v>
          </cell>
          <cell r="AI382">
            <v>1</v>
          </cell>
          <cell r="AN382" t="str">
            <v>FD</v>
          </cell>
          <cell r="CH382" t="e">
            <v>#N/A</v>
          </cell>
          <cell r="CI382" t="e">
            <v>#N/A</v>
          </cell>
          <cell r="CJ382" t="e">
            <v>#N/A</v>
          </cell>
        </row>
        <row r="383">
          <cell r="B383" t="str">
            <v>Ligne_147_PPD</v>
          </cell>
          <cell r="C383">
            <v>147</v>
          </cell>
          <cell r="E383" t="str">
            <v xml:space="preserve">Performances du réseau local embarqué haut débit </v>
          </cell>
          <cell r="G383" t="str">
            <v xml:space="preserve">Performances du réseau local embarqué haut débit </v>
          </cell>
          <cell r="R383" t="str">
            <v>VBN</v>
          </cell>
          <cell r="S383" t="str">
            <v>AT</v>
          </cell>
          <cell r="T383" t="str">
            <v>EX</v>
          </cell>
          <cell r="U383" t="str">
            <v>P.DENIS</v>
          </cell>
          <cell r="Z383" t="str">
            <v>RTS 181 JS2 SIT 27/08/2020</v>
          </cell>
          <cell r="AA383" t="str">
            <v>E</v>
          </cell>
          <cell r="AB383" t="str">
            <v>Interface</v>
          </cell>
          <cell r="AC383" t="str">
            <v>SIT</v>
          </cell>
          <cell r="AD383" t="str">
            <v>ING-SVM-STV-D-2016-5131</v>
          </cell>
          <cell r="AE383" t="str">
            <v>Spécifications techniques réseau local embarqué haut débit</v>
          </cell>
          <cell r="AF383" t="str">
            <v>5.1</v>
          </cell>
          <cell r="AI383">
            <v>1</v>
          </cell>
          <cell r="AN383" t="str">
            <v>FP</v>
          </cell>
          <cell r="AP383" t="str">
            <v>FD</v>
          </cell>
          <cell r="CH383" t="e">
            <v>#N/A</v>
          </cell>
          <cell r="CI383" t="e">
            <v>#N/A</v>
          </cell>
          <cell r="CJ383" t="e">
            <v>#N/A</v>
          </cell>
        </row>
        <row r="384">
          <cell r="B384" t="str">
            <v>Ligne_148_PPD</v>
          </cell>
          <cell r="C384">
            <v>148</v>
          </cell>
          <cell r="E384" t="str">
            <v>Etude de la disponibilité du réseau et Fonctions offertes par le réseau</v>
          </cell>
          <cell r="G384" t="str">
            <v>Etude de la disponibilité du réseau</v>
          </cell>
          <cell r="R384" t="str">
            <v>VBN</v>
          </cell>
          <cell r="S384" t="str">
            <v>AT</v>
          </cell>
          <cell r="T384" t="str">
            <v>EX</v>
          </cell>
          <cell r="U384" t="str">
            <v>P.DENIS</v>
          </cell>
          <cell r="Z384" t="str">
            <v>RTS 181 JS2 SIT 27/08/2020</v>
          </cell>
          <cell r="AA384" t="str">
            <v>E</v>
          </cell>
          <cell r="AB384" t="str">
            <v>Interface</v>
          </cell>
          <cell r="AC384" t="str">
            <v>SIT</v>
          </cell>
          <cell r="AD384" t="str">
            <v>ING-SVM-STV-D-2016-5131</v>
          </cell>
          <cell r="AE384" t="str">
            <v>Spécifications techniques réseau local embarqué haut débit</v>
          </cell>
          <cell r="AF384" t="str">
            <v>5.2</v>
          </cell>
          <cell r="AI384">
            <v>1</v>
          </cell>
          <cell r="AN384" t="str">
            <v>FP</v>
          </cell>
          <cell r="AP384" t="str">
            <v>FD</v>
          </cell>
          <cell r="CH384" t="e">
            <v>#N/A</v>
          </cell>
          <cell r="CI384" t="e">
            <v>#N/A</v>
          </cell>
          <cell r="CJ384" t="e">
            <v>#N/A</v>
          </cell>
        </row>
        <row r="385">
          <cell r="B385" t="str">
            <v>Ligne_149_PPD</v>
          </cell>
          <cell r="C385">
            <v>149</v>
          </cell>
          <cell r="E385" t="str">
            <v>Gestion des priorités</v>
          </cell>
          <cell r="G385" t="str">
            <v>SyRSAD Réseaux Ethernet embarqués </v>
          </cell>
          <cell r="R385" t="str">
            <v>VBN</v>
          </cell>
          <cell r="S385" t="str">
            <v>AT</v>
          </cell>
          <cell r="T385" t="str">
            <v>EX</v>
          </cell>
          <cell r="U385" t="str">
            <v>P.DENIS</v>
          </cell>
          <cell r="Z385" t="str">
            <v>RTS 181 JS2 SIT 27/08/2020</v>
          </cell>
          <cell r="AA385" t="str">
            <v>E</v>
          </cell>
          <cell r="AB385" t="str">
            <v>Interface</v>
          </cell>
          <cell r="AC385" t="str">
            <v>SIT</v>
          </cell>
          <cell r="AD385" t="str">
            <v>ING-SVM-STV-D-2016-5131</v>
          </cell>
          <cell r="AE385" t="str">
            <v>Spécifications techniques réseau local embarqué haut débit</v>
          </cell>
          <cell r="AF385" t="str">
            <v>5.3</v>
          </cell>
          <cell r="AI385">
            <v>1</v>
          </cell>
          <cell r="AN385" t="str">
            <v>FP</v>
          </cell>
          <cell r="AP385" t="str">
            <v>FD</v>
          </cell>
          <cell r="CH385" t="e">
            <v>#N/A</v>
          </cell>
          <cell r="CI385" t="e">
            <v>#N/A</v>
          </cell>
          <cell r="CJ385" t="e">
            <v>#N/A</v>
          </cell>
        </row>
        <row r="386">
          <cell r="B386" t="str">
            <v>Ligne_150_PPD</v>
          </cell>
          <cell r="C386">
            <v>150</v>
          </cell>
          <cell r="E386" t="str">
            <v>Document d'Accès aux équipements réseau, principe d'étancheité et de protection du réseau</v>
          </cell>
          <cell r="G386" t="str">
            <v>inclus dans l'item PPD_149</v>
          </cell>
          <cell r="R386" t="str">
            <v>NA</v>
          </cell>
          <cell r="S386" t="str">
            <v>AT</v>
          </cell>
          <cell r="T386" t="str">
            <v>NA</v>
          </cell>
          <cell r="U386" t="str">
            <v>P.DENIS</v>
          </cell>
          <cell r="Z386" t="str">
            <v>RTS 181 JS2 SIT 27/08/2020</v>
          </cell>
          <cell r="AA386" t="str">
            <v>E</v>
          </cell>
          <cell r="AB386" t="str">
            <v>Interface</v>
          </cell>
          <cell r="AC386" t="str">
            <v>SIT</v>
          </cell>
          <cell r="AD386" t="str">
            <v>ING-SVM-STV-D-2016-5131</v>
          </cell>
          <cell r="AE386" t="str">
            <v>Spécifications techniques réseau local embarqué haut débit</v>
          </cell>
          <cell r="AF386" t="str">
            <v>5.4</v>
          </cell>
          <cell r="AI386" t="str">
            <v>RENVOI</v>
          </cell>
          <cell r="AN386" t="str">
            <v>FP</v>
          </cell>
          <cell r="AP386" t="str">
            <v>FD</v>
          </cell>
          <cell r="CH386" t="e">
            <v>#N/A</v>
          </cell>
          <cell r="CI386" t="e">
            <v>#N/A</v>
          </cell>
          <cell r="CJ386" t="e">
            <v>#N/A</v>
          </cell>
        </row>
        <row r="387">
          <cell r="B387" t="str">
            <v>Ligne_151_PPD</v>
          </cell>
          <cell r="C387">
            <v>151</v>
          </cell>
          <cell r="E387" t="str">
            <v>Document "Interface CBTC/MR : Câblage et connecteurs"</v>
          </cell>
          <cell r="G387" t="str">
            <v>Interface CBTC/MR : Câblage et connecteurs</v>
          </cell>
          <cell r="R387" t="str">
            <v>VPF</v>
          </cell>
          <cell r="S387" t="str">
            <v>AT</v>
          </cell>
          <cell r="T387" t="str">
            <v>EX</v>
          </cell>
          <cell r="U387" t="str">
            <v>W.BOSQUILLON</v>
          </cell>
          <cell r="Z387" t="str">
            <v>RTS JS2 à programmer</v>
          </cell>
          <cell r="AA387" t="str">
            <v>E</v>
          </cell>
          <cell r="AB387" t="str">
            <v>Interface</v>
          </cell>
          <cell r="AC387" t="str">
            <v>ING</v>
          </cell>
          <cell r="AD387" t="str">
            <v>STF-17-6128_annexe4</v>
          </cell>
          <cell r="AE387" t="str">
            <v>Annexe 4 : Intégration et limites de prestations MF19 / CBTC</v>
          </cell>
          <cell r="AF387" t="str">
            <v>4.2.2</v>
          </cell>
          <cell r="AI387">
            <v>1</v>
          </cell>
          <cell r="AN387" t="str">
            <v>FD</v>
          </cell>
          <cell r="CH387" t="e">
            <v>#N/A</v>
          </cell>
          <cell r="CI387" t="e">
            <v>#N/A</v>
          </cell>
          <cell r="CJ387" t="e">
            <v>#N/A</v>
          </cell>
        </row>
        <row r="388">
          <cell r="B388" t="str">
            <v>Ligne_152_PPD</v>
          </cell>
          <cell r="C388">
            <v>152</v>
          </cell>
          <cell r="E388" t="str">
            <v xml:space="preserve">Définition de l'implantation des baies de brassage </v>
          </cell>
          <cell r="G388" t="str">
            <v xml:space="preserve">implantation des baies de brassage </v>
          </cell>
          <cell r="R388" t="str">
            <v>VPF</v>
          </cell>
          <cell r="S388" t="str">
            <v>AT</v>
          </cell>
          <cell r="T388" t="str">
            <v>EX</v>
          </cell>
          <cell r="U388" t="str">
            <v>W.BOSQUILLON</v>
          </cell>
          <cell r="Z388" t="str">
            <v>RTS JS2 à programmer</v>
          </cell>
          <cell r="AA388" t="str">
            <v>E</v>
          </cell>
          <cell r="AB388" t="str">
            <v>Interface</v>
          </cell>
          <cell r="AC388" t="str">
            <v>ING</v>
          </cell>
          <cell r="AD388" t="str">
            <v>STF-17-6128_annexe4</v>
          </cell>
          <cell r="AE388" t="str">
            <v>Annexe 4 : Intégration et limites de prestations MF19 / CBTC</v>
          </cell>
          <cell r="AF388" t="str">
            <v>4.2.3</v>
          </cell>
          <cell r="AI388">
            <v>1</v>
          </cell>
          <cell r="AN388" t="str">
            <v>FD</v>
          </cell>
          <cell r="CH388" t="e">
            <v>#N/A</v>
          </cell>
          <cell r="CI388" t="e">
            <v>#N/A</v>
          </cell>
          <cell r="CJ388" t="e">
            <v>#N/A</v>
          </cell>
        </row>
        <row r="389">
          <cell r="B389" t="str">
            <v>Ligne_153_PPD</v>
          </cell>
          <cell r="C389">
            <v>153</v>
          </cell>
          <cell r="E389" t="str">
            <v>Définition des spécifications technique des interfaces physiques (mécaniques) des coffres accueillant les baies CBTC</v>
          </cell>
          <cell r="G389" t="str">
            <v>clarification nécesaire sur le split AT/BT en fonction de l'attendu</v>
          </cell>
          <cell r="S389" t="str">
            <v>ABT</v>
          </cell>
          <cell r="U389" t="str">
            <v>W.BOSQUILLON</v>
          </cell>
          <cell r="Z389" t="str">
            <v>RTS JS2 à programmer</v>
          </cell>
          <cell r="AA389" t="str">
            <v>E</v>
          </cell>
          <cell r="AB389" t="str">
            <v>Interface</v>
          </cell>
          <cell r="AC389" t="str">
            <v>ING</v>
          </cell>
          <cell r="AD389" t="str">
            <v>STF-17-6128_annexe4</v>
          </cell>
          <cell r="AE389" t="str">
            <v>Annexe 4 : Intégration et limites de prestations MF19 / CBTC</v>
          </cell>
          <cell r="AF389" t="str">
            <v>4.2.4</v>
          </cell>
          <cell r="AI389">
            <v>1</v>
          </cell>
          <cell r="AN389" t="str">
            <v>FD</v>
          </cell>
          <cell r="CH389" t="e">
            <v>#N/A</v>
          </cell>
          <cell r="CI389" t="e">
            <v>#N/A</v>
          </cell>
          <cell r="CJ389" t="e">
            <v>#N/A</v>
          </cell>
        </row>
        <row r="390">
          <cell r="B390" t="str">
            <v>Ligne_154_PPD</v>
          </cell>
          <cell r="C390">
            <v>154</v>
          </cell>
          <cell r="E390" t="str">
            <v>Spécification technique des interfaces physiques (mécaniques) de l'équipement accueillant la roue phonique double CBTC</v>
          </cell>
          <cell r="G390" t="str">
            <v>PLAN DE LA "END CAP RONDELLE DE FERMETURE EN BOUT D'AXE"</v>
          </cell>
          <cell r="R390" t="str">
            <v>BT</v>
          </cell>
          <cell r="S390" t="str">
            <v>BT</v>
          </cell>
          <cell r="T390" t="str">
            <v>EX</v>
          </cell>
          <cell r="U390" t="str">
            <v>Christophe Hamann</v>
          </cell>
          <cell r="V390" t="str">
            <v>BOMBARDIER</v>
          </cell>
          <cell r="Z390" t="str">
            <v>RTS JS2 à programmer</v>
          </cell>
          <cell r="AA390" t="str">
            <v>E</v>
          </cell>
          <cell r="AB390" t="str">
            <v>Interface</v>
          </cell>
          <cell r="AC390" t="str">
            <v>ING</v>
          </cell>
          <cell r="AD390" t="str">
            <v>STF-17-6128_annexe4</v>
          </cell>
          <cell r="AE390" t="str">
            <v>Annexe 4 : Intégration et limites de prestations MF19 / CBTC</v>
          </cell>
          <cell r="AF390" t="str">
            <v>4.2.6</v>
          </cell>
          <cell r="AI390">
            <v>1</v>
          </cell>
          <cell r="AM390" t="str">
            <v>FD</v>
          </cell>
          <cell r="BK390">
            <v>44162</v>
          </cell>
          <cell r="CH390" t="e">
            <v>#N/A</v>
          </cell>
          <cell r="CI390" t="e">
            <v>#N/A</v>
          </cell>
          <cell r="CJ390" t="e">
            <v>#N/A</v>
          </cell>
        </row>
        <row r="391">
          <cell r="B391" t="str">
            <v>Ligne_155_PPD</v>
          </cell>
          <cell r="C391">
            <v>155</v>
          </cell>
          <cell r="E391" t="str">
            <v>Document : "Interface CBTC/MR : Spécification de montage de la roue phonique et de sa pièce d'interface"</v>
          </cell>
          <cell r="G391" t="str">
            <v>PLAN ESSIEU MONTE BOITE</v>
          </cell>
          <cell r="R391" t="str">
            <v>BT</v>
          </cell>
          <cell r="S391" t="str">
            <v>BT</v>
          </cell>
          <cell r="T391" t="str">
            <v>EX</v>
          </cell>
          <cell r="U391" t="str">
            <v>Bogie</v>
          </cell>
          <cell r="V391" t="str">
            <v>BOMBARDIER</v>
          </cell>
          <cell r="Z391" t="str">
            <v>RTS JS2 à programmer</v>
          </cell>
          <cell r="AA391" t="str">
            <v>E</v>
          </cell>
          <cell r="AB391" t="str">
            <v>Interface</v>
          </cell>
          <cell r="AC391" t="str">
            <v>ING</v>
          </cell>
          <cell r="AD391" t="str">
            <v>STF-17-6128_annexe4</v>
          </cell>
          <cell r="AE391" t="str">
            <v>Annexe 4 : Intégration et limites de prestations MF19 / CBTC</v>
          </cell>
          <cell r="AF391" t="str">
            <v>4.2.6</v>
          </cell>
          <cell r="AI391">
            <v>1</v>
          </cell>
          <cell r="AO391" t="str">
            <v>FD</v>
          </cell>
          <cell r="CH391" t="e">
            <v>#N/A</v>
          </cell>
          <cell r="CI391" t="e">
            <v>#N/A</v>
          </cell>
          <cell r="CJ391" t="e">
            <v>#N/A</v>
          </cell>
        </row>
        <row r="392">
          <cell r="B392" t="str">
            <v>Ligne_156_PPD</v>
          </cell>
          <cell r="C392">
            <v>156</v>
          </cell>
          <cell r="E392" t="str">
            <v>Dossier de définition de la poutre de support des antennes CBTC sur bogie (visserie incluse)</v>
          </cell>
          <cell r="G392" t="str">
            <v>PLAN MONTAGE POUTRE ANBAL (CAPTEUR CBTC)</v>
          </cell>
          <cell r="R392" t="str">
            <v>BT</v>
          </cell>
          <cell r="S392" t="str">
            <v>BT</v>
          </cell>
          <cell r="T392" t="str">
            <v>EX</v>
          </cell>
          <cell r="U392" t="str">
            <v>Bogie</v>
          </cell>
          <cell r="V392" t="str">
            <v>BOMBARDIER</v>
          </cell>
          <cell r="Z392" t="str">
            <v>RTS JS2 à programmer</v>
          </cell>
          <cell r="AA392" t="str">
            <v>E</v>
          </cell>
          <cell r="AB392" t="str">
            <v>Interface</v>
          </cell>
          <cell r="AC392" t="str">
            <v>ING</v>
          </cell>
          <cell r="AD392" t="str">
            <v>STF-17-6128_annexe4</v>
          </cell>
          <cell r="AE392" t="str">
            <v>Annexe 4 : Intégration et limites de prestations MF19 / CBTC</v>
          </cell>
          <cell r="AF392" t="str">
            <v>4.2.7</v>
          </cell>
          <cell r="AI392">
            <v>1</v>
          </cell>
          <cell r="AN392" t="str">
            <v>FD</v>
          </cell>
          <cell r="AO392" t="str">
            <v>FD</v>
          </cell>
          <cell r="CG392" t="str">
            <v>07/10/2020 : enlevé le "barré" de la FD à JS2 pour pouvoir importer dans la base arbo. Pas encore accepté par la RATP</v>
          </cell>
          <cell r="CH392" t="e">
            <v>#N/A</v>
          </cell>
          <cell r="CI392" t="e">
            <v>#N/A</v>
          </cell>
          <cell r="CJ392" t="e">
            <v>#N/A</v>
          </cell>
        </row>
        <row r="393">
          <cell r="B393" t="str">
            <v>Ligne_157_PPD</v>
          </cell>
          <cell r="C393">
            <v>157</v>
          </cell>
          <cell r="E393" t="str">
            <v>Document : "Interface CBTC/MR : Spécification de l'implantation technique de l'antenne CBTC en casquette (visserie incluse)"</v>
          </cell>
          <cell r="G393" t="str">
            <v>PLAN MONTAGE ANTENNE CBTC EN CASQUETTE</v>
          </cell>
          <cell r="R393" t="str">
            <v>BT</v>
          </cell>
          <cell r="S393" t="str">
            <v>BT</v>
          </cell>
          <cell r="T393" t="str">
            <v>EX</v>
          </cell>
          <cell r="U393" t="str">
            <v>Bogie</v>
          </cell>
          <cell r="V393" t="str">
            <v>BOMBARDIER</v>
          </cell>
          <cell r="Z393" t="str">
            <v>RTS JS2 à programmer</v>
          </cell>
          <cell r="AA393" t="str">
            <v>E</v>
          </cell>
          <cell r="AB393" t="str">
            <v>Interface</v>
          </cell>
          <cell r="AC393" t="str">
            <v>ING</v>
          </cell>
          <cell r="AD393" t="str">
            <v>STF-17-6128_annexe4</v>
          </cell>
          <cell r="AE393" t="str">
            <v>Annexe 4 : Intégration et limites de prestations MF19 / CBTC</v>
          </cell>
          <cell r="AF393" t="str">
            <v>4.2.8</v>
          </cell>
          <cell r="AI393">
            <v>1</v>
          </cell>
          <cell r="AN393" t="str">
            <v>FD</v>
          </cell>
          <cell r="AO393" t="str">
            <v>FD</v>
          </cell>
          <cell r="CG393" t="str">
            <v>07/10/2020 : enlevé le "barré" de la FD à JS2 pour pouvoir importer dans la base arbo. Pas encore accepté par la RATP</v>
          </cell>
          <cell r="CH393" t="e">
            <v>#N/A</v>
          </cell>
          <cell r="CI393" t="e">
            <v>#N/A</v>
          </cell>
          <cell r="CJ393" t="e">
            <v>#N/A</v>
          </cell>
        </row>
        <row r="394">
          <cell r="B394" t="str">
            <v>A discuter en RTS</v>
          </cell>
          <cell r="C394">
            <v>158</v>
          </cell>
          <cell r="E394" t="str">
            <v>Document : "Interface CBTC/MR : flux logiques"</v>
          </cell>
          <cell r="G394" t="str">
            <v>à confirmer si inclus 158, 159 et 228 (réunion doc 50)</v>
          </cell>
          <cell r="R394" t="str">
            <v>VPF</v>
          </cell>
          <cell r="S394" t="str">
            <v>AT</v>
          </cell>
          <cell r="T394" t="str">
            <v>NA</v>
          </cell>
          <cell r="U394" t="str">
            <v>JF.GLOWACKA</v>
          </cell>
          <cell r="Z394" t="str">
            <v>RTS JS2 à programmer</v>
          </cell>
          <cell r="AA394" t="str">
            <v>E</v>
          </cell>
          <cell r="AB394" t="str">
            <v>Interface</v>
          </cell>
          <cell r="AC394" t="str">
            <v>ING</v>
          </cell>
          <cell r="AD394" t="str">
            <v>STF-17-6128_annexe4</v>
          </cell>
          <cell r="AE394" t="str">
            <v>Annexe 4 : Intégration et limites de prestations MF19 / CBTC</v>
          </cell>
          <cell r="AF394" t="str">
            <v>4.2.9</v>
          </cell>
          <cell r="AI394">
            <v>1</v>
          </cell>
          <cell r="AO394" t="str">
            <v>FD</v>
          </cell>
          <cell r="CH394" t="e">
            <v>#N/A</v>
          </cell>
          <cell r="CI394" t="e">
            <v>#N/A</v>
          </cell>
          <cell r="CJ394" t="e">
            <v>#N/A</v>
          </cell>
        </row>
        <row r="395">
          <cell r="B395" t="str">
            <v>A discuter en RTS</v>
          </cell>
          <cell r="C395">
            <v>159</v>
          </cell>
          <cell r="E395" t="str">
            <v>Document : "Interface CBTC/MR : performance des information échanges du Matériel Roulant vers le CBTC"</v>
          </cell>
          <cell r="G395" t="str">
            <v>à confirmer si inclus 158, 159 et 228 (réunion doc 50)</v>
          </cell>
          <cell r="R395" t="str">
            <v>VPF</v>
          </cell>
          <cell r="S395" t="str">
            <v>AT</v>
          </cell>
          <cell r="T395" t="str">
            <v>NA</v>
          </cell>
          <cell r="U395" t="str">
            <v>JF.GLOWACKA</v>
          </cell>
          <cell r="Z395" t="str">
            <v>RTS JS2 à programmer</v>
          </cell>
          <cell r="AA395" t="str">
            <v>E</v>
          </cell>
          <cell r="AB395" t="str">
            <v>Interface</v>
          </cell>
          <cell r="AC395" t="str">
            <v>ING</v>
          </cell>
          <cell r="AD395" t="str">
            <v>STF-17-6128_annexe4</v>
          </cell>
          <cell r="AE395" t="str">
            <v>Annexe 4 : Intégration et limites de prestations MF19 / CBTC</v>
          </cell>
          <cell r="AF395" t="str">
            <v>4.2.10</v>
          </cell>
          <cell r="AI395">
            <v>1</v>
          </cell>
          <cell r="AN395" t="str">
            <v>FD</v>
          </cell>
          <cell r="AO395" t="str">
            <v>FD</v>
          </cell>
          <cell r="CG395" t="str">
            <v>07/10/2020 : enlevé le "barré" de la FD à JS2 pour pouvoir importer dans la base arbo. Pas encore accepté par la RATP</v>
          </cell>
          <cell r="CH395" t="e">
            <v>#N/A</v>
          </cell>
          <cell r="CI395" t="e">
            <v>#N/A</v>
          </cell>
          <cell r="CJ395" t="e">
            <v>#N/A</v>
          </cell>
        </row>
        <row r="396">
          <cell r="B396" t="str">
            <v>Ligne_160_PPD</v>
          </cell>
          <cell r="C396">
            <v>160</v>
          </cell>
          <cell r="E396" t="str">
            <v>Modèle théorique du train pour mise au point de l’asservissement du CBTC bord</v>
          </cell>
          <cell r="G396" t="str">
            <v/>
          </cell>
          <cell r="S396" t="str">
            <v>AT</v>
          </cell>
          <cell r="U396" t="str">
            <v>MA.SAILLARD</v>
          </cell>
          <cell r="AA396" t="str">
            <v>E</v>
          </cell>
          <cell r="AB396" t="str">
            <v>Interface</v>
          </cell>
          <cell r="AC396" t="str">
            <v>ING</v>
          </cell>
          <cell r="AD396" t="str">
            <v>STF-17-6128_annexe4</v>
          </cell>
          <cell r="AE396" t="str">
            <v>Annexe 4 : Intégration et limites de prestations MF19 / CBTC</v>
          </cell>
          <cell r="AF396" t="str">
            <v>4.2.13</v>
          </cell>
          <cell r="AI396">
            <v>1</v>
          </cell>
          <cell r="AP396" t="str">
            <v>FD</v>
          </cell>
          <cell r="AT396" t="str">
            <v>Maj</v>
          </cell>
          <cell r="CH396" t="e">
            <v>#N/A</v>
          </cell>
          <cell r="CI396" t="e">
            <v>#N/A</v>
          </cell>
          <cell r="CJ396" t="e">
            <v>#N/A</v>
          </cell>
        </row>
        <row r="397">
          <cell r="A397" t="str">
            <v>ADD0003308429</v>
          </cell>
          <cell r="B397" t="str">
            <v>Ligne_161_PPD</v>
          </cell>
          <cell r="C397">
            <v>161</v>
          </cell>
          <cell r="E397" t="str">
            <v>Journal des Points Critiques de Sécurité (JPCS)</v>
          </cell>
          <cell r="F397" t="str">
            <v>B</v>
          </cell>
          <cell r="G397" t="str">
            <v>JOURNAL DES POINTS CRITIQUES DE SECURITE - JPCS</v>
          </cell>
          <cell r="M397" t="str">
            <v>M-07_GESTION_DE_LA_SURETE_DE_FONCTIONNEMENT</v>
          </cell>
          <cell r="N397" t="str">
            <v>DJD</v>
          </cell>
          <cell r="O397" t="str">
            <v>DSEC_DOC SECURITE</v>
          </cell>
          <cell r="Q397" t="str">
            <v>0</v>
          </cell>
          <cell r="R397" t="str">
            <v>VPF</v>
          </cell>
          <cell r="S397" t="str">
            <v>AT</v>
          </cell>
          <cell r="T397" t="str">
            <v>BT</v>
          </cell>
          <cell r="U397" t="str">
            <v>D.CHANAL</v>
          </cell>
          <cell r="V397" t="str">
            <v xml:space="preserve">ALSTOM </v>
          </cell>
          <cell r="W397" t="str">
            <v>N</v>
          </cell>
          <cell r="X397" t="str">
            <v>Document contractuel FP</v>
          </cell>
          <cell r="Z397" t="str">
            <v>RTS 191 JS2 ESF 04/09/2020</v>
          </cell>
          <cell r="AA397" t="str">
            <v>E</v>
          </cell>
          <cell r="AB397" t="str">
            <v>Projet</v>
          </cell>
          <cell r="AC397" t="str">
            <v>ESF</v>
          </cell>
          <cell r="AD397" t="str">
            <v>SM ET.4-10639</v>
          </cell>
          <cell r="AE397" t="str">
            <v>Spécification de management MF19</v>
          </cell>
          <cell r="AF397" t="str">
            <v>7.3.7</v>
          </cell>
          <cell r="AI397">
            <v>1</v>
          </cell>
          <cell r="AL397" t="str">
            <v>FP</v>
          </cell>
          <cell r="AN397" t="str">
            <v>FD</v>
          </cell>
          <cell r="AP397" t="str">
            <v>Maj</v>
          </cell>
          <cell r="AU397" t="str">
            <v>Maj</v>
          </cell>
          <cell r="AW397" t="str">
            <v>Maj</v>
          </cell>
          <cell r="BJ397">
            <v>44011</v>
          </cell>
          <cell r="CH397" t="str">
            <v>MF19_BORD_AT_00023</v>
          </cell>
          <cell r="CI397" t="str">
            <v>A</v>
          </cell>
          <cell r="CJ397" t="str">
            <v>FP</v>
          </cell>
        </row>
        <row r="398">
          <cell r="B398" t="str">
            <v>Ligne_162_PPD</v>
          </cell>
          <cell r="C398">
            <v>162</v>
          </cell>
          <cell r="E398" t="str">
            <v>Dossier ASL (Dossier de maintenabilité, AMDEC, analyses de réparabilité, ARO, analyses de tâches, ...), suivi des évolutions</v>
          </cell>
          <cell r="G398" t="str">
            <v>LIVRABLE</v>
          </cell>
          <cell r="R398" t="str">
            <v>NA</v>
          </cell>
          <cell r="S398" t="str">
            <v>ABT</v>
          </cell>
          <cell r="T398" t="str">
            <v>NA</v>
          </cell>
          <cell r="U398" t="str">
            <v>M.THOREL</v>
          </cell>
          <cell r="Z398" t="str">
            <v>RTS 161 JS2 AME/M2I/MRB 03/07/2020</v>
          </cell>
          <cell r="AA398" t="str">
            <v>SL</v>
          </cell>
          <cell r="AB398" t="str">
            <v>Soutien Logistique</v>
          </cell>
          <cell r="AC398" t="str">
            <v>M2I</v>
          </cell>
          <cell r="AD398" t="str">
            <v>IPM-MT-MF19-SSL</v>
          </cell>
          <cell r="AE398" t="str">
            <v xml:space="preserve">Spécification de Soutien Logistique Intégré </v>
          </cell>
          <cell r="AF398" t="str">
            <v>8.1.2</v>
          </cell>
          <cell r="AI398" t="str">
            <v>LIVRABLE</v>
          </cell>
          <cell r="AN398" t="str">
            <v xml:space="preserve">FP </v>
          </cell>
          <cell r="AP398" t="str">
            <v>FP</v>
          </cell>
          <cell r="AU398" t="str">
            <v>Maj</v>
          </cell>
          <cell r="BA398" t="str">
            <v>FD</v>
          </cell>
          <cell r="BE398" t="str">
            <v>FD</v>
          </cell>
          <cell r="BF398" t="str">
            <v>Maj</v>
          </cell>
          <cell r="CG398" t="str">
            <v>07/10/2020 : enlevé le "barré" de la FD à JU1.2 pour pouvoir importer dans la base arbo. Pas encore accepté par la RATP</v>
          </cell>
          <cell r="CH398" t="e">
            <v>#N/A</v>
          </cell>
          <cell r="CI398" t="e">
            <v>#N/A</v>
          </cell>
          <cell r="CJ398" t="e">
            <v>#N/A</v>
          </cell>
        </row>
        <row r="399">
          <cell r="B399" t="str">
            <v>Ligne_162.1_PPD</v>
          </cell>
          <cell r="C399" t="str">
            <v>162.1</v>
          </cell>
          <cell r="E399" t="str">
            <v>Dossier ASL (Dossier de maintenabilité, AMDEC, analyses de réparabilité, ARO, analyses de tâches, ...), suivi des évolutions</v>
          </cell>
          <cell r="G399" t="str">
            <v>Analyse de maintenabilité organe</v>
          </cell>
          <cell r="R399" t="str">
            <v>VPF</v>
          </cell>
          <cell r="S399" t="str">
            <v>ABT</v>
          </cell>
          <cell r="T399" t="str">
            <v>BT</v>
          </cell>
          <cell r="U399" t="str">
            <v>M.THOREL</v>
          </cell>
          <cell r="Z399" t="str">
            <v>RTS 161 JS2 AME/M2I/MRB 03/07/2020</v>
          </cell>
          <cell r="AA399" t="str">
            <v>SL</v>
          </cell>
          <cell r="AB399" t="str">
            <v>Soutien Logistique</v>
          </cell>
          <cell r="AC399" t="str">
            <v>M2I</v>
          </cell>
          <cell r="AD399" t="str">
            <v>IPM-MT-MF19-SSL</v>
          </cell>
          <cell r="AE399" t="str">
            <v xml:space="preserve">Spécification de Soutien Logistique Intégré </v>
          </cell>
          <cell r="AF399" t="str">
            <v>8.1.2</v>
          </cell>
          <cell r="AI399">
            <v>20</v>
          </cell>
          <cell r="AN399" t="str">
            <v xml:space="preserve">FP </v>
          </cell>
          <cell r="AT399" t="str">
            <v>FP</v>
          </cell>
          <cell r="BA399" t="str">
            <v>FD</v>
          </cell>
          <cell r="BE399" t="str">
            <v>FD</v>
          </cell>
          <cell r="BF399" t="str">
            <v>Maj</v>
          </cell>
          <cell r="CG399" t="str">
            <v>07/10/2020 : enlevé le "barré" de la FD à JU1.2 pour pouvoir importer dans la base arbo. Pas encore accepté par la RATP</v>
          </cell>
          <cell r="CH399" t="e">
            <v>#N/A</v>
          </cell>
          <cell r="CI399" t="e">
            <v>#N/A</v>
          </cell>
          <cell r="CJ399" t="e">
            <v>#N/A</v>
          </cell>
        </row>
        <row r="400">
          <cell r="B400" t="str">
            <v>Ligne_162.2_PPD</v>
          </cell>
          <cell r="C400" t="str">
            <v>162.2</v>
          </cell>
          <cell r="E400" t="str">
            <v>Dossier ASL (Dossier de maintenabilité, AMDEC, analyses de réparabilité, ARO, analyses de tâches, ...), suivi des évolutions</v>
          </cell>
          <cell r="G400" t="str">
            <v>Plan de maintenance préventive et corrective organe</v>
          </cell>
          <cell r="R400" t="str">
            <v>VPF</v>
          </cell>
          <cell r="S400" t="str">
            <v>ABT</v>
          </cell>
          <cell r="T400" t="str">
            <v>BT</v>
          </cell>
          <cell r="U400" t="str">
            <v>M.THOREL</v>
          </cell>
          <cell r="Z400" t="str">
            <v>RTS 161 JS2 AME/M2I/MRB 03/07/2020</v>
          </cell>
          <cell r="AA400" t="str">
            <v>SL</v>
          </cell>
          <cell r="AB400" t="str">
            <v>Soutien Logistique</v>
          </cell>
          <cell r="AC400" t="str">
            <v>M2I</v>
          </cell>
          <cell r="AD400" t="str">
            <v>IPM-MT-MF19-SSL</v>
          </cell>
          <cell r="AE400" t="str">
            <v xml:space="preserve">Spécification de Soutien Logistique Intégré </v>
          </cell>
          <cell r="AF400" t="str">
            <v>8.1.2</v>
          </cell>
          <cell r="AI400">
            <v>20</v>
          </cell>
          <cell r="AN400" t="str">
            <v xml:space="preserve">FP </v>
          </cell>
          <cell r="AT400" t="str">
            <v>FP</v>
          </cell>
          <cell r="BA400" t="str">
            <v>FD</v>
          </cell>
          <cell r="BE400" t="str">
            <v>FD</v>
          </cell>
          <cell r="BF400" t="str">
            <v>Maj</v>
          </cell>
          <cell r="CG400" t="str">
            <v>07/10/2020 : enlevé le "barré" de la FD à JU1.2 pour pouvoir importer dans la base arbo. Pas encore accepté par la RATP</v>
          </cell>
          <cell r="CH400" t="e">
            <v>#N/A</v>
          </cell>
          <cell r="CI400" t="e">
            <v>#N/A</v>
          </cell>
          <cell r="CJ400" t="e">
            <v>#N/A</v>
          </cell>
        </row>
        <row r="401">
          <cell r="B401" t="str">
            <v>Ligne_162.3_PPD</v>
          </cell>
          <cell r="C401" t="str">
            <v>162.3</v>
          </cell>
          <cell r="E401" t="str">
            <v>Dossier ASL (Dossier de maintenabilité, AMDEC, analyses de réparabilité, ARO, analyses de tâches, ...), suivi des évolutions</v>
          </cell>
          <cell r="G401" t="str">
            <v>Plan de maintenance corrective organe (incus dans un document unique 162.2 (corrective + préventive)</v>
          </cell>
          <cell r="R401" t="str">
            <v>NA</v>
          </cell>
          <cell r="S401" t="str">
            <v>ABT</v>
          </cell>
          <cell r="T401" t="str">
            <v>NA</v>
          </cell>
          <cell r="U401" t="str">
            <v>M.THOREL</v>
          </cell>
          <cell r="Z401" t="str">
            <v>RTS 161 JS2 AME/M2I/MRB 03/07/2020</v>
          </cell>
          <cell r="AA401" t="str">
            <v>SL</v>
          </cell>
          <cell r="AB401" t="str">
            <v>Soutien Logistique</v>
          </cell>
          <cell r="AC401" t="str">
            <v>M2I</v>
          </cell>
          <cell r="AD401" t="str">
            <v>IPM-MT-MF19-SSL</v>
          </cell>
          <cell r="AE401" t="str">
            <v xml:space="preserve">Spécification de Soutien Logistique Intégré </v>
          </cell>
          <cell r="AF401" t="str">
            <v>8.1.2</v>
          </cell>
          <cell r="AI401" t="str">
            <v>RENVOI</v>
          </cell>
          <cell r="AN401" t="str">
            <v xml:space="preserve">FP </v>
          </cell>
          <cell r="AP401" t="str">
            <v>FP</v>
          </cell>
          <cell r="AT401" t="str">
            <v>FP</v>
          </cell>
          <cell r="AU401" t="str">
            <v>Maj</v>
          </cell>
          <cell r="BA401" t="str">
            <v>FD</v>
          </cell>
          <cell r="BE401" t="str">
            <v>FD</v>
          </cell>
          <cell r="BF401" t="str">
            <v>Maj</v>
          </cell>
          <cell r="CG401" t="str">
            <v>07/10/2020 : enlevé le "barré" de la FD à JU1.2 pour pouvoir importer dans la base arbo. Pas encore accepté par la RATP</v>
          </cell>
          <cell r="CH401" t="e">
            <v>#N/A</v>
          </cell>
          <cell r="CI401" t="e">
            <v>#N/A</v>
          </cell>
          <cell r="CJ401" t="e">
            <v>#N/A</v>
          </cell>
        </row>
        <row r="402">
          <cell r="B402" t="str">
            <v>Ligne_162.4_PPD</v>
          </cell>
          <cell r="C402" t="str">
            <v>162.4</v>
          </cell>
          <cell r="E402" t="str">
            <v>Dossier ASL (Dossier de maintenabilité, AMDEC, analyses de réparabilité, ARO, analyses de tâches, ...), suivi des évolutions</v>
          </cell>
          <cell r="G402" t="str">
            <v>Modes opératoires organe</v>
          </cell>
          <cell r="R402" t="str">
            <v>VPF</v>
          </cell>
          <cell r="S402" t="str">
            <v>ABT</v>
          </cell>
          <cell r="T402" t="str">
            <v>BT</v>
          </cell>
          <cell r="U402" t="str">
            <v>M.THOREL</v>
          </cell>
          <cell r="AA402" t="str">
            <v>SL</v>
          </cell>
          <cell r="AB402" t="str">
            <v>Soutien Logistique</v>
          </cell>
          <cell r="AC402" t="str">
            <v>M2I</v>
          </cell>
          <cell r="AD402" t="str">
            <v>IPM-MT-MF19-SSL</v>
          </cell>
          <cell r="AE402" t="str">
            <v xml:space="preserve">Spécification de Soutien Logistique Intégré </v>
          </cell>
          <cell r="AF402" t="str">
            <v>8.1.2</v>
          </cell>
          <cell r="AI402">
            <v>20</v>
          </cell>
          <cell r="AP402" t="str">
            <v>FP</v>
          </cell>
          <cell r="AT402" t="str">
            <v>FP</v>
          </cell>
          <cell r="BA402" t="str">
            <v>FD</v>
          </cell>
          <cell r="BE402" t="str">
            <v>FD</v>
          </cell>
          <cell r="BF402" t="str">
            <v>Maj</v>
          </cell>
          <cell r="CG402" t="str">
            <v>07/10/2020 : enlevé le "barré" de la FD à JU1.2 pour pouvoir importer dans la base arbo. Pas encore accepté par la RATP</v>
          </cell>
          <cell r="CH402" t="e">
            <v>#N/A</v>
          </cell>
          <cell r="CI402" t="e">
            <v>#N/A</v>
          </cell>
          <cell r="CJ402" t="e">
            <v>#N/A</v>
          </cell>
        </row>
        <row r="403">
          <cell r="B403" t="str">
            <v>Ligne_163_PPD</v>
          </cell>
          <cell r="C403">
            <v>163</v>
          </cell>
          <cell r="E403" t="str">
            <v xml:space="preserve">Plan de maintenance préventive </v>
          </cell>
          <cell r="G403" t="str">
            <v/>
          </cell>
          <cell r="R403" t="str">
            <v>VPF</v>
          </cell>
          <cell r="S403" t="str">
            <v>AT</v>
          </cell>
          <cell r="T403" t="str">
            <v>BT</v>
          </cell>
          <cell r="U403" t="str">
            <v>M.THOREL</v>
          </cell>
          <cell r="AA403" t="str">
            <v>SL</v>
          </cell>
          <cell r="AB403" t="str">
            <v>Soutien Logistique</v>
          </cell>
          <cell r="AC403" t="str">
            <v>M2I</v>
          </cell>
          <cell r="AD403" t="str">
            <v>IPM-MT-MF19-SSL</v>
          </cell>
          <cell r="AE403" t="str">
            <v xml:space="preserve">Spécification de Soutien Logistique Intégré </v>
          </cell>
          <cell r="AF403" t="str">
            <v>8.2.1</v>
          </cell>
          <cell r="AI403">
            <v>1</v>
          </cell>
          <cell r="AT403" t="str">
            <v>FP</v>
          </cell>
          <cell r="AU403" t="str">
            <v>Maj</v>
          </cell>
          <cell r="BE403" t="str">
            <v>FD</v>
          </cell>
          <cell r="BF403" t="str">
            <v>Maj</v>
          </cell>
          <cell r="CH403" t="e">
            <v>#N/A</v>
          </cell>
          <cell r="CI403" t="e">
            <v>#N/A</v>
          </cell>
          <cell r="CJ403" t="e">
            <v>#N/A</v>
          </cell>
        </row>
        <row r="404">
          <cell r="B404" t="str">
            <v>Ligne_164_PPD</v>
          </cell>
          <cell r="C404">
            <v>164</v>
          </cell>
          <cell r="E404" t="str">
            <v xml:space="preserve">Plan de maintenance corrective </v>
          </cell>
          <cell r="G404" t="str">
            <v/>
          </cell>
          <cell r="R404" t="str">
            <v>VPF</v>
          </cell>
          <cell r="S404" t="str">
            <v>AT</v>
          </cell>
          <cell r="T404" t="str">
            <v>BT</v>
          </cell>
          <cell r="U404" t="str">
            <v>M.THOREL</v>
          </cell>
          <cell r="AA404" t="str">
            <v>SL</v>
          </cell>
          <cell r="AB404" t="str">
            <v>Soutien Logistique</v>
          </cell>
          <cell r="AC404" t="str">
            <v>M2I</v>
          </cell>
          <cell r="AD404" t="str">
            <v>IPM-MT-MF19-SSL</v>
          </cell>
          <cell r="AE404" t="str">
            <v xml:space="preserve">Spécification de Soutien Logistique Intégré </v>
          </cell>
          <cell r="AF404" t="str">
            <v>8.2.1</v>
          </cell>
          <cell r="AI404">
            <v>1</v>
          </cell>
          <cell r="AT404" t="str">
            <v>FP</v>
          </cell>
          <cell r="AU404" t="str">
            <v>Maj</v>
          </cell>
          <cell r="BE404" t="str">
            <v>FD</v>
          </cell>
          <cell r="BF404" t="str">
            <v>Maj</v>
          </cell>
          <cell r="CH404" t="e">
            <v>#N/A</v>
          </cell>
          <cell r="CI404" t="e">
            <v>#N/A</v>
          </cell>
          <cell r="CJ404" t="e">
            <v>#N/A</v>
          </cell>
        </row>
        <row r="405">
          <cell r="B405" t="str">
            <v>Ligne_165_PPD</v>
          </cell>
          <cell r="C405">
            <v>165</v>
          </cell>
          <cell r="E405" t="str">
            <v xml:space="preserve">Plan et programme d’essais et de démonstrations (tâches et outillages spécifiques) </v>
          </cell>
          <cell r="G405" t="str">
            <v/>
          </cell>
          <cell r="R405" t="str">
            <v>VPF</v>
          </cell>
          <cell r="S405" t="str">
            <v>AT</v>
          </cell>
          <cell r="T405" t="str">
            <v>BT</v>
          </cell>
          <cell r="U405" t="str">
            <v>M.THOREL</v>
          </cell>
          <cell r="AA405" t="str">
            <v>SL</v>
          </cell>
          <cell r="AB405" t="str">
            <v>Soutien Logistique</v>
          </cell>
          <cell r="AC405" t="str">
            <v>M2I</v>
          </cell>
          <cell r="AD405" t="str">
            <v>IPM-MT-MF19-SSL</v>
          </cell>
          <cell r="AE405" t="str">
            <v xml:space="preserve">Spécification de Soutien Logistique Intégré </v>
          </cell>
          <cell r="AF405" t="str">
            <v>8.2.3</v>
          </cell>
          <cell r="AI405">
            <v>1</v>
          </cell>
          <cell r="AU405" t="str">
            <v>FP</v>
          </cell>
          <cell r="AX405" t="str">
            <v>FP</v>
          </cell>
          <cell r="AY405" t="str">
            <v>FP</v>
          </cell>
          <cell r="BD405" t="str">
            <v>FD</v>
          </cell>
          <cell r="CG405" t="str">
            <v>30/09/2020 : remis le Jalon BAFO pour pouvoir importer dans la Base arbo</v>
          </cell>
          <cell r="CH405" t="e">
            <v>#N/A</v>
          </cell>
          <cell r="CI405" t="e">
            <v>#N/A</v>
          </cell>
          <cell r="CJ405" t="e">
            <v>#N/A</v>
          </cell>
        </row>
        <row r="406">
          <cell r="B406" t="str">
            <v>Ligne_166_PPD</v>
          </cell>
          <cell r="C406">
            <v>166</v>
          </cell>
          <cell r="E406" t="str">
            <v xml:space="preserve">Fournir un Dossier d'analyse et de testabilité du système. Fournir une liste avec classification des URL/URA testables </v>
          </cell>
          <cell r="G406" t="str">
            <v>Liste des URL testables</v>
          </cell>
          <cell r="S406" t="str">
            <v>AT</v>
          </cell>
          <cell r="T406" t="str">
            <v>BT</v>
          </cell>
          <cell r="U406" t="str">
            <v>D.CHANAL</v>
          </cell>
          <cell r="Z406" t="str">
            <v>RTS 161 JS2 AME/M2I/MRB 03/07/2020</v>
          </cell>
          <cell r="AA406" t="str">
            <v>SL</v>
          </cell>
          <cell r="AB406" t="str">
            <v>Soutien Logistique</v>
          </cell>
          <cell r="AC406" t="str">
            <v>M2I</v>
          </cell>
          <cell r="AD406" t="str">
            <v>IPM-MT-MF19-SSL et SD09005</v>
          </cell>
          <cell r="AE406" t="str">
            <v>Spécification de Soutien Logistique Intégré / Exigences de maintenabilité des équipements embarqués</v>
          </cell>
          <cell r="AF406" t="str">
            <v>12.1 (IPM) / 2.2 (MRB)</v>
          </cell>
          <cell r="AI406">
            <v>1</v>
          </cell>
          <cell r="AN406" t="str">
            <v>FP</v>
          </cell>
          <cell r="AU406" t="str">
            <v>FP</v>
          </cell>
          <cell r="AX406" t="str">
            <v>FD</v>
          </cell>
          <cell r="BF406" t="str">
            <v>Maj</v>
          </cell>
          <cell r="CH406" t="e">
            <v>#N/A</v>
          </cell>
          <cell r="CI406" t="e">
            <v>#N/A</v>
          </cell>
          <cell r="CJ406" t="e">
            <v>#N/A</v>
          </cell>
        </row>
        <row r="407">
          <cell r="A407" t="str">
            <v>ADD0003308432</v>
          </cell>
          <cell r="B407" t="str">
            <v>Ligne_167_PPD</v>
          </cell>
          <cell r="C407">
            <v>167</v>
          </cell>
          <cell r="E407" t="str">
            <v xml:space="preserve">Listes des outillages et des moyens de tests </v>
          </cell>
          <cell r="F407" t="str">
            <v>A</v>
          </cell>
          <cell r="G407" t="str">
            <v>LISTES DES OUTILLAGES ET DES MOYENS DE TESTS</v>
          </cell>
          <cell r="M407" t="str">
            <v>M-00-70-SOUTIEN_LOGISTIQUE</v>
          </cell>
          <cell r="N407" t="str">
            <v>DJD</v>
          </cell>
          <cell r="O407" t="str">
            <v>ASL_ANALYSE SOUTIEN LOGISTIQUE</v>
          </cell>
          <cell r="Q407">
            <v>0</v>
          </cell>
          <cell r="R407" t="str">
            <v>VPF</v>
          </cell>
          <cell r="S407" t="str">
            <v>AT</v>
          </cell>
          <cell r="T407" t="str">
            <v>BT</v>
          </cell>
          <cell r="U407" t="str">
            <v>M.THOREL</v>
          </cell>
          <cell r="V407" t="str">
            <v>ALSTOM</v>
          </cell>
          <cell r="W407" t="str">
            <v>N</v>
          </cell>
          <cell r="X407" t="str">
            <v>Contractuel Management</v>
          </cell>
          <cell r="Z407" t="str">
            <v>RTS 161 JS2 AME/M2I/MRB 03/07/2020</v>
          </cell>
          <cell r="AA407" t="str">
            <v>SL</v>
          </cell>
          <cell r="AB407" t="str">
            <v>Soutien Logistique</v>
          </cell>
          <cell r="AC407" t="str">
            <v>M2I</v>
          </cell>
          <cell r="AD407" t="str">
            <v>IPM-MT-MF19-SSL</v>
          </cell>
          <cell r="AE407" t="str">
            <v xml:space="preserve">Spécification de Soutien Logistique Intégré </v>
          </cell>
          <cell r="AF407" t="str">
            <v>8.4.1</v>
          </cell>
          <cell r="AI407">
            <v>1</v>
          </cell>
          <cell r="AJ407" t="str">
            <v>FP</v>
          </cell>
          <cell r="AN407" t="str">
            <v xml:space="preserve">FP </v>
          </cell>
          <cell r="AP407" t="str">
            <v>FP</v>
          </cell>
          <cell r="AT407" t="str">
            <v>FP</v>
          </cell>
          <cell r="AU407" t="str">
            <v>FP</v>
          </cell>
          <cell r="AX407" t="str">
            <v>FP</v>
          </cell>
          <cell r="AY407" t="str">
            <v>FP</v>
          </cell>
          <cell r="BD407" t="str">
            <v>FD</v>
          </cell>
          <cell r="BF407" t="str">
            <v>Maj</v>
          </cell>
          <cell r="CG407" t="str">
            <v>30/09/2020 : dans la colonne JD2.2, il y avait "Maj" barré en + de FP, supprimé "Maj" pour import dans la base arbo</v>
          </cell>
          <cell r="CH407" t="str">
            <v>MF19_BORD_AT_00001</v>
          </cell>
          <cell r="CI407" t="str">
            <v>AR</v>
          </cell>
          <cell r="CJ407" t="str">
            <v>FP</v>
          </cell>
        </row>
        <row r="408">
          <cell r="A408" t="str">
            <v>ADD0003308436</v>
          </cell>
          <cell r="B408" t="str">
            <v>Ligne_168_PPD</v>
          </cell>
          <cell r="C408">
            <v>168</v>
          </cell>
          <cell r="E408" t="str">
            <v>Grille tarifaire d'évaluation Maintenance des équipements (LCC)</v>
          </cell>
          <cell r="F408" t="str">
            <v>B</v>
          </cell>
          <cell r="G408" t="str">
            <v>GRILLE TARIFAIRE EVALUATION MAINTENANCE DES EQUIPEMENTS-LCC</v>
          </cell>
          <cell r="M408" t="str">
            <v>M-08_SOUTIEN_LOGISTIQUE_INTEGRE</v>
          </cell>
          <cell r="N408" t="str">
            <v>DJD</v>
          </cell>
          <cell r="O408" t="str">
            <v>ASL_ANALYSE SOUTIEN LOGISTIQUE</v>
          </cell>
          <cell r="Q408">
            <v>0</v>
          </cell>
          <cell r="R408" t="str">
            <v>VPF</v>
          </cell>
          <cell r="S408" t="str">
            <v>AT</v>
          </cell>
          <cell r="T408" t="str">
            <v>EX</v>
          </cell>
          <cell r="U408" t="str">
            <v>M.THOREL</v>
          </cell>
          <cell r="V408" t="str">
            <v>ALSTOM</v>
          </cell>
          <cell r="W408" t="str">
            <v>N</v>
          </cell>
          <cell r="X408" t="str">
            <v>Contractuel Management</v>
          </cell>
          <cell r="Z408" t="str">
            <v>RTS 161 JS2 AME/M2I/MRB 03/07/2020</v>
          </cell>
          <cell r="AA408" t="str">
            <v>SL</v>
          </cell>
          <cell r="AB408" t="str">
            <v>Maintenabilité</v>
          </cell>
          <cell r="AC408" t="str">
            <v>MRB</v>
          </cell>
          <cell r="AD408" t="str">
            <v>SD09005</v>
          </cell>
          <cell r="AE408" t="str">
            <v>Exigences de maintenabilité des équipements embarqués</v>
          </cell>
          <cell r="AF408" t="str">
            <v>4.1</v>
          </cell>
          <cell r="AI408">
            <v>1</v>
          </cell>
          <cell r="AJ408" t="str">
            <v>FP</v>
          </cell>
          <cell r="AN408" t="str">
            <v>FP</v>
          </cell>
          <cell r="AT408" t="str">
            <v>FD</v>
          </cell>
          <cell r="CH408" t="str">
            <v>MF19_BORD_AT_00002</v>
          </cell>
          <cell r="CI408" t="str">
            <v>A</v>
          </cell>
          <cell r="CJ408" t="str">
            <v>FP</v>
          </cell>
        </row>
        <row r="409">
          <cell r="B409" t="str">
            <v>Ligne_169_PPD</v>
          </cell>
          <cell r="C409">
            <v>169</v>
          </cell>
          <cell r="E409" t="str">
            <v xml:space="preserve">Dossier de dimensionnement des rechanges (PARC réparables et PARC consommables) </v>
          </cell>
          <cell r="G409" t="str">
            <v>DIMENSIONNEMENT DES RECHANGES</v>
          </cell>
          <cell r="R409" t="str">
            <v>VPF</v>
          </cell>
          <cell r="S409" t="str">
            <v>AT</v>
          </cell>
          <cell r="T409" t="str">
            <v>BT</v>
          </cell>
          <cell r="U409" t="str">
            <v>M.THOREL</v>
          </cell>
          <cell r="Z409" t="str">
            <v>RTS 161 JS2 AME/M2I/MRB 03/07/2020</v>
          </cell>
          <cell r="AA409" t="str">
            <v>SL</v>
          </cell>
          <cell r="AB409" t="str">
            <v>Soutien Logistique</v>
          </cell>
          <cell r="AC409" t="str">
            <v>M2I</v>
          </cell>
          <cell r="AD409" t="str">
            <v>IPM-MT-MF19-SSL et SD09005</v>
          </cell>
          <cell r="AE409" t="str">
            <v>Spécification de Soutien Logistique Intégré / Exigences de maintenabilité des équipements embarqués</v>
          </cell>
          <cell r="AF409" t="str">
            <v>8.8.1 (IPM) / 2.1 (MRB)</v>
          </cell>
          <cell r="AI409">
            <v>1</v>
          </cell>
          <cell r="AN409" t="str">
            <v>FP</v>
          </cell>
          <cell r="AT409" t="str">
            <v>FD</v>
          </cell>
          <cell r="AU409" t="str">
            <v>Maj</v>
          </cell>
          <cell r="CH409" t="e">
            <v>#N/A</v>
          </cell>
          <cell r="CI409" t="e">
            <v>#N/A</v>
          </cell>
          <cell r="CJ409" t="e">
            <v>#N/A</v>
          </cell>
        </row>
        <row r="410">
          <cell r="B410" t="str">
            <v>Ligne_170_PPD</v>
          </cell>
          <cell r="C410">
            <v>170</v>
          </cell>
          <cell r="E410" t="str">
            <v xml:space="preserve">Clause à clause de la spécification de testabilité électronique DIR/06/04-12 </v>
          </cell>
          <cell r="G410" t="str">
            <v>inclus dans livrable 13 (POINT 2 FRD 133)</v>
          </cell>
          <cell r="R410" t="str">
            <v>NA</v>
          </cell>
          <cell r="S410" t="str">
            <v>AT</v>
          </cell>
          <cell r="T410" t="str">
            <v>NA</v>
          </cell>
          <cell r="U410" t="str">
            <v>M.THOREL</v>
          </cell>
          <cell r="AA410" t="str">
            <v>SL</v>
          </cell>
          <cell r="AB410" t="str">
            <v>Maintenabilité</v>
          </cell>
          <cell r="AC410" t="str">
            <v>AME</v>
          </cell>
          <cell r="AD410" t="str">
            <v>DIR/06/04-12</v>
          </cell>
          <cell r="AE410" t="str">
            <v>Directive de maintenabilité et de testabilité des équipements électroniques</v>
          </cell>
          <cell r="AF410">
            <v>4</v>
          </cell>
          <cell r="AI410" t="str">
            <v>RENVOI</v>
          </cell>
          <cell r="AJ410" t="str">
            <v>FP</v>
          </cell>
          <cell r="AP410" t="str">
            <v>FP</v>
          </cell>
          <cell r="AU410" t="str">
            <v>FD</v>
          </cell>
          <cell r="CH410" t="e">
            <v>#N/A</v>
          </cell>
          <cell r="CI410" t="e">
            <v>#N/A</v>
          </cell>
          <cell r="CJ410" t="e">
            <v>#N/A</v>
          </cell>
        </row>
        <row r="411">
          <cell r="B411" t="str">
            <v>Ligne_171_PPD</v>
          </cell>
          <cell r="C411">
            <v>171</v>
          </cell>
          <cell r="E411" t="str">
            <v>Dossier de testabilité système (selon exigences SL, DIR AME/06/04-12 et SF 10641)</v>
          </cell>
          <cell r="G411" t="str">
            <v>Dossier de testabilité système</v>
          </cell>
          <cell r="R411" t="str">
            <v>VPF</v>
          </cell>
          <cell r="S411" t="str">
            <v>AT</v>
          </cell>
          <cell r="T411" t="str">
            <v>BT</v>
          </cell>
          <cell r="U411" t="str">
            <v>D.CHANAL</v>
          </cell>
          <cell r="Z411" t="str">
            <v>RTS 161 JS2 AME/M2I/MRB 03/07/2020</v>
          </cell>
          <cell r="AA411" t="str">
            <v>SL</v>
          </cell>
          <cell r="AB411" t="str">
            <v>Soutien Logistique</v>
          </cell>
          <cell r="AC411" t="str">
            <v>M2I</v>
          </cell>
          <cell r="AD411" t="str">
            <v>IPM-MT-MF19-SSL</v>
          </cell>
          <cell r="AE411" t="str">
            <v xml:space="preserve">Spécification de Soutien Logistique Intégré </v>
          </cell>
          <cell r="AF411" t="str">
            <v>12.1</v>
          </cell>
          <cell r="AI411">
            <v>1</v>
          </cell>
          <cell r="AN411" t="str">
            <v>FP</v>
          </cell>
          <cell r="AU411" t="str">
            <v>FD</v>
          </cell>
          <cell r="BF411" t="str">
            <v>Maj</v>
          </cell>
          <cell r="CH411" t="e">
            <v>#N/A</v>
          </cell>
          <cell r="CI411" t="e">
            <v>#N/A</v>
          </cell>
          <cell r="CJ411" t="e">
            <v>#N/A</v>
          </cell>
        </row>
        <row r="412">
          <cell r="B412" t="str">
            <v>Ligne_172_PPD</v>
          </cell>
          <cell r="C412">
            <v>172</v>
          </cell>
          <cell r="E412" t="str">
            <v>Plan d’évaluation de la testabilité (selon exigences SL, DIR AME/06/04-12 et SF 10641)</v>
          </cell>
          <cell r="G412" t="str">
            <v>Plan d’évaluation de la testabilité</v>
          </cell>
          <cell r="R412" t="str">
            <v>VPF</v>
          </cell>
          <cell r="S412" t="str">
            <v>AT</v>
          </cell>
          <cell r="T412" t="str">
            <v>BT</v>
          </cell>
          <cell r="U412" t="str">
            <v>D.CHANAL</v>
          </cell>
          <cell r="Z412" t="str">
            <v>RTS 161 JS2 AME/M2I/MRB 03/07/2020</v>
          </cell>
          <cell r="AA412" t="str">
            <v>SL</v>
          </cell>
          <cell r="AB412" t="str">
            <v>Soutien Logistique</v>
          </cell>
          <cell r="AC412" t="str">
            <v>M2I</v>
          </cell>
          <cell r="AD412" t="str">
            <v>IPM-MT-MF19-SSL</v>
          </cell>
          <cell r="AE412" t="str">
            <v xml:space="preserve">Spécification de Soutien Logistique Intégré </v>
          </cell>
          <cell r="AF412" t="str">
            <v>12.1</v>
          </cell>
          <cell r="AI412">
            <v>1</v>
          </cell>
          <cell r="AN412" t="str">
            <v>FP</v>
          </cell>
          <cell r="AU412" t="str">
            <v>FD</v>
          </cell>
          <cell r="CH412" t="e">
            <v>#N/A</v>
          </cell>
          <cell r="CI412" t="e">
            <v>#N/A</v>
          </cell>
          <cell r="CJ412" t="e">
            <v>#N/A</v>
          </cell>
        </row>
        <row r="413">
          <cell r="B413" t="str">
            <v>Ligne_173_PPD</v>
          </cell>
          <cell r="C413">
            <v>173</v>
          </cell>
          <cell r="E413" t="str">
            <v>Fournir les STBI de chaque UD1N et UD2N</v>
          </cell>
          <cell r="G413" t="str">
            <v>A DECOMPOSER</v>
          </cell>
          <cell r="R413" t="str">
            <v>VPF</v>
          </cell>
          <cell r="S413" t="str">
            <v>ABT</v>
          </cell>
          <cell r="T413" t="str">
            <v>BT</v>
          </cell>
          <cell r="U413" t="str">
            <v>M.THOREL</v>
          </cell>
          <cell r="AA413" t="str">
            <v>SL</v>
          </cell>
          <cell r="AB413" t="str">
            <v>Maintenabilité</v>
          </cell>
          <cell r="AC413" t="str">
            <v>AME</v>
          </cell>
          <cell r="AD413" t="str">
            <v>DIR/06/04-12</v>
          </cell>
          <cell r="AE413" t="str">
            <v>Directive de maintenabilité et de testabilité des équipements électroniques</v>
          </cell>
          <cell r="AF413" t="str">
            <v>6.2.2</v>
          </cell>
          <cell r="AI413">
            <v>1</v>
          </cell>
          <cell r="AU413" t="str">
            <v>FD</v>
          </cell>
          <cell r="CH413" t="e">
            <v>#N/A</v>
          </cell>
          <cell r="CI413" t="e">
            <v>#N/A</v>
          </cell>
          <cell r="CJ413" t="e">
            <v>#N/A</v>
          </cell>
        </row>
        <row r="414">
          <cell r="B414" t="str">
            <v>Ligne_174_PPD</v>
          </cell>
          <cell r="C414">
            <v>174</v>
          </cell>
          <cell r="E414" t="str">
            <v>Développer les applicatifs de test N2</v>
          </cell>
          <cell r="G414" t="str">
            <v>A DECOMPOSER</v>
          </cell>
          <cell r="R414" t="str">
            <v>VPF</v>
          </cell>
          <cell r="S414" t="str">
            <v>ABT</v>
          </cell>
          <cell r="T414" t="str">
            <v>BT</v>
          </cell>
          <cell r="U414" t="str">
            <v>M.THOREL</v>
          </cell>
          <cell r="AA414" t="str">
            <v>SL</v>
          </cell>
          <cell r="AB414" t="str">
            <v>Maintenabilité</v>
          </cell>
          <cell r="AC414" t="str">
            <v>AME</v>
          </cell>
          <cell r="AD414" t="str">
            <v>DIR/06/04-12</v>
          </cell>
          <cell r="AE414" t="str">
            <v>Directive de maintenabilité et de testabilité des équipements électroniques</v>
          </cell>
          <cell r="AF414" t="str">
            <v>5.1</v>
          </cell>
          <cell r="AI414">
            <v>1</v>
          </cell>
          <cell r="AU414" t="str">
            <v>FD</v>
          </cell>
          <cell r="CH414" t="e">
            <v>#N/A</v>
          </cell>
          <cell r="CI414" t="e">
            <v>#N/A</v>
          </cell>
          <cell r="CJ414" t="e">
            <v>#N/A</v>
          </cell>
        </row>
        <row r="415">
          <cell r="B415" t="str">
            <v>Ligne_175_PPD</v>
          </cell>
          <cell r="C415">
            <v>175</v>
          </cell>
          <cell r="E415" t="str">
            <v>Dossier de testabilité (DAT) par URA suivant DIR/06/04-12</v>
          </cell>
          <cell r="R415" t="str">
            <v>VPF</v>
          </cell>
          <cell r="S415" t="str">
            <v>AT</v>
          </cell>
          <cell r="T415" t="str">
            <v>BT</v>
          </cell>
          <cell r="U415" t="str">
            <v>M.THOREL</v>
          </cell>
          <cell r="AA415" t="str">
            <v>SL</v>
          </cell>
          <cell r="AB415" t="str">
            <v>Maintenabilité</v>
          </cell>
          <cell r="AC415" t="str">
            <v>AME</v>
          </cell>
          <cell r="AD415" t="str">
            <v>DIR/06/04-12 et IPM-MT-MF19-SSL</v>
          </cell>
          <cell r="AE415" t="str">
            <v xml:space="preserve">Directive de maintenabilité et de testabilité des équipements électroniques / Spécification de Soutien Logistique Intégré </v>
          </cell>
          <cell r="AF415" t="str">
            <v>7.2.3</v>
          </cell>
          <cell r="AI415">
            <v>1</v>
          </cell>
          <cell r="AP415" t="str">
            <v>FP</v>
          </cell>
          <cell r="AU415" t="str">
            <v>FD</v>
          </cell>
          <cell r="BA415" t="str">
            <v>FD</v>
          </cell>
          <cell r="BF415" t="str">
            <v>Maj</v>
          </cell>
          <cell r="CG415" t="str">
            <v>30/09/2020 : dans la colonne "livrable" il y avait le mot "URL et" de barré dans le texte de départ, donc j'ai retiré le mot "URL et" pour l'import dans la base arbo +  pour la FD barrée dans JD2.2, j'ai supprimé le barré</v>
          </cell>
          <cell r="CH415" t="e">
            <v>#N/A</v>
          </cell>
          <cell r="CI415" t="e">
            <v>#N/A</v>
          </cell>
          <cell r="CJ415" t="e">
            <v>#N/A</v>
          </cell>
        </row>
        <row r="416">
          <cell r="B416" t="str">
            <v>Ligne_176_PPD</v>
          </cell>
          <cell r="C416">
            <v>176</v>
          </cell>
          <cell r="E416" t="str">
            <v>Documentation d’outillages de test électroniques suivant DIR/06/04-12</v>
          </cell>
          <cell r="AA416" t="str">
            <v>SL</v>
          </cell>
          <cell r="AB416" t="str">
            <v>Maintenabilité</v>
          </cell>
          <cell r="AC416" t="str">
            <v>AME</v>
          </cell>
          <cell r="AD416" t="str">
            <v>DIR/06/04-12 et IPM-MT-MF19-SSL</v>
          </cell>
          <cell r="AE416" t="str">
            <v xml:space="preserve">Directive de maintenabilité et de testabilité des équipements électroniques / Spécification de Soutien Logistique Intégré </v>
          </cell>
          <cell r="AF416" t="str">
            <v>5.1</v>
          </cell>
          <cell r="AI416">
            <v>1</v>
          </cell>
          <cell r="BE416" t="str">
            <v>FD</v>
          </cell>
          <cell r="BF416" t="str">
            <v>Maj</v>
          </cell>
          <cell r="CG416" t="str">
            <v>30/09/2020 : dans la colonne JD2.2 il y avait une FD barrée et aussi dans la colonne JP2.2. Ceux 2 FD barrées ont été supprimées pour l'import dans la base arbo</v>
          </cell>
          <cell r="CH416" t="e">
            <v>#N/A</v>
          </cell>
          <cell r="CI416" t="e">
            <v>#N/A</v>
          </cell>
          <cell r="CJ416" t="e">
            <v>#N/A</v>
          </cell>
        </row>
        <row r="417">
          <cell r="B417" t="str">
            <v>Ligne_177_PPD</v>
          </cell>
          <cell r="C417">
            <v>177</v>
          </cell>
          <cell r="E417" t="str">
            <v>Fournitures outillages de tests électroniques (niveaux 1 à 4) (selon exigences SL et DIR/06/04-12)</v>
          </cell>
          <cell r="AA417" t="str">
            <v>SL</v>
          </cell>
          <cell r="AB417" t="str">
            <v>Maintenabilité</v>
          </cell>
          <cell r="AC417" t="str">
            <v>AME</v>
          </cell>
          <cell r="AD417" t="str">
            <v>DIR/06/04-12 et IPM-MT-MF19-SSL</v>
          </cell>
          <cell r="AE417" t="str">
            <v xml:space="preserve">Directive de maintenabilité et de testabilité des équipements électroniques / Spécification de Soutien Logistique Intégré </v>
          </cell>
          <cell r="AF417" t="str">
            <v>5.1</v>
          </cell>
          <cell r="AI417">
            <v>1</v>
          </cell>
          <cell r="BA417" t="str">
            <v xml:space="preserve">FD </v>
          </cell>
          <cell r="BE417" t="str">
            <v>FD</v>
          </cell>
          <cell r="BF417" t="str">
            <v>Maj</v>
          </cell>
          <cell r="CG417" t="str">
            <v>30/09/2020 : la FD JP2.2 était barrée, j'ai enlevé le "barré" pour pouvoir importer dans la base arbo</v>
          </cell>
          <cell r="CH417" t="e">
            <v>#N/A</v>
          </cell>
          <cell r="CI417" t="e">
            <v>#N/A</v>
          </cell>
          <cell r="CJ417" t="e">
            <v>#N/A</v>
          </cell>
        </row>
        <row r="418">
          <cell r="B418" t="str">
            <v>Ligne_178_PPD</v>
          </cell>
          <cell r="C418">
            <v>178</v>
          </cell>
          <cell r="E418" t="str">
            <v>Proposition de localisation en absolu des équipements</v>
          </cell>
          <cell r="G418" t="str">
            <v>sera intégré dans un document spécifique</v>
          </cell>
          <cell r="R418" t="str">
            <v>NA</v>
          </cell>
          <cell r="S418" t="str">
            <v>AT</v>
          </cell>
          <cell r="T418" t="str">
            <v>NA</v>
          </cell>
          <cell r="U418" t="str">
            <v>S.LADJ-MERABET</v>
          </cell>
          <cell r="Z418" t="str">
            <v>RTS 159 JS2 ETS 02/07/2020
RTS 161 JS2 AME/M2I/MRB 03/07/2020</v>
          </cell>
          <cell r="AA418" t="str">
            <v>E</v>
          </cell>
          <cell r="AB418" t="str">
            <v>Transversal</v>
          </cell>
          <cell r="AC418" t="str">
            <v>ETS/M2I</v>
          </cell>
          <cell r="AD418" t="str">
            <v>SF ET.4-10641</v>
          </cell>
          <cell r="AE418" t="str">
            <v>Aide à la maintenance centralisée</v>
          </cell>
          <cell r="AF418">
            <v>12</v>
          </cell>
          <cell r="AI418" t="str">
            <v>RENVOI</v>
          </cell>
          <cell r="AN418" t="str">
            <v>FD</v>
          </cell>
          <cell r="CH418" t="e">
            <v>#N/A</v>
          </cell>
          <cell r="CI418" t="e">
            <v>#N/A</v>
          </cell>
          <cell r="CJ418" t="e">
            <v>#N/A</v>
          </cell>
        </row>
        <row r="419">
          <cell r="B419" t="str">
            <v>Ligne_179_PPD</v>
          </cell>
          <cell r="C419">
            <v>179</v>
          </cell>
          <cell r="E419" t="str">
            <v xml:space="preserve">Ensemble des référentiels servant à la génération des messages de maintenance (par exemple : liste des localisations, des diagnostics de panne, des contextes…), de l’état train, des RJP, et des tests </v>
          </cell>
          <cell r="G419" t="str">
            <v>FICHIER DE DEFAUTS ET EVENEMENTS</v>
          </cell>
          <cell r="R419" t="str">
            <v>VPF</v>
          </cell>
          <cell r="S419" t="str">
            <v>AT</v>
          </cell>
          <cell r="U419" t="str">
            <v>M.MURA</v>
          </cell>
          <cell r="Z419" t="str">
            <v>RTS 159 JS2 ETS 02/07/2020
RTS 161 JS2 AME/M2I/MRB 03/07/2020</v>
          </cell>
          <cell r="AA419" t="str">
            <v>E</v>
          </cell>
          <cell r="AB419" t="str">
            <v>Transversal</v>
          </cell>
          <cell r="AC419" t="str">
            <v>ETS/M2I</v>
          </cell>
          <cell r="AD419" t="str">
            <v>SF ET.4-10641</v>
          </cell>
          <cell r="AE419" t="str">
            <v>Aide à la maintenance centralisée</v>
          </cell>
          <cell r="AF419" t="str">
            <v>11.2</v>
          </cell>
          <cell r="AI419">
            <v>1</v>
          </cell>
          <cell r="AN419" t="str">
            <v>FP</v>
          </cell>
          <cell r="AR419" t="str">
            <v>FD</v>
          </cell>
          <cell r="CH419" t="e">
            <v>#N/A</v>
          </cell>
          <cell r="CI419" t="e">
            <v>#N/A</v>
          </cell>
          <cell r="CJ419" t="e">
            <v>#N/A</v>
          </cell>
        </row>
        <row r="420">
          <cell r="B420" t="str">
            <v>Ligne_180_PPD</v>
          </cell>
          <cell r="C420">
            <v>180</v>
          </cell>
          <cell r="E420" t="str">
            <v xml:space="preserve">Arborescence logistique </v>
          </cell>
          <cell r="G420" t="str">
            <v>ARBO LAR PARC (à décomposer selon retour métier RATP)</v>
          </cell>
          <cell r="R420" t="str">
            <v>NA</v>
          </cell>
          <cell r="S420" t="str">
            <v>ABT</v>
          </cell>
          <cell r="T420" t="str">
            <v>NA</v>
          </cell>
          <cell r="U420" t="str">
            <v>M.THOREL</v>
          </cell>
          <cell r="Z420" t="str">
            <v>RTS 161 JS2 AME/M2I/MRB 03/07/2020</v>
          </cell>
          <cell r="AA420" t="str">
            <v>SL</v>
          </cell>
          <cell r="AB420" t="str">
            <v>Soutien Logistique</v>
          </cell>
          <cell r="AC420" t="str">
            <v>M2I</v>
          </cell>
          <cell r="AD420" t="str">
            <v>IPM-MT-MF19-SSL</v>
          </cell>
          <cell r="AE420" t="str">
            <v>Spécification de Soutien Logistique Intégré  / Exigences de maintenabilité des équipements embarqués VP et IV MP14</v>
          </cell>
          <cell r="AF420" t="str">
            <v>8.1</v>
          </cell>
          <cell r="AI420">
            <v>20</v>
          </cell>
          <cell r="AN420" t="str">
            <v>FP</v>
          </cell>
          <cell r="AP420" t="str">
            <v>FP</v>
          </cell>
          <cell r="AT420" t="str">
            <v>Maj</v>
          </cell>
          <cell r="AU420" t="str">
            <v>Maj</v>
          </cell>
          <cell r="AX420" t="str">
            <v>FD</v>
          </cell>
          <cell r="BF420" t="str">
            <v>Maj</v>
          </cell>
          <cell r="CH420" t="e">
            <v>#N/A</v>
          </cell>
          <cell r="CI420" t="e">
            <v>#N/A</v>
          </cell>
          <cell r="CJ420" t="e">
            <v>#N/A</v>
          </cell>
        </row>
        <row r="421">
          <cell r="A421" t="str">
            <v>ADD0003308433</v>
          </cell>
          <cell r="B421" t="str">
            <v>Ligne_181_PPD</v>
          </cell>
          <cell r="C421">
            <v>181</v>
          </cell>
          <cell r="E421" t="str">
            <v>Evaluation des coûts de maintenance par le CCVO et suivi des objectifs</v>
          </cell>
          <cell r="F421" t="str">
            <v>A</v>
          </cell>
          <cell r="G421" t="str">
            <v>EVALUATION COUTS DE MAINTENANCE PAR CCVO ET SUIVI OBJECTIFS</v>
          </cell>
          <cell r="M421" t="str">
            <v>M-00-70-SOUTIEN_LOGISTIQUE</v>
          </cell>
          <cell r="N421" t="str">
            <v>DJD</v>
          </cell>
          <cell r="O421" t="str">
            <v>ASL_ANALYSE SOUTIEN LOGISTIQUE</v>
          </cell>
          <cell r="Q421">
            <v>0</v>
          </cell>
          <cell r="R421" t="str">
            <v>VPF</v>
          </cell>
          <cell r="S421" t="str">
            <v>AT</v>
          </cell>
          <cell r="T421" t="str">
            <v>BT</v>
          </cell>
          <cell r="U421" t="str">
            <v>M.THOREL</v>
          </cell>
          <cell r="V421" t="str">
            <v>ALSTOM</v>
          </cell>
          <cell r="W421" t="str">
            <v>N</v>
          </cell>
          <cell r="X421" t="str">
            <v>Contractuel Management</v>
          </cell>
          <cell r="Z421" t="str">
            <v>RTS 161 JS2 AME/M2I/MRB 03/07/2020</v>
          </cell>
          <cell r="AA421" t="str">
            <v>SL</v>
          </cell>
          <cell r="AB421" t="str">
            <v>Soutien Logistique</v>
          </cell>
          <cell r="AC421" t="str">
            <v>M2I</v>
          </cell>
          <cell r="AD421" t="str">
            <v>IPM-MT-MF19-SSL</v>
          </cell>
          <cell r="AE421" t="str">
            <v xml:space="preserve">Spécification de Soutien Logistique Intégré </v>
          </cell>
          <cell r="AF421" t="str">
            <v>4.1</v>
          </cell>
          <cell r="AI421">
            <v>1</v>
          </cell>
          <cell r="AJ421" t="str">
            <v>FP</v>
          </cell>
          <cell r="AN421" t="str">
            <v xml:space="preserve">FP </v>
          </cell>
          <cell r="AP421" t="str">
            <v>FP</v>
          </cell>
          <cell r="AT421" t="str">
            <v>Maj</v>
          </cell>
          <cell r="AU421" t="str">
            <v>Maj</v>
          </cell>
          <cell r="AX421" t="str">
            <v>FD</v>
          </cell>
          <cell r="BE421" t="str">
            <v>Maj</v>
          </cell>
          <cell r="BF421" t="str">
            <v>Maj</v>
          </cell>
          <cell r="CH421" t="str">
            <v>MF19_BORD_AT_00001</v>
          </cell>
          <cell r="CI421" t="str">
            <v>AR</v>
          </cell>
          <cell r="CJ421" t="str">
            <v>FP</v>
          </cell>
        </row>
        <row r="422">
          <cell r="B422" t="str">
            <v>Ligne_182_PPD</v>
          </cell>
          <cell r="C422">
            <v>182</v>
          </cell>
          <cell r="E422" t="str">
            <v xml:space="preserve">Liste des Articles Réparables et Consommables (LARC) </v>
          </cell>
          <cell r="G422" t="str">
            <v>inclus dans décomposition du 180 (ALP)</v>
          </cell>
          <cell r="R422" t="str">
            <v>NA</v>
          </cell>
          <cell r="S422" t="str">
            <v>AT</v>
          </cell>
          <cell r="T422" t="str">
            <v>NA</v>
          </cell>
          <cell r="U422" t="str">
            <v>M.THOREL</v>
          </cell>
          <cell r="Z422" t="str">
            <v>RTS 161 JS2 AME/M2I/MRB 03/07/2020</v>
          </cell>
          <cell r="AA422" t="str">
            <v>SL</v>
          </cell>
          <cell r="AB422" t="str">
            <v>Soutien Logistique</v>
          </cell>
          <cell r="AC422" t="str">
            <v>M2I</v>
          </cell>
          <cell r="AD422" t="str">
            <v>IPM-MT-MF19-SSL et SD09005</v>
          </cell>
          <cell r="AE422" t="str">
            <v>Spécification de Soutien Logistique Intégré / Exigences de maintenabilité des équipements embarqués</v>
          </cell>
          <cell r="AF422" t="str">
            <v>8.8.1 (IPM) / 2.1 (MRB)</v>
          </cell>
          <cell r="AI422" t="str">
            <v>RENVOI</v>
          </cell>
          <cell r="AN422" t="str">
            <v xml:space="preserve">FP </v>
          </cell>
          <cell r="AP422" t="str">
            <v>FP</v>
          </cell>
          <cell r="AT422" t="str">
            <v>Maj</v>
          </cell>
          <cell r="AU422" t="str">
            <v>Maj</v>
          </cell>
          <cell r="AX422" t="str">
            <v>FD</v>
          </cell>
          <cell r="BF422" t="str">
            <v>Maj</v>
          </cell>
          <cell r="CH422" t="e">
            <v>#N/A</v>
          </cell>
          <cell r="CI422" t="e">
            <v>#N/A</v>
          </cell>
          <cell r="CJ422" t="e">
            <v>#N/A</v>
          </cell>
        </row>
        <row r="423">
          <cell r="A423" t="str">
            <v>ADD0003308434</v>
          </cell>
          <cell r="B423" t="str">
            <v>Ligne_183_PPD</v>
          </cell>
          <cell r="C423">
            <v>183</v>
          </cell>
          <cell r="E423" t="str">
            <v>Liste du Parc de rechanges réparables et consommables (LPR)</v>
          </cell>
          <cell r="F423" t="str">
            <v>A</v>
          </cell>
          <cell r="G423" t="str">
            <v>LISTE DU PARC DE RECHANGES REPARABLES ET CONSOMMABLES-LPR</v>
          </cell>
          <cell r="M423" t="str">
            <v>M-00-70-SOUTIEN_LOGISTIQUE</v>
          </cell>
          <cell r="N423" t="str">
            <v>DJD</v>
          </cell>
          <cell r="O423" t="str">
            <v>ASL_ANALYSE SOUTIEN LOGISTIQUE</v>
          </cell>
          <cell r="Q423">
            <v>0</v>
          </cell>
          <cell r="R423" t="str">
            <v>VPF</v>
          </cell>
          <cell r="S423" t="str">
            <v>AT</v>
          </cell>
          <cell r="T423" t="str">
            <v>BT</v>
          </cell>
          <cell r="U423" t="str">
            <v>M.THOREL</v>
          </cell>
          <cell r="V423" t="str">
            <v>ALSTOM</v>
          </cell>
          <cell r="W423" t="str">
            <v>N</v>
          </cell>
          <cell r="X423" t="str">
            <v>Contractuel Management</v>
          </cell>
          <cell r="Z423" t="str">
            <v>RTS 161 JS2 AME/M2I/MRB 03/07/2020</v>
          </cell>
          <cell r="AA423" t="str">
            <v>SL</v>
          </cell>
          <cell r="AB423" t="str">
            <v>Soutien Logistique</v>
          </cell>
          <cell r="AC423" t="str">
            <v>M2I</v>
          </cell>
          <cell r="AD423" t="str">
            <v>IPM-MT-MF19-SSL et SD09005</v>
          </cell>
          <cell r="AE423" t="str">
            <v>Spécification de Soutien Logistique Intégré / Exigences de maintenabilité des équipements embarqués</v>
          </cell>
          <cell r="AF423" t="str">
            <v>8.8 (IPM) / 2.1 (MRB)</v>
          </cell>
          <cell r="AI423">
            <v>1</v>
          </cell>
          <cell r="AJ423" t="str">
            <v>FP</v>
          </cell>
          <cell r="AN423" t="str">
            <v xml:space="preserve">FP </v>
          </cell>
          <cell r="AP423" t="str">
            <v>FP</v>
          </cell>
          <cell r="AT423" t="str">
            <v>Maj</v>
          </cell>
          <cell r="AU423" t="str">
            <v>Maj</v>
          </cell>
          <cell r="AX423" t="str">
            <v>FD</v>
          </cell>
          <cell r="CH423" t="str">
            <v>MF19_BORD_AT_00001</v>
          </cell>
          <cell r="CI423" t="str">
            <v>AR</v>
          </cell>
          <cell r="CJ423" t="str">
            <v>FP</v>
          </cell>
        </row>
        <row r="424">
          <cell r="B424" t="str">
            <v>Ligne_184_PPD</v>
          </cell>
          <cell r="C424">
            <v>184</v>
          </cell>
          <cell r="E424" t="str">
            <v>Dossiers de définition, de fabrication et d’utilisation des outillages spécifiques (Hors electronique)</v>
          </cell>
          <cell r="G424" t="str">
            <v>LIVRABLE</v>
          </cell>
          <cell r="R424" t="str">
            <v>NA</v>
          </cell>
          <cell r="S424" t="str">
            <v>ABT</v>
          </cell>
          <cell r="T424" t="str">
            <v>NA</v>
          </cell>
          <cell r="U424" t="str">
            <v>M.THOREL</v>
          </cell>
          <cell r="Z424" t="str">
            <v>RTS 161 JS2 AME/M2I/MRB 03/07/2020</v>
          </cell>
          <cell r="AA424" t="str">
            <v>SL</v>
          </cell>
          <cell r="AB424" t="str">
            <v>Soutien Logistique</v>
          </cell>
          <cell r="AC424" t="str">
            <v>M2I</v>
          </cell>
          <cell r="AD424" t="str">
            <v>IPM-MT-MF19-SSL</v>
          </cell>
          <cell r="AE424" t="str">
            <v xml:space="preserve">Spécification de Soutien Logistique Intégré </v>
          </cell>
          <cell r="AF424" t="str">
            <v>8.4.2</v>
          </cell>
          <cell r="AI424" t="str">
            <v>LIVRABLE</v>
          </cell>
          <cell r="AN424" t="str">
            <v xml:space="preserve">FP </v>
          </cell>
          <cell r="AP424" t="str">
            <v>FP</v>
          </cell>
          <cell r="AT424" t="str">
            <v>Maj</v>
          </cell>
          <cell r="AU424" t="str">
            <v>Maj</v>
          </cell>
          <cell r="AX424" t="str">
            <v>FD</v>
          </cell>
          <cell r="BA424" t="str">
            <v>FD</v>
          </cell>
          <cell r="BF424" t="str">
            <v>Maj</v>
          </cell>
          <cell r="CH424" t="e">
            <v>#N/A</v>
          </cell>
          <cell r="CI424" t="e">
            <v>#N/A</v>
          </cell>
          <cell r="CJ424" t="e">
            <v>#N/A</v>
          </cell>
        </row>
        <row r="425">
          <cell r="B425" t="str">
            <v>Ligne_184.1_PPD</v>
          </cell>
          <cell r="C425" t="str">
            <v>184.1</v>
          </cell>
          <cell r="E425" t="str">
            <v>Dossiers de définition, de fabrication et d’utilisation des outillages spécifiques (Hors electronique)</v>
          </cell>
          <cell r="G425" t="str">
            <v xml:space="preserve">Outils pour livraison et outil de dépse pose N1 à N3 
Dossiers de définition, de fabrication et d’utilisation des outillages spécifiques </v>
          </cell>
          <cell r="R425" t="str">
            <v>NA</v>
          </cell>
          <cell r="S425" t="str">
            <v>ABT</v>
          </cell>
          <cell r="T425" t="str">
            <v>NA</v>
          </cell>
          <cell r="U425" t="str">
            <v>M.THOREL</v>
          </cell>
          <cell r="Z425" t="str">
            <v>RTS 161 JS2 AME/M2I/MRB 03/07/2020</v>
          </cell>
          <cell r="AA425" t="str">
            <v>SL</v>
          </cell>
          <cell r="AB425" t="str">
            <v>Soutien Logistique</v>
          </cell>
          <cell r="AC425" t="str">
            <v>M2I</v>
          </cell>
          <cell r="AD425" t="str">
            <v>IPM-MT-MF19-SSL</v>
          </cell>
          <cell r="AE425" t="str">
            <v xml:space="preserve">Spécification de Soutien Logistique Intégré </v>
          </cell>
          <cell r="AF425" t="str">
            <v>8.4.2</v>
          </cell>
          <cell r="AI425">
            <v>100</v>
          </cell>
          <cell r="AN425" t="str">
            <v xml:space="preserve">FP </v>
          </cell>
          <cell r="AP425" t="str">
            <v>FP</v>
          </cell>
          <cell r="AU425" t="str">
            <v>FD</v>
          </cell>
          <cell r="CG425" t="str">
            <v>30/09/2020 : "Maj" barrée de JP2.1.T1 a été supprimée. Aussi pour la "Maj" barrée de JD2.2 (qui été en plus de la FD), + la "FD" barrée de JP3.T1/JP2.2 et la "Maj" barrée de JU2.T1, pour import dans la base arbo</v>
          </cell>
          <cell r="CH425" t="e">
            <v>#N/A</v>
          </cell>
          <cell r="CI425" t="e">
            <v>#N/A</v>
          </cell>
          <cell r="CJ425" t="e">
            <v>#N/A</v>
          </cell>
        </row>
        <row r="426">
          <cell r="B426" t="str">
            <v>Ligne_184.2_PPD</v>
          </cell>
          <cell r="C426" t="str">
            <v>184.2</v>
          </cell>
          <cell r="E426" t="str">
            <v>Dossiers de définition, de fabrication et d’utilisation des outillages spécifiques (Hors electronique)</v>
          </cell>
          <cell r="G426" t="str">
            <v>Outils EMST
Dossiers de définition, de fabrication et d’utilisation des outillages spécifiques (Hors electronique)</v>
          </cell>
          <cell r="R426" t="str">
            <v>NA</v>
          </cell>
          <cell r="S426" t="str">
            <v>ABT</v>
          </cell>
          <cell r="T426" t="str">
            <v>NA</v>
          </cell>
          <cell r="U426" t="str">
            <v>M.THOREL</v>
          </cell>
          <cell r="AA426" t="str">
            <v>SL</v>
          </cell>
          <cell r="AB426" t="str">
            <v>Soutien Logistique</v>
          </cell>
          <cell r="AC426" t="str">
            <v>M2I</v>
          </cell>
          <cell r="AD426" t="str">
            <v>IPM-MT-MF19-SSL</v>
          </cell>
          <cell r="AE426" t="str">
            <v xml:space="preserve">Spécification de Soutien Logistique Intégré </v>
          </cell>
          <cell r="AF426" t="str">
            <v>8.4.2</v>
          </cell>
          <cell r="AI426">
            <v>100</v>
          </cell>
          <cell r="AP426" t="str">
            <v>FP</v>
          </cell>
          <cell r="AT426" t="str">
            <v>FP</v>
          </cell>
          <cell r="AX426" t="str">
            <v>FD</v>
          </cell>
          <cell r="CG426" t="str">
            <v>30/09/2020 : "Maj" barrée de JP2.1.T1 a été supprimée (qui était en plus de la FP). Aussi pour la "Maj" barrée de JD2.2, + la "FD" barrée de JP2.2 et la "Maj" barrée de JU2.T1, pour import dans la base arbo</v>
          </cell>
          <cell r="CH426" t="e">
            <v>#N/A</v>
          </cell>
          <cell r="CI426" t="e">
            <v>#N/A</v>
          </cell>
          <cell r="CJ426" t="e">
            <v>#N/A</v>
          </cell>
        </row>
        <row r="427">
          <cell r="B427" t="str">
            <v>Ligne_184.3_PPD</v>
          </cell>
          <cell r="C427" t="str">
            <v>184.3</v>
          </cell>
          <cell r="E427" t="str">
            <v>Dossiers de définition, de fabrication et d’utilisation des outillages spécifiques (Hors electronique)</v>
          </cell>
          <cell r="G427" t="str">
            <v>Outils pour maintenance préventive N1 à N3 
Dossiers de définition, de fabrication et d’utilisation des outillages spécifiques (Hors electronique)</v>
          </cell>
          <cell r="R427" t="str">
            <v>NA</v>
          </cell>
          <cell r="S427" t="str">
            <v>ABT</v>
          </cell>
          <cell r="T427" t="str">
            <v>NA</v>
          </cell>
          <cell r="U427" t="str">
            <v>M.THOREL</v>
          </cell>
          <cell r="AA427" t="str">
            <v>SL</v>
          </cell>
          <cell r="AB427" t="str">
            <v>Soutien Logistique</v>
          </cell>
          <cell r="AC427" t="str">
            <v>M2I</v>
          </cell>
          <cell r="AD427" t="str">
            <v>IPM-MT-MF19-SSL</v>
          </cell>
          <cell r="AE427" t="str">
            <v xml:space="preserve">Spécification de Soutien Logistique Intégré </v>
          </cell>
          <cell r="AF427" t="str">
            <v>8.4.2</v>
          </cell>
          <cell r="AI427">
            <v>100</v>
          </cell>
          <cell r="AP427" t="str">
            <v>FP</v>
          </cell>
          <cell r="AU427" t="str">
            <v>FP</v>
          </cell>
          <cell r="AY427" t="str">
            <v>FD</v>
          </cell>
          <cell r="CG427" t="str">
            <v>30/09/2020 : "Maj" barrée de JP2.1.T1 a été supprimée. Aussi pour la "Maj" barrée de JD2.2 (qui été en plus de la FP), + la "FD" barrée de JP3.T1/JP2.2 et la "Maj" barrée de JU2.T1, pour import dans la base arbo</v>
          </cell>
          <cell r="CH427" t="e">
            <v>#N/A</v>
          </cell>
          <cell r="CI427" t="e">
            <v>#N/A</v>
          </cell>
          <cell r="CJ427" t="e">
            <v>#N/A</v>
          </cell>
        </row>
        <row r="428">
          <cell r="B428" t="str">
            <v>Ligne_184.4_PPD</v>
          </cell>
          <cell r="C428" t="str">
            <v>184.4</v>
          </cell>
          <cell r="E428" t="str">
            <v>Dossiers de définition, de fabrication et d’utilisation des outillages spécifiques (Hors electronique)</v>
          </cell>
          <cell r="G428" t="str">
            <v>Outils niveau 4
Dossiers de définition, de fabrication et d’utilisation des outillages spécifiques (Hors electronique)</v>
          </cell>
          <cell r="R428" t="str">
            <v>NA</v>
          </cell>
          <cell r="S428" t="str">
            <v>ABT</v>
          </cell>
          <cell r="T428" t="str">
            <v>NA</v>
          </cell>
          <cell r="U428" t="str">
            <v>M.THOREL</v>
          </cell>
          <cell r="AA428" t="str">
            <v>SL</v>
          </cell>
          <cell r="AB428" t="str">
            <v>Soutien Logistique</v>
          </cell>
          <cell r="AC428" t="str">
            <v>M2I</v>
          </cell>
          <cell r="AD428" t="str">
            <v>IPM-MT-MF19-SSL</v>
          </cell>
          <cell r="AE428" t="str">
            <v xml:space="preserve">Spécification de Soutien Logistique Intégré </v>
          </cell>
          <cell r="AF428" t="str">
            <v>8.4.2</v>
          </cell>
          <cell r="AI428">
            <v>100</v>
          </cell>
          <cell r="AX428" t="str">
            <v>FP</v>
          </cell>
          <cell r="AY428" t="str">
            <v>FP</v>
          </cell>
          <cell r="BA428" t="str">
            <v>FD</v>
          </cell>
          <cell r="BD428" t="str">
            <v>FD</v>
          </cell>
          <cell r="CG428" t="str">
            <v>30/09/2020 : "FP" barrée de JD1 a été supprimé + "Maj" barrée de JP2.1.T1 a été supprimée. Aussi pour la "Maj" barrée de JD2.2 + la "FD" barrée de JP3.T1 (qui était en plus de la FP) + "Maj" barrée de JU2.T1, pour import dans la base arbo</v>
          </cell>
          <cell r="CH428" t="e">
            <v>#N/A</v>
          </cell>
          <cell r="CI428" t="e">
            <v>#N/A</v>
          </cell>
          <cell r="CJ428" t="e">
            <v>#N/A</v>
          </cell>
        </row>
        <row r="429">
          <cell r="B429" t="str">
            <v>Ligne_185_PPD</v>
          </cell>
          <cell r="C429">
            <v>185</v>
          </cell>
          <cell r="E429" t="str">
            <v>Analyse de risque de la surete informatique</v>
          </cell>
          <cell r="G429" t="str">
            <v>LIVRABLE</v>
          </cell>
          <cell r="R429" t="str">
            <v>CYB</v>
          </cell>
          <cell r="S429" t="str">
            <v>AT</v>
          </cell>
          <cell r="T429" t="str">
            <v>EX</v>
          </cell>
          <cell r="U429" t="str">
            <v>A.GREPPO</v>
          </cell>
          <cell r="Z429" t="str">
            <v>RTS 159 JS2 ETS 02/07/2020</v>
          </cell>
          <cell r="AA429" t="str">
            <v>E</v>
          </cell>
          <cell r="AB429" t="str">
            <v>Projet</v>
          </cell>
          <cell r="AC429" t="str">
            <v>ETS</v>
          </cell>
          <cell r="AD429" t="str">
            <v>SM ET.4-10639</v>
          </cell>
          <cell r="AE429" t="str">
            <v>Spécification de management MF19</v>
          </cell>
          <cell r="AF429" t="str">
            <v>13.4</v>
          </cell>
          <cell r="AI429" t="str">
            <v>LIVRABLE</v>
          </cell>
          <cell r="AN429" t="str">
            <v>FP</v>
          </cell>
          <cell r="AP429" t="str">
            <v>FD</v>
          </cell>
          <cell r="CH429" t="e">
            <v>#N/A</v>
          </cell>
          <cell r="CI429" t="e">
            <v>#N/A</v>
          </cell>
          <cell r="CJ429" t="e">
            <v>#N/A</v>
          </cell>
        </row>
        <row r="430">
          <cell r="B430" t="str">
            <v>Ligne_185.1_PPD</v>
          </cell>
          <cell r="C430" t="str">
            <v>185.1</v>
          </cell>
          <cell r="E430" t="str">
            <v>Analyse de risque de la surete informatique</v>
          </cell>
          <cell r="G430" t="str">
            <v>CONTEXTE DE CYBERSECURITE</v>
          </cell>
          <cell r="R430" t="str">
            <v>CYB</v>
          </cell>
          <cell r="S430" t="str">
            <v>AT</v>
          </cell>
          <cell r="T430" t="str">
            <v>EX</v>
          </cell>
          <cell r="U430" t="str">
            <v>A.GREPPO</v>
          </cell>
          <cell r="Z430" t="str">
            <v>RTS 159 JS2 ETS 02/07/2020</v>
          </cell>
          <cell r="AA430" t="str">
            <v>E</v>
          </cell>
          <cell r="AB430" t="str">
            <v>Projet</v>
          </cell>
          <cell r="AC430" t="str">
            <v>ETS</v>
          </cell>
          <cell r="AD430" t="str">
            <v>SM ET.4-10639</v>
          </cell>
          <cell r="AE430" t="str">
            <v>Spécification de management MF19</v>
          </cell>
          <cell r="AF430" t="str">
            <v>13.4</v>
          </cell>
          <cell r="AI430">
            <v>1</v>
          </cell>
          <cell r="AN430" t="str">
            <v>FP</v>
          </cell>
          <cell r="AP430" t="str">
            <v>FD</v>
          </cell>
          <cell r="CH430" t="e">
            <v>#N/A</v>
          </cell>
          <cell r="CI430" t="e">
            <v>#N/A</v>
          </cell>
          <cell r="CJ430" t="e">
            <v>#N/A</v>
          </cell>
        </row>
        <row r="431">
          <cell r="B431" t="str">
            <v>Ligne_185.2_PPD</v>
          </cell>
          <cell r="C431" t="str">
            <v>185.2</v>
          </cell>
          <cell r="E431" t="str">
            <v>Analyse de risque de la surete informatique</v>
          </cell>
          <cell r="G431" t="str">
            <v>ANALYSE D IMPACT DES RISQUES DE CYBERSECURITE</v>
          </cell>
          <cell r="R431" t="str">
            <v>CYB</v>
          </cell>
          <cell r="S431" t="str">
            <v>AT</v>
          </cell>
          <cell r="T431" t="str">
            <v>EX</v>
          </cell>
          <cell r="U431" t="str">
            <v>A.GREPPO</v>
          </cell>
          <cell r="Z431" t="str">
            <v>RTS 159 JS2 ETS 02/07/2020</v>
          </cell>
          <cell r="AA431" t="str">
            <v>E</v>
          </cell>
          <cell r="AB431" t="str">
            <v>Projet</v>
          </cell>
          <cell r="AC431" t="str">
            <v>ETS</v>
          </cell>
          <cell r="AD431" t="str">
            <v>SM ET.4-10639</v>
          </cell>
          <cell r="AE431" t="str">
            <v>Spécification de management MF19</v>
          </cell>
          <cell r="AF431" t="str">
            <v>13.4</v>
          </cell>
          <cell r="AI431">
            <v>1</v>
          </cell>
          <cell r="AN431" t="str">
            <v>FP</v>
          </cell>
          <cell r="AP431" t="str">
            <v>FD</v>
          </cell>
          <cell r="CH431" t="e">
            <v>#N/A</v>
          </cell>
          <cell r="CI431" t="e">
            <v>#N/A</v>
          </cell>
          <cell r="CJ431" t="e">
            <v>#N/A</v>
          </cell>
        </row>
        <row r="432">
          <cell r="B432" t="str">
            <v>Ligne_185.3_PPD</v>
          </cell>
          <cell r="C432" t="str">
            <v>185.3</v>
          </cell>
          <cell r="E432" t="str">
            <v>Analyse de risque de la surete informatique</v>
          </cell>
          <cell r="G432" t="str">
            <v>RAPPORT D EVALUATION DES RISQUES DE CYBERSECURITE</v>
          </cell>
          <cell r="R432" t="str">
            <v>CYB</v>
          </cell>
          <cell r="S432" t="str">
            <v>AT</v>
          </cell>
          <cell r="T432" t="str">
            <v>EX</v>
          </cell>
          <cell r="U432" t="str">
            <v>A.GREPPO</v>
          </cell>
          <cell r="Z432" t="str">
            <v>RTS 159 JS2 ETS 02/07/2020</v>
          </cell>
          <cell r="AA432" t="str">
            <v>E</v>
          </cell>
          <cell r="AB432" t="str">
            <v>Projet</v>
          </cell>
          <cell r="AC432" t="str">
            <v>ETS</v>
          </cell>
          <cell r="AD432" t="str">
            <v>SM ET.4-10639</v>
          </cell>
          <cell r="AE432" t="str">
            <v>Spécification de management MF19</v>
          </cell>
          <cell r="AF432" t="str">
            <v>13.4</v>
          </cell>
          <cell r="AI432">
            <v>1</v>
          </cell>
          <cell r="AN432" t="str">
            <v>FP</v>
          </cell>
          <cell r="AP432" t="str">
            <v>FD</v>
          </cell>
          <cell r="CH432" t="e">
            <v>#N/A</v>
          </cell>
          <cell r="CI432" t="e">
            <v>#N/A</v>
          </cell>
          <cell r="CJ432" t="e">
            <v>#N/A</v>
          </cell>
        </row>
        <row r="433">
          <cell r="B433" t="str">
            <v>Ligne_186_PPD</v>
          </cell>
          <cell r="C433">
            <v>186</v>
          </cell>
          <cell r="E433" t="str">
            <v>Cartographie physique (dont inventaires des équipements matériels et logiciels) du système industriel</v>
          </cell>
          <cell r="G433" t="str">
            <v>LIVRABLE</v>
          </cell>
          <cell r="R433" t="str">
            <v>CYB</v>
          </cell>
          <cell r="S433" t="str">
            <v>AT</v>
          </cell>
          <cell r="T433" t="str">
            <v>EX</v>
          </cell>
          <cell r="U433" t="str">
            <v>A.GREPPO</v>
          </cell>
          <cell r="Z433" t="str">
            <v>RTS 159 JS2 ETS 02/07/2020</v>
          </cell>
          <cell r="AA433" t="str">
            <v>E</v>
          </cell>
          <cell r="AB433" t="str">
            <v>Projet</v>
          </cell>
          <cell r="AC433" t="str">
            <v>ETS</v>
          </cell>
          <cell r="AD433" t="str">
            <v>SM ET.4-10639</v>
          </cell>
          <cell r="AE433" t="str">
            <v>Spécification de management MF19</v>
          </cell>
          <cell r="AF433" t="str">
            <v>13.4</v>
          </cell>
          <cell r="AI433" t="str">
            <v>LIVRABLE</v>
          </cell>
          <cell r="AN433" t="str">
            <v>FP</v>
          </cell>
          <cell r="AP433" t="str">
            <v>FD</v>
          </cell>
          <cell r="CH433" t="e">
            <v>#N/A</v>
          </cell>
          <cell r="CI433" t="e">
            <v>#N/A</v>
          </cell>
          <cell r="CJ433" t="e">
            <v>#N/A</v>
          </cell>
        </row>
        <row r="434">
          <cell r="B434" t="str">
            <v>Ligne_186.1_PPD</v>
          </cell>
          <cell r="C434" t="str">
            <v>186.1</v>
          </cell>
          <cell r="E434" t="str">
            <v>Cartographie physique (dont inventaires des équipements matériels et logiciels) du système industriel</v>
          </cell>
          <cell r="G434" t="str">
            <v>CARTOGRAPHIE PHYSIQUE DE CYBERSECURITE</v>
          </cell>
          <cell r="R434" t="str">
            <v>CYB</v>
          </cell>
          <cell r="S434" t="str">
            <v>AT</v>
          </cell>
          <cell r="T434" t="str">
            <v>EX</v>
          </cell>
          <cell r="U434" t="str">
            <v>A.GREPPO</v>
          </cell>
          <cell r="Z434" t="str">
            <v>RTS 159 JS2 ETS 02/07/2020</v>
          </cell>
          <cell r="AA434" t="str">
            <v>E</v>
          </cell>
          <cell r="AB434" t="str">
            <v>Projet</v>
          </cell>
          <cell r="AC434" t="str">
            <v>ETS</v>
          </cell>
          <cell r="AD434" t="str">
            <v>SM ET.4-10639</v>
          </cell>
          <cell r="AE434" t="str">
            <v>Spécification de management MF19</v>
          </cell>
          <cell r="AF434" t="str">
            <v>13.4</v>
          </cell>
          <cell r="AI434">
            <v>1</v>
          </cell>
          <cell r="AN434" t="str">
            <v>FP</v>
          </cell>
          <cell r="AP434" t="str">
            <v>FD</v>
          </cell>
          <cell r="CH434" t="e">
            <v>#N/A</v>
          </cell>
          <cell r="CI434" t="e">
            <v>#N/A</v>
          </cell>
          <cell r="CJ434" t="e">
            <v>#N/A</v>
          </cell>
        </row>
        <row r="435">
          <cell r="B435" t="str">
            <v>Ligne_186.2_PPD</v>
          </cell>
          <cell r="C435" t="str">
            <v>186.2</v>
          </cell>
          <cell r="E435" t="str">
            <v>Cartographie physique (dont inventaires des équipements matériels et logiciels) du système industriel</v>
          </cell>
          <cell r="G435" t="str">
            <v>INVENTAIRE MATERIEL DES BIENS DE CYBERSECURITE</v>
          </cell>
          <cell r="R435" t="str">
            <v>CYB</v>
          </cell>
          <cell r="S435" t="str">
            <v>AT</v>
          </cell>
          <cell r="T435" t="str">
            <v>EX</v>
          </cell>
          <cell r="U435" t="str">
            <v>A.GREPPO</v>
          </cell>
          <cell r="Z435" t="str">
            <v>RTS 159 JS2 ETS 02/07/2020</v>
          </cell>
          <cell r="AA435" t="str">
            <v>E</v>
          </cell>
          <cell r="AB435" t="str">
            <v>Projet</v>
          </cell>
          <cell r="AC435" t="str">
            <v>ETS</v>
          </cell>
          <cell r="AD435" t="str">
            <v>SM ET.4-10639</v>
          </cell>
          <cell r="AE435" t="str">
            <v>Spécification de management MF19</v>
          </cell>
          <cell r="AF435" t="str">
            <v>13.4</v>
          </cell>
          <cell r="AI435">
            <v>1</v>
          </cell>
          <cell r="AN435" t="str">
            <v>FP</v>
          </cell>
          <cell r="AP435" t="str">
            <v>FD</v>
          </cell>
          <cell r="CH435" t="e">
            <v>#N/A</v>
          </cell>
          <cell r="CI435" t="e">
            <v>#N/A</v>
          </cell>
          <cell r="CJ435" t="e">
            <v>#N/A</v>
          </cell>
        </row>
        <row r="436">
          <cell r="B436" t="str">
            <v>Ligne_187_PPD</v>
          </cell>
          <cell r="C436">
            <v>187</v>
          </cell>
          <cell r="E436" t="str">
            <v>Cartographie logique des réseaux industriels (topologie et matrice de flux) de la surete informatique</v>
          </cell>
          <cell r="G436" t="str">
            <v>CARTOGRAPHIE LOGIQUE DE CYBERSECURITE</v>
          </cell>
          <cell r="R436" t="str">
            <v>CYB</v>
          </cell>
          <cell r="S436" t="str">
            <v>AT</v>
          </cell>
          <cell r="T436" t="str">
            <v>EX</v>
          </cell>
          <cell r="U436" t="str">
            <v>A.GREPPO</v>
          </cell>
          <cell r="Z436" t="str">
            <v>RTS 159 JS2 ETS 02/07/2020</v>
          </cell>
          <cell r="AA436" t="str">
            <v>E</v>
          </cell>
          <cell r="AB436" t="str">
            <v>Projet</v>
          </cell>
          <cell r="AC436" t="str">
            <v>ETS</v>
          </cell>
          <cell r="AD436" t="str">
            <v>SM ET.4-10639</v>
          </cell>
          <cell r="AE436" t="str">
            <v>Spécification de management MF19</v>
          </cell>
          <cell r="AF436" t="str">
            <v>13.4</v>
          </cell>
          <cell r="AI436">
            <v>1</v>
          </cell>
          <cell r="AN436" t="str">
            <v>FP</v>
          </cell>
          <cell r="AP436" t="str">
            <v>FD</v>
          </cell>
          <cell r="CH436" t="e">
            <v>#N/A</v>
          </cell>
          <cell r="CI436" t="e">
            <v>#N/A</v>
          </cell>
          <cell r="CJ436" t="e">
            <v>#N/A</v>
          </cell>
        </row>
        <row r="437">
          <cell r="B437" t="str">
            <v>Ligne_188_PPD</v>
          </cell>
          <cell r="C437">
            <v>188</v>
          </cell>
          <cell r="E437" t="str">
            <v>Cartographie des applications de la surete informatique</v>
          </cell>
          <cell r="G437" t="str">
            <v>CARTOGRAPHIE APPLICATIVE ET ADMINISTRATION DE CYBERSECURITE</v>
          </cell>
          <cell r="R437" t="str">
            <v>CYB</v>
          </cell>
          <cell r="S437" t="str">
            <v>AT</v>
          </cell>
          <cell r="T437" t="str">
            <v>EX</v>
          </cell>
          <cell r="U437" t="str">
            <v>A.GREPPO</v>
          </cell>
          <cell r="Z437" t="str">
            <v>RTS 159 JS2 ETS 02/07/2020</v>
          </cell>
          <cell r="AA437" t="str">
            <v>E</v>
          </cell>
          <cell r="AB437" t="str">
            <v>Projet</v>
          </cell>
          <cell r="AC437" t="str">
            <v>ETS</v>
          </cell>
          <cell r="AD437" t="str">
            <v>SM ET.4-10639</v>
          </cell>
          <cell r="AE437" t="str">
            <v>Spécification de management MF19</v>
          </cell>
          <cell r="AF437" t="str">
            <v>13.4</v>
          </cell>
          <cell r="AI437">
            <v>1</v>
          </cell>
          <cell r="AN437" t="str">
            <v>FP</v>
          </cell>
          <cell r="AP437" t="str">
            <v>FD</v>
          </cell>
          <cell r="CH437" t="e">
            <v>#N/A</v>
          </cell>
          <cell r="CI437" t="e">
            <v>#N/A</v>
          </cell>
          <cell r="CJ437" t="e">
            <v>#N/A</v>
          </cell>
        </row>
        <row r="438">
          <cell r="B438" t="str">
            <v>Ligne_189_PPD</v>
          </cell>
          <cell r="C438">
            <v>189</v>
          </cell>
          <cell r="E438" t="str">
            <v>Cartographie de l’administration du système de la surete informatique</v>
          </cell>
          <cell r="G438" t="str">
            <v>sera inclus avec le livrable 188</v>
          </cell>
          <cell r="R438" t="str">
            <v>NA</v>
          </cell>
          <cell r="S438" t="str">
            <v>AT</v>
          </cell>
          <cell r="T438" t="str">
            <v>NA</v>
          </cell>
          <cell r="U438" t="str">
            <v>A.GREPPO</v>
          </cell>
          <cell r="Z438" t="str">
            <v>RTS 159 JS2 ETS 02/07/2020</v>
          </cell>
          <cell r="AA438" t="str">
            <v>E</v>
          </cell>
          <cell r="AB438" t="str">
            <v>Projet</v>
          </cell>
          <cell r="AC438" t="str">
            <v>ETS</v>
          </cell>
          <cell r="AD438" t="str">
            <v>SM ET.4-10639</v>
          </cell>
          <cell r="AE438" t="str">
            <v>Spécification de management MF19</v>
          </cell>
          <cell r="AF438" t="str">
            <v>13.4</v>
          </cell>
          <cell r="AI438" t="str">
            <v>RENVOI</v>
          </cell>
          <cell r="AN438" t="str">
            <v>FD</v>
          </cell>
          <cell r="CH438" t="e">
            <v>#N/A</v>
          </cell>
          <cell r="CI438" t="e">
            <v>#N/A</v>
          </cell>
          <cell r="CJ438" t="e">
            <v>#N/A</v>
          </cell>
        </row>
        <row r="439">
          <cell r="B439" t="str">
            <v>Ligne_190_PPD</v>
          </cell>
          <cell r="C439">
            <v>190</v>
          </cell>
          <cell r="E439" t="str">
            <v>Cahier de recette de la surete informatique</v>
          </cell>
          <cell r="G439" t="str">
            <v>RAPPORT D'EVALUATION DE CYBERSECURITE</v>
          </cell>
          <cell r="R439" t="str">
            <v>CYB</v>
          </cell>
          <cell r="S439" t="str">
            <v>AT</v>
          </cell>
          <cell r="T439" t="str">
            <v>EX</v>
          </cell>
          <cell r="U439" t="str">
            <v>A.GREPPO</v>
          </cell>
          <cell r="Z439" t="str">
            <v>RTS 159 JS2 ETS 02/07/2020</v>
          </cell>
          <cell r="AA439" t="str">
            <v>E</v>
          </cell>
          <cell r="AB439" t="str">
            <v>Projet</v>
          </cell>
          <cell r="AC439" t="str">
            <v>ETS</v>
          </cell>
          <cell r="AD439" t="str">
            <v>SM ET.4-10639</v>
          </cell>
          <cell r="AE439" t="str">
            <v>Spécification de management MF19</v>
          </cell>
          <cell r="AF439" t="str">
            <v>13.4</v>
          </cell>
          <cell r="AI439">
            <v>1</v>
          </cell>
          <cell r="AN439" t="str">
            <v>FP</v>
          </cell>
          <cell r="AT439" t="str">
            <v>FD</v>
          </cell>
          <cell r="CH439" t="e">
            <v>#N/A</v>
          </cell>
          <cell r="CI439" t="e">
            <v>#N/A</v>
          </cell>
          <cell r="CJ439" t="e">
            <v>#N/A</v>
          </cell>
        </row>
        <row r="440">
          <cell r="B440" t="str">
            <v>Ligne_191_PPD</v>
          </cell>
          <cell r="C440">
            <v>191</v>
          </cell>
          <cell r="E440" t="str">
            <v>Plan d’assurance sécurité (PAS)</v>
          </cell>
          <cell r="G440" t="str">
            <v>PLAN D'ASSURANCE SECURITE</v>
          </cell>
          <cell r="R440" t="str">
            <v>CYB</v>
          </cell>
          <cell r="S440" t="str">
            <v>AT</v>
          </cell>
          <cell r="T440" t="str">
            <v>EX</v>
          </cell>
          <cell r="U440" t="str">
            <v>A.GREPPO</v>
          </cell>
          <cell r="Z440" t="str">
            <v>RTS 159 JS2 ETS 02/07/2020</v>
          </cell>
          <cell r="AA440" t="str">
            <v>E</v>
          </cell>
          <cell r="AB440" t="str">
            <v>Projet</v>
          </cell>
          <cell r="AC440" t="str">
            <v>ETS</v>
          </cell>
          <cell r="AD440" t="str">
            <v>SM ET.4-10639</v>
          </cell>
          <cell r="AE440" t="str">
            <v>Spécification de management MF19</v>
          </cell>
          <cell r="AF440" t="str">
            <v>13.4</v>
          </cell>
          <cell r="AI440">
            <v>1</v>
          </cell>
          <cell r="AN440" t="str">
            <v>FP</v>
          </cell>
          <cell r="AT440" t="str">
            <v>FD</v>
          </cell>
          <cell r="CH440" t="e">
            <v>#N/A</v>
          </cell>
          <cell r="CI440" t="e">
            <v>#N/A</v>
          </cell>
          <cell r="CJ440" t="e">
            <v>#N/A</v>
          </cell>
        </row>
        <row r="441">
          <cell r="B441" t="str">
            <v>Ligne_192_PPD</v>
          </cell>
          <cell r="C441">
            <v>192</v>
          </cell>
          <cell r="E441" t="str">
            <v>Dossiers de Définition (DD) incluant l'aptitude au soutien des sous-systèmes et des produits</v>
          </cell>
          <cell r="G441" t="str">
            <v>LIVRABLE</v>
          </cell>
          <cell r="R441" t="str">
            <v>NA</v>
          </cell>
          <cell r="S441" t="str">
            <v>ABT</v>
          </cell>
          <cell r="T441" t="str">
            <v>NA</v>
          </cell>
          <cell r="U441" t="str">
            <v>NA</v>
          </cell>
          <cell r="Z441" t="str">
            <v>RTS 174 JS2 EAI 20/07/2020</v>
          </cell>
          <cell r="AA441" t="str">
            <v>E</v>
          </cell>
          <cell r="AB441" t="str">
            <v>Electronique</v>
          </cell>
          <cell r="AC441" t="str">
            <v>EAI</v>
          </cell>
          <cell r="AD441" t="str">
            <v>ST ET.4-10529</v>
          </cell>
          <cell r="AE441" t="str">
            <v>Documentation relative à l’étude et la réalisation de systèmes électroniques</v>
          </cell>
          <cell r="AF441" t="str">
            <v>2.6</v>
          </cell>
          <cell r="AI441" t="str">
            <v>LIVRABLE</v>
          </cell>
          <cell r="AN441" t="str">
            <v>FP</v>
          </cell>
          <cell r="AP441" t="str">
            <v>FD</v>
          </cell>
          <cell r="BE441" t="str">
            <v>Maj</v>
          </cell>
          <cell r="CH441" t="e">
            <v>#N/A</v>
          </cell>
          <cell r="CI441" t="e">
            <v>#N/A</v>
          </cell>
          <cell r="CJ441" t="e">
            <v>#N/A</v>
          </cell>
        </row>
        <row r="442">
          <cell r="B442" t="str">
            <v>Ligne_192.1_PPD</v>
          </cell>
          <cell r="C442" t="str">
            <v>192.1</v>
          </cell>
          <cell r="E442" t="str">
            <v>Dossiers de Définition (DD) incluant l'aptitude au soutien des sous-systèmes et des produits</v>
          </cell>
          <cell r="G442" t="str">
            <v>Synoptique et Schéma de principe</v>
          </cell>
          <cell r="S442" t="str">
            <v>AT</v>
          </cell>
          <cell r="T442" t="str">
            <v>BT</v>
          </cell>
          <cell r="U442" t="str">
            <v>J.MALENGE</v>
          </cell>
          <cell r="AA442" t="str">
            <v>E</v>
          </cell>
          <cell r="AB442" t="str">
            <v>Electronique</v>
          </cell>
          <cell r="AC442" t="str">
            <v>EAI</v>
          </cell>
          <cell r="AD442" t="str">
            <v>ST ET.4-10529</v>
          </cell>
          <cell r="AE442" t="str">
            <v>Documentation relative à l’étude et la réalisation de systèmes électroniques</v>
          </cell>
          <cell r="AF442" t="str">
            <v>2.6.1</v>
          </cell>
          <cell r="AI442">
            <v>100</v>
          </cell>
          <cell r="AP442" t="str">
            <v>FP</v>
          </cell>
          <cell r="AS442" t="str">
            <v>FD</v>
          </cell>
          <cell r="BE442" t="str">
            <v>Maj</v>
          </cell>
          <cell r="CH442" t="e">
            <v>#N/A</v>
          </cell>
          <cell r="CI442" t="e">
            <v>#N/A</v>
          </cell>
          <cell r="CJ442" t="e">
            <v>#N/A</v>
          </cell>
        </row>
        <row r="443">
          <cell r="B443" t="str">
            <v>Ligne_192.2_PPD</v>
          </cell>
          <cell r="C443" t="str">
            <v>192.2</v>
          </cell>
          <cell r="E443" t="str">
            <v>Dossiers de Définition (DD) incluant l'aptitude au soutien des sous-systèmes et des produits</v>
          </cell>
          <cell r="G443" t="str">
            <v>Dossier Electronique de Baie ou Armoire (DEB) - Document récapitulatif</v>
          </cell>
          <cell r="S443" t="str">
            <v>AT</v>
          </cell>
          <cell r="T443" t="str">
            <v>BT</v>
          </cell>
          <cell r="U443" t="str">
            <v>J.MALENGE</v>
          </cell>
          <cell r="AA443" t="str">
            <v>E</v>
          </cell>
          <cell r="AB443" t="str">
            <v>Electronique</v>
          </cell>
          <cell r="AC443" t="str">
            <v>EAI</v>
          </cell>
          <cell r="AD443" t="str">
            <v>ST ET.4-10529</v>
          </cell>
          <cell r="AE443" t="str">
            <v>Documentation relative à l’étude et la réalisation de systèmes électroniques</v>
          </cell>
          <cell r="AF443" t="str">
            <v>2.6.2.3.1</v>
          </cell>
          <cell r="AI443">
            <v>1</v>
          </cell>
          <cell r="AP443" t="str">
            <v>FD</v>
          </cell>
          <cell r="AS443" t="str">
            <v>Maj</v>
          </cell>
          <cell r="BE443" t="str">
            <v>Maj</v>
          </cell>
          <cell r="CH443" t="e">
            <v>#N/A</v>
          </cell>
          <cell r="CI443" t="e">
            <v>#N/A</v>
          </cell>
          <cell r="CJ443" t="e">
            <v>#N/A</v>
          </cell>
        </row>
        <row r="444">
          <cell r="B444" t="str">
            <v>Ligne_192.3_PPD</v>
          </cell>
          <cell r="C444" t="str">
            <v>192.3</v>
          </cell>
          <cell r="E444" t="str">
            <v>Dossiers de Définition (DD) incluant l'aptitude au soutien des sous-systèmes et des produits</v>
          </cell>
          <cell r="G444" t="str">
            <v>Dossier Electronique de Baie ou Armoire (DEB) - Feuille descriptive</v>
          </cell>
          <cell r="S444" t="str">
            <v>AT</v>
          </cell>
          <cell r="T444" t="str">
            <v>BT</v>
          </cell>
          <cell r="U444" t="str">
            <v>J.MALENGE</v>
          </cell>
          <cell r="AA444" t="str">
            <v>E</v>
          </cell>
          <cell r="AB444" t="str">
            <v>Electronique</v>
          </cell>
          <cell r="AC444" t="str">
            <v>EAI</v>
          </cell>
          <cell r="AD444" t="str">
            <v>ST ET.4-10529</v>
          </cell>
          <cell r="AE444" t="str">
            <v>Documentation relative à l’étude et la réalisation de systèmes électroniques</v>
          </cell>
          <cell r="AF444" t="str">
            <v>2.6.2.3.1</v>
          </cell>
          <cell r="AI444">
            <v>10</v>
          </cell>
          <cell r="AP444" t="str">
            <v>FD</v>
          </cell>
          <cell r="AS444" t="str">
            <v>Maj</v>
          </cell>
          <cell r="BE444" t="str">
            <v>Maj</v>
          </cell>
          <cell r="CH444" t="e">
            <v>#N/A</v>
          </cell>
          <cell r="CI444" t="e">
            <v>#N/A</v>
          </cell>
          <cell r="CJ444" t="e">
            <v>#N/A</v>
          </cell>
        </row>
        <row r="445">
          <cell r="B445" t="str">
            <v>Ligne_192.4_PPD</v>
          </cell>
          <cell r="C445" t="str">
            <v>192.4</v>
          </cell>
          <cell r="E445" t="str">
            <v>Dossiers de Définition (DD) incluant l'aptitude au soutien des sous-systèmes et des produits</v>
          </cell>
          <cell r="G445" t="str">
            <v>Dossier Electronique de Baie ou Armoire (DEB) - Liste d'équipement</v>
          </cell>
          <cell r="S445" t="str">
            <v>AT</v>
          </cell>
          <cell r="T445" t="str">
            <v>BT</v>
          </cell>
          <cell r="U445" t="str">
            <v>J.MALENGE</v>
          </cell>
          <cell r="AA445" t="str">
            <v>E</v>
          </cell>
          <cell r="AB445" t="str">
            <v>Electronique</v>
          </cell>
          <cell r="AC445" t="str">
            <v>EAI</v>
          </cell>
          <cell r="AD445" t="str">
            <v>ST ET.4-10529</v>
          </cell>
          <cell r="AE445" t="str">
            <v>Documentation relative à l’étude et la réalisation de systèmes électroniques</v>
          </cell>
          <cell r="AF445" t="str">
            <v>2.6.2.3.1</v>
          </cell>
          <cell r="AI445">
            <v>1</v>
          </cell>
          <cell r="AP445" t="str">
            <v>FD</v>
          </cell>
          <cell r="AS445" t="str">
            <v>Maj</v>
          </cell>
          <cell r="BE445" t="str">
            <v>Maj</v>
          </cell>
          <cell r="CH445" t="e">
            <v>#N/A</v>
          </cell>
          <cell r="CI445" t="e">
            <v>#N/A</v>
          </cell>
          <cell r="CJ445" t="e">
            <v>#N/A</v>
          </cell>
        </row>
        <row r="446">
          <cell r="B446" t="str">
            <v>Ligne_192.5_PPD</v>
          </cell>
          <cell r="C446" t="str">
            <v>192.5</v>
          </cell>
          <cell r="E446" t="str">
            <v>Dossiers de Définition (DD) incluant l'aptitude au soutien des sous-systèmes et des produits</v>
          </cell>
          <cell r="G446" t="str">
            <v>Dossier Electronique de Baie ou Armoire (DEB) - Plan d’équipement</v>
          </cell>
          <cell r="S446" t="str">
            <v>AT</v>
          </cell>
          <cell r="T446" t="str">
            <v>BT</v>
          </cell>
          <cell r="U446" t="str">
            <v>J.MALENGE</v>
          </cell>
          <cell r="AA446" t="str">
            <v>E</v>
          </cell>
          <cell r="AB446" t="str">
            <v>Electronique</v>
          </cell>
          <cell r="AC446" t="str">
            <v>EAI</v>
          </cell>
          <cell r="AD446" t="str">
            <v>ST ET.4-10529</v>
          </cell>
          <cell r="AE446" t="str">
            <v>Documentation relative à l’étude et la réalisation de systèmes électroniques</v>
          </cell>
          <cell r="AF446" t="str">
            <v>2.6.2.3.1</v>
          </cell>
          <cell r="AI446">
            <v>300</v>
          </cell>
          <cell r="AP446" t="str">
            <v>FD</v>
          </cell>
          <cell r="AS446" t="str">
            <v>Maj</v>
          </cell>
          <cell r="BE446" t="str">
            <v>Maj</v>
          </cell>
          <cell r="CH446" t="e">
            <v>#N/A</v>
          </cell>
          <cell r="CI446" t="e">
            <v>#N/A</v>
          </cell>
          <cell r="CJ446" t="e">
            <v>#N/A</v>
          </cell>
        </row>
        <row r="447">
          <cell r="B447" t="str">
            <v>Ligne_192.6_PPD</v>
          </cell>
          <cell r="C447" t="str">
            <v>192.6</v>
          </cell>
          <cell r="E447" t="str">
            <v>Dossiers de Définition (DD) incluant l'aptitude au soutien des sous-systèmes et des produits</v>
          </cell>
          <cell r="G447" t="str">
            <v>Dossier Electronique de Baie ou Armoire (DEB) - Plan d’ensemble</v>
          </cell>
          <cell r="S447" t="str">
            <v>AT</v>
          </cell>
          <cell r="T447" t="str">
            <v>BT</v>
          </cell>
          <cell r="U447" t="str">
            <v>J.MALENGE</v>
          </cell>
          <cell r="AA447" t="str">
            <v>E</v>
          </cell>
          <cell r="AB447" t="str">
            <v>Electronique</v>
          </cell>
          <cell r="AC447" t="str">
            <v>EAI</v>
          </cell>
          <cell r="AD447" t="str">
            <v>ST ET.4-10529</v>
          </cell>
          <cell r="AE447" t="str">
            <v>Documentation relative à l’étude et la réalisation de systèmes électroniques</v>
          </cell>
          <cell r="AF447" t="str">
            <v>2.6.2.3.1</v>
          </cell>
          <cell r="AI447">
            <v>300</v>
          </cell>
          <cell r="AP447" t="str">
            <v>FD</v>
          </cell>
          <cell r="AS447" t="str">
            <v>Maj</v>
          </cell>
          <cell r="BE447" t="str">
            <v>Maj</v>
          </cell>
          <cell r="CH447" t="e">
            <v>#N/A</v>
          </cell>
          <cell r="CI447" t="e">
            <v>#N/A</v>
          </cell>
          <cell r="CJ447" t="e">
            <v>#N/A</v>
          </cell>
        </row>
        <row r="448">
          <cell r="B448" t="str">
            <v>Ligne_192.7_PPD</v>
          </cell>
          <cell r="C448" t="str">
            <v>192.7</v>
          </cell>
          <cell r="E448" t="str">
            <v>Dossiers de Définition (DD) incluant l'aptitude au soutien des sous-systèmes et des produits</v>
          </cell>
          <cell r="G448" t="str">
            <v>Dossier Electronique de Baie ou Armoire (DEB) - Plan de Masse</v>
          </cell>
          <cell r="S448" t="str">
            <v>AT</v>
          </cell>
          <cell r="T448" t="str">
            <v>BT</v>
          </cell>
          <cell r="U448" t="str">
            <v>J.MALENGE</v>
          </cell>
          <cell r="AA448" t="str">
            <v>E</v>
          </cell>
          <cell r="AB448" t="str">
            <v>Electronique</v>
          </cell>
          <cell r="AC448" t="str">
            <v>EAI</v>
          </cell>
          <cell r="AD448" t="str">
            <v>ST ET.4-10529</v>
          </cell>
          <cell r="AE448" t="str">
            <v>Documentation relative à l’étude et la réalisation de systèmes électroniques</v>
          </cell>
          <cell r="AF448" t="str">
            <v>2.6.2.3.1</v>
          </cell>
          <cell r="AI448">
            <v>300</v>
          </cell>
          <cell r="AP448" t="str">
            <v>FD</v>
          </cell>
          <cell r="AS448" t="str">
            <v>Maj</v>
          </cell>
          <cell r="BE448" t="str">
            <v>Maj</v>
          </cell>
          <cell r="CH448" t="e">
            <v>#N/A</v>
          </cell>
          <cell r="CI448" t="e">
            <v>#N/A</v>
          </cell>
          <cell r="CJ448" t="e">
            <v>#N/A</v>
          </cell>
        </row>
        <row r="449">
          <cell r="B449" t="str">
            <v>Ligne_192.8_PPD</v>
          </cell>
          <cell r="C449" t="str">
            <v>192.8</v>
          </cell>
          <cell r="E449" t="str">
            <v>Dossiers de Définition (DD) incluant l'aptitude au soutien des sous-systèmes et des produits</v>
          </cell>
          <cell r="G449" t="str">
            <v>Dossier Electronique de Baie ou Armoire (DEB) - Plan de toronnage</v>
          </cell>
          <cell r="S449" t="str">
            <v>AT</v>
          </cell>
          <cell r="T449" t="str">
            <v>BT</v>
          </cell>
          <cell r="U449" t="str">
            <v>J.MALENGE</v>
          </cell>
          <cell r="AA449" t="str">
            <v>E</v>
          </cell>
          <cell r="AB449" t="str">
            <v>Electronique</v>
          </cell>
          <cell r="AC449" t="str">
            <v>EAI</v>
          </cell>
          <cell r="AD449" t="str">
            <v>ST ET.4-10529</v>
          </cell>
          <cell r="AE449" t="str">
            <v>Documentation relative à l’étude et la réalisation de systèmes électroniques</v>
          </cell>
          <cell r="AF449" t="str">
            <v>2.6.2.3.1</v>
          </cell>
          <cell r="AI449">
            <v>300</v>
          </cell>
          <cell r="AP449" t="str">
            <v>FD</v>
          </cell>
          <cell r="AS449" t="str">
            <v>Maj</v>
          </cell>
          <cell r="BE449" t="str">
            <v>Maj</v>
          </cell>
          <cell r="CH449" t="e">
            <v>#N/A</v>
          </cell>
          <cell r="CI449" t="e">
            <v>#N/A</v>
          </cell>
          <cell r="CJ449" t="e">
            <v>#N/A</v>
          </cell>
        </row>
        <row r="450">
          <cell r="B450" t="str">
            <v>Ligne_192.9_PPD</v>
          </cell>
          <cell r="C450" t="str">
            <v>192.9</v>
          </cell>
          <cell r="E450" t="str">
            <v>Dossiers de Définition (DD) incluant l'aptitude au soutien des sous-systèmes et des produits</v>
          </cell>
          <cell r="G450" t="str">
            <v>Dossier Electronique de Baie ou Armoire (DEB) - Liste de câblage</v>
          </cell>
          <cell r="S450" t="str">
            <v>AT</v>
          </cell>
          <cell r="T450" t="str">
            <v>BT</v>
          </cell>
          <cell r="U450" t="str">
            <v>J.MALENGE</v>
          </cell>
          <cell r="AA450" t="str">
            <v>E</v>
          </cell>
          <cell r="AB450" t="str">
            <v>Electronique</v>
          </cell>
          <cell r="AC450" t="str">
            <v>EAI</v>
          </cell>
          <cell r="AD450" t="str">
            <v>ST ET.4-10529</v>
          </cell>
          <cell r="AE450" t="str">
            <v>Documentation relative à l’étude et la réalisation de systèmes électroniques</v>
          </cell>
          <cell r="AF450" t="str">
            <v>2.6.2.3.1</v>
          </cell>
          <cell r="AI450">
            <v>300</v>
          </cell>
          <cell r="AP450" t="str">
            <v>FD</v>
          </cell>
          <cell r="AS450" t="str">
            <v>Maj</v>
          </cell>
          <cell r="BE450" t="str">
            <v>Maj</v>
          </cell>
          <cell r="CH450" t="e">
            <v>#N/A</v>
          </cell>
          <cell r="CI450" t="e">
            <v>#N/A</v>
          </cell>
          <cell r="CJ450" t="e">
            <v>#N/A</v>
          </cell>
        </row>
        <row r="451">
          <cell r="B451" t="str">
            <v>Ligne_192.10_PPD</v>
          </cell>
          <cell r="C451" t="str">
            <v>192.10</v>
          </cell>
          <cell r="E451" t="str">
            <v>Dossiers de Définition (DD) incluant l'aptitude au soutien des sous-systèmes et des produits</v>
          </cell>
          <cell r="G451" t="str">
            <v>Dossier Electronique de Baie ou Armoire (DEB) - Plans des connexions</v>
          </cell>
          <cell r="S451" t="str">
            <v>AT</v>
          </cell>
          <cell r="T451" t="str">
            <v>BT</v>
          </cell>
          <cell r="U451" t="str">
            <v>J.MALENGE</v>
          </cell>
          <cell r="AA451" t="str">
            <v>E</v>
          </cell>
          <cell r="AB451" t="str">
            <v>Electronique</v>
          </cell>
          <cell r="AC451" t="str">
            <v>EAI</v>
          </cell>
          <cell r="AD451" t="str">
            <v>ST ET.4-10529</v>
          </cell>
          <cell r="AE451" t="str">
            <v>Documentation relative à l’étude et la réalisation de systèmes électroniques</v>
          </cell>
          <cell r="AF451" t="str">
            <v>2.6.2.3.1</v>
          </cell>
          <cell r="AI451">
            <v>300</v>
          </cell>
          <cell r="AP451" t="str">
            <v>FD</v>
          </cell>
          <cell r="AS451" t="str">
            <v>Maj</v>
          </cell>
          <cell r="BE451" t="str">
            <v>Maj</v>
          </cell>
          <cell r="CH451" t="e">
            <v>#N/A</v>
          </cell>
          <cell r="CI451" t="e">
            <v>#N/A</v>
          </cell>
          <cell r="CJ451" t="e">
            <v>#N/A</v>
          </cell>
        </row>
        <row r="452">
          <cell r="B452" t="str">
            <v>Ligne_192.11_PPD</v>
          </cell>
          <cell r="C452" t="str">
            <v>192.11</v>
          </cell>
          <cell r="E452" t="str">
            <v>Dossiers de Définition (DD) incluant l'aptitude au soutien des sous-systèmes et des produits</v>
          </cell>
          <cell r="G452" t="str">
            <v>Dossier Electronique de Baie ou Armoire (DEB) - Nomenclature</v>
          </cell>
          <cell r="S452" t="str">
            <v>AT</v>
          </cell>
          <cell r="T452" t="str">
            <v>BT</v>
          </cell>
          <cell r="U452" t="str">
            <v>J.MALENGE</v>
          </cell>
          <cell r="AA452" t="str">
            <v>E</v>
          </cell>
          <cell r="AB452" t="str">
            <v>Electronique</v>
          </cell>
          <cell r="AC452" t="str">
            <v>EAI</v>
          </cell>
          <cell r="AD452" t="str">
            <v>ST ET.4-10529</v>
          </cell>
          <cell r="AE452" t="str">
            <v>Documentation relative à l’étude et la réalisation de systèmes électroniques</v>
          </cell>
          <cell r="AF452" t="str">
            <v>2.6.2.3.1</v>
          </cell>
          <cell r="AI452">
            <v>300</v>
          </cell>
          <cell r="AP452" t="str">
            <v>FD</v>
          </cell>
          <cell r="AS452" t="str">
            <v>Maj</v>
          </cell>
          <cell r="BE452" t="str">
            <v>Maj</v>
          </cell>
          <cell r="CH452" t="e">
            <v>#N/A</v>
          </cell>
          <cell r="CI452" t="e">
            <v>#N/A</v>
          </cell>
          <cell r="CJ452" t="e">
            <v>#N/A</v>
          </cell>
        </row>
        <row r="453">
          <cell r="B453" t="str">
            <v>Ligne_192.12_PPD</v>
          </cell>
          <cell r="C453" t="str">
            <v>192.12</v>
          </cell>
          <cell r="E453" t="str">
            <v>Dossiers de Définition (DD) incluant l'aptitude au soutien des sous-systèmes et des produits</v>
          </cell>
          <cell r="G453" t="str">
            <v>Dossier Electronique de Tiroir, Bloc ou Module Electronique (DET) - DOSSIER FONCTIONNEL DE TIROIR, BLOC ou MODULE (DFT) - Document récapitulatif</v>
          </cell>
          <cell r="S453" t="str">
            <v>AT</v>
          </cell>
          <cell r="T453" t="str">
            <v>BT</v>
          </cell>
          <cell r="U453" t="str">
            <v>C.SION</v>
          </cell>
          <cell r="AA453" t="str">
            <v>E</v>
          </cell>
          <cell r="AB453" t="str">
            <v>Electronique</v>
          </cell>
          <cell r="AC453" t="str">
            <v>EAI</v>
          </cell>
          <cell r="AD453" t="str">
            <v>ST ET.4-10529</v>
          </cell>
          <cell r="AE453" t="str">
            <v>Documentation relative à l’étude et la réalisation de systèmes électroniques</v>
          </cell>
          <cell r="AF453" t="str">
            <v>2.6.2.3.2</v>
          </cell>
          <cell r="AI453">
            <v>50</v>
          </cell>
          <cell r="AP453" t="str">
            <v>FD</v>
          </cell>
          <cell r="AS453" t="str">
            <v>Maj</v>
          </cell>
          <cell r="BE453" t="str">
            <v>Maj</v>
          </cell>
          <cell r="CH453" t="e">
            <v>#N/A</v>
          </cell>
          <cell r="CI453" t="e">
            <v>#N/A</v>
          </cell>
          <cell r="CJ453" t="e">
            <v>#N/A</v>
          </cell>
        </row>
        <row r="454">
          <cell r="B454" t="str">
            <v>Ligne_192.13_PPD</v>
          </cell>
          <cell r="C454" t="str">
            <v>192.13</v>
          </cell>
          <cell r="E454" t="str">
            <v>Dossiers de Définition (DD) incluant l'aptitude au soutien des sous-systèmes et des produits</v>
          </cell>
          <cell r="G454" t="str">
            <v>Dossier Electronique de Tiroir, Bloc ou Module Electronique (DET) - DOSSIER FONCTIONNEL DE TIROIR, BLOC ou MODULE (DFT) - Synoptique fonctionnel</v>
          </cell>
          <cell r="S454" t="str">
            <v>AT</v>
          </cell>
          <cell r="T454" t="str">
            <v>BT</v>
          </cell>
          <cell r="U454" t="str">
            <v>C.SION</v>
          </cell>
          <cell r="AA454" t="str">
            <v>E</v>
          </cell>
          <cell r="AB454" t="str">
            <v>Electronique</v>
          </cell>
          <cell r="AC454" t="str">
            <v>EAI</v>
          </cell>
          <cell r="AD454" t="str">
            <v>ST ET.4-10529</v>
          </cell>
          <cell r="AE454" t="str">
            <v>Documentation relative à l’étude et la réalisation de systèmes électroniques</v>
          </cell>
          <cell r="AF454" t="str">
            <v>2.6.2.3.2</v>
          </cell>
          <cell r="AI454">
            <v>10</v>
          </cell>
          <cell r="AP454" t="str">
            <v>FP</v>
          </cell>
          <cell r="AS454" t="str">
            <v>FD</v>
          </cell>
          <cell r="BE454" t="str">
            <v>Maj</v>
          </cell>
          <cell r="CH454" t="e">
            <v>#N/A</v>
          </cell>
          <cell r="CI454" t="e">
            <v>#N/A</v>
          </cell>
          <cell r="CJ454" t="e">
            <v>#N/A</v>
          </cell>
        </row>
        <row r="455">
          <cell r="B455" t="str">
            <v>Ligne_192.14_PPD</v>
          </cell>
          <cell r="C455" t="str">
            <v>192.14</v>
          </cell>
          <cell r="E455" t="str">
            <v>Dossiers de Définition (DD) incluant l'aptitude au soutien des sous-systèmes et des produits</v>
          </cell>
          <cell r="G455" t="str">
            <v>Dossier Electronique de Tiroir, Bloc ou Module Electronique (DET) - DOSSIER FONCTIONNEL DE TIROIR, BLOC ou MODULE (DFT) - Dossier de spécification d’interface</v>
          </cell>
          <cell r="S455" t="str">
            <v>AT</v>
          </cell>
          <cell r="T455" t="str">
            <v>BT</v>
          </cell>
          <cell r="U455" t="str">
            <v>C.SION</v>
          </cell>
          <cell r="AA455" t="str">
            <v>E</v>
          </cell>
          <cell r="AB455" t="str">
            <v>Electronique</v>
          </cell>
          <cell r="AC455" t="str">
            <v>EAI</v>
          </cell>
          <cell r="AD455" t="str">
            <v>ST ET.4-10529</v>
          </cell>
          <cell r="AE455" t="str">
            <v>Documentation relative à l’étude et la réalisation de systèmes électroniques</v>
          </cell>
          <cell r="AF455" t="str">
            <v>2.6.2.3.2</v>
          </cell>
          <cell r="AI455">
            <v>1</v>
          </cell>
          <cell r="AP455" t="str">
            <v>FP</v>
          </cell>
          <cell r="AS455" t="str">
            <v>FD</v>
          </cell>
          <cell r="BE455" t="str">
            <v>Maj</v>
          </cell>
          <cell r="CH455" t="e">
            <v>#N/A</v>
          </cell>
          <cell r="CI455" t="e">
            <v>#N/A</v>
          </cell>
          <cell r="CJ455" t="e">
            <v>#N/A</v>
          </cell>
        </row>
        <row r="456">
          <cell r="B456" t="str">
            <v>Ligne_192.15_PPD</v>
          </cell>
          <cell r="C456" t="str">
            <v>192.15</v>
          </cell>
          <cell r="E456" t="str">
            <v>Dossiers de Définition (DD) incluant l'aptitude au soutien des sous-systèmes et des produits</v>
          </cell>
          <cell r="G456" t="str">
            <v>Dossier Electronique de Tiroir, Bloc ou Module Electronique (DET) - DOSSIER FONCTIONNEL DE TIROIR, BLOC ou MODULE (DFT) - Notice descriptive détaillée et de fonctionnement</v>
          </cell>
          <cell r="S456" t="str">
            <v>AT</v>
          </cell>
          <cell r="T456" t="str">
            <v>BT</v>
          </cell>
          <cell r="U456" t="str">
            <v>C.SION</v>
          </cell>
          <cell r="AA456" t="str">
            <v>E</v>
          </cell>
          <cell r="AB456" t="str">
            <v>Electronique</v>
          </cell>
          <cell r="AC456" t="str">
            <v>EAI</v>
          </cell>
          <cell r="AD456" t="str">
            <v>ST ET.4-10529</v>
          </cell>
          <cell r="AE456" t="str">
            <v>Documentation relative à l’étude et la réalisation de systèmes électroniques</v>
          </cell>
          <cell r="AF456" t="str">
            <v>2.6.2.3.2</v>
          </cell>
          <cell r="AI456">
            <v>10</v>
          </cell>
          <cell r="AP456" t="str">
            <v>FP</v>
          </cell>
          <cell r="AS456" t="str">
            <v>FD</v>
          </cell>
          <cell r="BE456" t="str">
            <v>Maj</v>
          </cell>
          <cell r="CH456" t="e">
            <v>#N/A</v>
          </cell>
          <cell r="CI456" t="e">
            <v>#N/A</v>
          </cell>
          <cell r="CJ456" t="e">
            <v>#N/A</v>
          </cell>
        </row>
        <row r="457">
          <cell r="B457" t="str">
            <v>Ligne_192.16_PPD</v>
          </cell>
          <cell r="C457" t="str">
            <v>192.16</v>
          </cell>
          <cell r="E457" t="str">
            <v>Dossiers de Définition (DD) incluant l'aptitude au soutien des sous-systèmes et des produits</v>
          </cell>
          <cell r="G457" t="str">
            <v>Dossier Electronique de Tiroir, Bloc ou Module Electronique (DET) - DOSSIER FONCTIONNEL DE TIROIR, BLOC ou MODULE (DFT) - Notice de contrôle et de réglage</v>
          </cell>
          <cell r="S457" t="str">
            <v>AT</v>
          </cell>
          <cell r="T457" t="str">
            <v>BT</v>
          </cell>
          <cell r="U457" t="str">
            <v>C.SION</v>
          </cell>
          <cell r="AA457" t="str">
            <v>E</v>
          </cell>
          <cell r="AB457" t="str">
            <v>Electronique</v>
          </cell>
          <cell r="AC457" t="str">
            <v>EAI</v>
          </cell>
          <cell r="AD457" t="str">
            <v>ST ET.4-10529</v>
          </cell>
          <cell r="AE457" t="str">
            <v>Documentation relative à l’étude et la réalisation de systèmes électroniques</v>
          </cell>
          <cell r="AF457" t="str">
            <v>2.6.2.3.2</v>
          </cell>
          <cell r="AI457">
            <v>1</v>
          </cell>
          <cell r="AP457" t="str">
            <v>FP</v>
          </cell>
          <cell r="AS457" t="str">
            <v>FD</v>
          </cell>
          <cell r="BE457" t="str">
            <v>Maj</v>
          </cell>
          <cell r="CH457" t="e">
            <v>#N/A</v>
          </cell>
          <cell r="CI457" t="e">
            <v>#N/A</v>
          </cell>
          <cell r="CJ457" t="e">
            <v>#N/A</v>
          </cell>
        </row>
        <row r="458">
          <cell r="B458" t="str">
            <v>Ligne_192.17_PPD</v>
          </cell>
          <cell r="C458" t="str">
            <v>192.17</v>
          </cell>
          <cell r="E458" t="str">
            <v>Dossiers de Définition (DD) incluant l'aptitude au soutien des sous-systèmes et des produits</v>
          </cell>
          <cell r="G458" t="str">
            <v>Dossier Electronique de Tiroir, Bloc ou Module Electronique (DET) - DOSSIER FONCTIONNEL DE TIROIR, BLOC ou MODULE (DFT) - Etude de fiabilité prévisionnelle</v>
          </cell>
          <cell r="S458" t="str">
            <v>AT</v>
          </cell>
          <cell r="T458" t="str">
            <v>BT</v>
          </cell>
          <cell r="U458" t="str">
            <v>C.SION</v>
          </cell>
          <cell r="AA458" t="str">
            <v>E</v>
          </cell>
          <cell r="AB458" t="str">
            <v>Electronique</v>
          </cell>
          <cell r="AC458" t="str">
            <v>EAI</v>
          </cell>
          <cell r="AD458" t="str">
            <v>ST ET.4-10529</v>
          </cell>
          <cell r="AE458" t="str">
            <v>Documentation relative à l’étude et la réalisation de systèmes électroniques</v>
          </cell>
          <cell r="AF458" t="str">
            <v>2.6.2.3.2</v>
          </cell>
          <cell r="AI458">
            <v>1</v>
          </cell>
          <cell r="AP458" t="str">
            <v>FP</v>
          </cell>
          <cell r="AS458" t="str">
            <v>FD</v>
          </cell>
          <cell r="BE458" t="str">
            <v>Maj</v>
          </cell>
          <cell r="CH458" t="e">
            <v>#N/A</v>
          </cell>
          <cell r="CI458" t="e">
            <v>#N/A</v>
          </cell>
          <cell r="CJ458" t="e">
            <v>#N/A</v>
          </cell>
        </row>
        <row r="459">
          <cell r="B459" t="str">
            <v>Ligne_192.18_PPD</v>
          </cell>
          <cell r="C459" t="str">
            <v>192.18</v>
          </cell>
          <cell r="E459" t="str">
            <v>Dossiers de Définition (DD) incluant l'aptitude au soutien des sous-systèmes et des produits</v>
          </cell>
          <cell r="G459" t="str">
            <v>Dossier Electronique de Tiroir, Bloc ou Module Electronique (DET) - DOSSIER FONCTIONNEL DE TIROIR, BLOC ou MODULE (DFT) - Etude de sécurité et liste des équipements sécuritaires</v>
          </cell>
          <cell r="S459" t="str">
            <v>AT</v>
          </cell>
          <cell r="T459" t="str">
            <v>BT</v>
          </cell>
          <cell r="U459" t="str">
            <v>C.SION</v>
          </cell>
          <cell r="AA459" t="str">
            <v>E</v>
          </cell>
          <cell r="AB459" t="str">
            <v>Electronique</v>
          </cell>
          <cell r="AC459" t="str">
            <v>EAI</v>
          </cell>
          <cell r="AD459" t="str">
            <v>ST ET.4-10529</v>
          </cell>
          <cell r="AE459" t="str">
            <v>Documentation relative à l’étude et la réalisation de systèmes électroniques</v>
          </cell>
          <cell r="AF459" t="str">
            <v>2.6.2.3.2</v>
          </cell>
          <cell r="AI459">
            <v>1</v>
          </cell>
          <cell r="AP459" t="str">
            <v>FP</v>
          </cell>
          <cell r="AS459" t="str">
            <v>FD</v>
          </cell>
          <cell r="BE459" t="str">
            <v>Maj</v>
          </cell>
          <cell r="CH459" t="e">
            <v>#N/A</v>
          </cell>
          <cell r="CI459" t="e">
            <v>#N/A</v>
          </cell>
          <cell r="CJ459" t="e">
            <v>#N/A</v>
          </cell>
        </row>
        <row r="460">
          <cell r="B460" t="str">
            <v>Ligne_192.19_PPD</v>
          </cell>
          <cell r="C460" t="str">
            <v>192.19</v>
          </cell>
          <cell r="E460" t="str">
            <v>Dossiers de Définition (DD) incluant l'aptitude au soutien des sous-systèmes et des produits</v>
          </cell>
          <cell r="G460" t="str">
            <v xml:space="preserve">Dossier Electronique de Tiroir, Bloc ou Module Electronique (DET) - DOSSIER FONCTIONNEL DE TIROIR, BLOC ou MODULE (DFT) - Spécification Technique de Besoin d’Interface (STBI) </v>
          </cell>
          <cell r="S460" t="str">
            <v>AT</v>
          </cell>
          <cell r="T460" t="str">
            <v>BT</v>
          </cell>
          <cell r="U460" t="str">
            <v>C.SION</v>
          </cell>
          <cell r="AA460" t="str">
            <v>E</v>
          </cell>
          <cell r="AB460" t="str">
            <v>Electronique</v>
          </cell>
          <cell r="AC460" t="str">
            <v>EAI</v>
          </cell>
          <cell r="AD460" t="str">
            <v>ST ET.4-10529</v>
          </cell>
          <cell r="AE460" t="str">
            <v>Documentation relative à l’étude et la réalisation de systèmes électroniques</v>
          </cell>
          <cell r="AF460" t="str">
            <v>2.6.2.3.2</v>
          </cell>
          <cell r="AI460">
            <v>1</v>
          </cell>
          <cell r="AP460" t="str">
            <v>FP</v>
          </cell>
          <cell r="BA460" t="str">
            <v>FD</v>
          </cell>
          <cell r="BE460" t="str">
            <v>Maj</v>
          </cell>
          <cell r="CH460" t="e">
            <v>#N/A</v>
          </cell>
          <cell r="CI460" t="e">
            <v>#N/A</v>
          </cell>
          <cell r="CJ460" t="e">
            <v>#N/A</v>
          </cell>
        </row>
        <row r="461">
          <cell r="B461" t="str">
            <v>Ligne_192.20_PPD</v>
          </cell>
          <cell r="C461" t="str">
            <v>192.20</v>
          </cell>
          <cell r="E461" t="str">
            <v>Dossiers de Définition (DD) incluant l'aptitude au soutien des sous-systèmes et des produits</v>
          </cell>
          <cell r="G461" t="str">
            <v>Dossier Electronique de Tiroir, Bloc ou Module Electronique (DET) - DOSSIER FONCTIONNEL DE TIROIR, BLOC ou MODULE (DFT) - Analyse de pérennité de maintenance PCO</v>
          </cell>
          <cell r="S461" t="str">
            <v>AT</v>
          </cell>
          <cell r="T461" t="str">
            <v>BT</v>
          </cell>
          <cell r="U461" t="str">
            <v>C.SION</v>
          </cell>
          <cell r="AA461" t="str">
            <v>E</v>
          </cell>
          <cell r="AB461" t="str">
            <v>Electronique</v>
          </cell>
          <cell r="AC461" t="str">
            <v>EAI</v>
          </cell>
          <cell r="AD461" t="str">
            <v>ST ET.4-10529</v>
          </cell>
          <cell r="AE461" t="str">
            <v>Documentation relative à l’étude et la réalisation de systèmes électroniques</v>
          </cell>
          <cell r="AF461" t="str">
            <v>2.6.2.3.2</v>
          </cell>
          <cell r="AI461">
            <v>1</v>
          </cell>
          <cell r="AP461" t="str">
            <v>FP</v>
          </cell>
          <cell r="AS461" t="str">
            <v>FD</v>
          </cell>
          <cell r="BE461" t="str">
            <v>Maj</v>
          </cell>
          <cell r="CH461" t="e">
            <v>#N/A</v>
          </cell>
          <cell r="CI461" t="e">
            <v>#N/A</v>
          </cell>
          <cell r="CJ461" t="e">
            <v>#N/A</v>
          </cell>
        </row>
        <row r="462">
          <cell r="B462" t="str">
            <v>Ligne_192.21_PPD</v>
          </cell>
          <cell r="C462" t="str">
            <v>192.21</v>
          </cell>
          <cell r="E462" t="str">
            <v>Dossiers de Définition (DD) incluant l'aptitude au soutien des sous-systèmes et des produits</v>
          </cell>
          <cell r="G462" t="str">
            <v>Dossier Electronique de Tiroir, Bloc ou Module Electronique (DET) - DOSSIER MATERIEL DE TIROIR, BLOC ou MODULE (DMT) - Plan d’équipement - Mise à jour annuelle à partir de la 1ère soumission</v>
          </cell>
          <cell r="S462" t="str">
            <v>AT</v>
          </cell>
          <cell r="T462" t="str">
            <v>BT</v>
          </cell>
          <cell r="U462" t="str">
            <v>C.SION</v>
          </cell>
          <cell r="AA462" t="str">
            <v>E</v>
          </cell>
          <cell r="AB462" t="str">
            <v>Electronique</v>
          </cell>
          <cell r="AC462" t="str">
            <v>EAI</v>
          </cell>
          <cell r="AD462" t="str">
            <v>ST ET.4-10529</v>
          </cell>
          <cell r="AE462" t="str">
            <v>Documentation relative à l’étude et la réalisation de systèmes électroniques</v>
          </cell>
          <cell r="AF462" t="str">
            <v>2.6.2.3.2</v>
          </cell>
          <cell r="AI462">
            <v>1</v>
          </cell>
          <cell r="AP462" t="str">
            <v>FP</v>
          </cell>
          <cell r="AS462" t="str">
            <v>FD</v>
          </cell>
          <cell r="BE462" t="str">
            <v>Maj</v>
          </cell>
          <cell r="CH462" t="e">
            <v>#N/A</v>
          </cell>
          <cell r="CI462" t="e">
            <v>#N/A</v>
          </cell>
          <cell r="CJ462" t="e">
            <v>#N/A</v>
          </cell>
        </row>
        <row r="463">
          <cell r="B463" t="str">
            <v>Ligne_192.22_PPD</v>
          </cell>
          <cell r="C463" t="str">
            <v>192.22</v>
          </cell>
          <cell r="E463" t="str">
            <v>Dossiers de Définition (DD) incluant l'aptitude au soutien des sous-systèmes et des produits</v>
          </cell>
          <cell r="G463" t="str">
            <v>Dossier Electronique de Tiroir, Bloc ou Module Electronique (DET) - DOSSIER MATERIEL DE TIROIR, BLOC ou MODULE (DMT) - Plan d’ensemble</v>
          </cell>
          <cell r="S463" t="str">
            <v>AT</v>
          </cell>
          <cell r="T463" t="str">
            <v>BT</v>
          </cell>
          <cell r="U463" t="str">
            <v>C.SION</v>
          </cell>
          <cell r="AA463" t="str">
            <v>E</v>
          </cell>
          <cell r="AB463" t="str">
            <v>Electronique</v>
          </cell>
          <cell r="AC463" t="str">
            <v>EAI</v>
          </cell>
          <cell r="AD463" t="str">
            <v>ST ET.4-10529</v>
          </cell>
          <cell r="AE463" t="str">
            <v>Documentation relative à l’étude et la réalisation de systèmes électroniques</v>
          </cell>
          <cell r="AF463" t="str">
            <v>2.6.2.3.2</v>
          </cell>
          <cell r="AI463">
            <v>1</v>
          </cell>
          <cell r="AP463" t="str">
            <v>FP</v>
          </cell>
          <cell r="AS463" t="str">
            <v>FD</v>
          </cell>
          <cell r="BE463" t="str">
            <v>Maj</v>
          </cell>
          <cell r="CH463" t="e">
            <v>#N/A</v>
          </cell>
          <cell r="CI463" t="e">
            <v>#N/A</v>
          </cell>
          <cell r="CJ463" t="e">
            <v>#N/A</v>
          </cell>
        </row>
        <row r="464">
          <cell r="B464" t="str">
            <v>Ligne_192.23_PPD</v>
          </cell>
          <cell r="C464" t="str">
            <v>192.23</v>
          </cell>
          <cell r="E464" t="str">
            <v>Dossiers de Définition (DD) incluant l'aptitude au soutien des sous-systèmes et des produits</v>
          </cell>
          <cell r="G464" t="str">
            <v>Dossier Electronique de Tiroir, Bloc ou Module Electronique (DET) - DOSSIER MATERIEL DE TIROIR, BLOC ou MODULE (DMT) - Plan de Masse</v>
          </cell>
          <cell r="S464" t="str">
            <v>AT</v>
          </cell>
          <cell r="T464" t="str">
            <v>BT</v>
          </cell>
          <cell r="U464" t="str">
            <v>C.SION</v>
          </cell>
          <cell r="AA464" t="str">
            <v>E</v>
          </cell>
          <cell r="AB464" t="str">
            <v>Electronique</v>
          </cell>
          <cell r="AC464" t="str">
            <v>EAI</v>
          </cell>
          <cell r="AD464" t="str">
            <v>ST ET.4-10529</v>
          </cell>
          <cell r="AE464" t="str">
            <v>Documentation relative à l’étude et la réalisation de systèmes électroniques</v>
          </cell>
          <cell r="AF464" t="str">
            <v>2.6.2.3.2</v>
          </cell>
          <cell r="AI464">
            <v>1</v>
          </cell>
          <cell r="AP464" t="str">
            <v>FP</v>
          </cell>
          <cell r="AS464" t="str">
            <v>FD</v>
          </cell>
          <cell r="BE464" t="str">
            <v>Maj</v>
          </cell>
          <cell r="CH464" t="e">
            <v>#N/A</v>
          </cell>
          <cell r="CI464" t="e">
            <v>#N/A</v>
          </cell>
          <cell r="CJ464" t="e">
            <v>#N/A</v>
          </cell>
        </row>
        <row r="465">
          <cell r="B465" t="str">
            <v>Ligne_192.24_PPD</v>
          </cell>
          <cell r="C465" t="str">
            <v>192.24</v>
          </cell>
          <cell r="E465" t="str">
            <v>Dossiers de Définition (DD) incluant l'aptitude au soutien des sous-systèmes et des produits</v>
          </cell>
          <cell r="G465" t="str">
            <v>Dossier Electronique de Tiroir, Bloc ou Module Electronique (DET) - DOSSIER MATERIEL DE TIROIR, BLOC ou MODULE (DMT) - Liste de câblage</v>
          </cell>
          <cell r="S465" t="str">
            <v>AT</v>
          </cell>
          <cell r="T465" t="str">
            <v>BT</v>
          </cell>
          <cell r="U465" t="str">
            <v>C.SION</v>
          </cell>
          <cell r="AA465" t="str">
            <v>E</v>
          </cell>
          <cell r="AB465" t="str">
            <v>Electronique</v>
          </cell>
          <cell r="AC465" t="str">
            <v>EAI</v>
          </cell>
          <cell r="AD465" t="str">
            <v>ST ET.4-10529</v>
          </cell>
          <cell r="AE465" t="str">
            <v>Documentation relative à l’étude et la réalisation de systèmes électroniques</v>
          </cell>
          <cell r="AF465" t="str">
            <v>2.6.2.3.2</v>
          </cell>
          <cell r="AI465">
            <v>1</v>
          </cell>
          <cell r="AP465" t="str">
            <v>FP</v>
          </cell>
          <cell r="AS465" t="str">
            <v>FD</v>
          </cell>
          <cell r="BE465" t="str">
            <v>Maj</v>
          </cell>
          <cell r="CH465" t="e">
            <v>#N/A</v>
          </cell>
          <cell r="CI465" t="e">
            <v>#N/A</v>
          </cell>
          <cell r="CJ465" t="e">
            <v>#N/A</v>
          </cell>
        </row>
        <row r="466">
          <cell r="B466" t="str">
            <v>Ligne_192.25_PPD</v>
          </cell>
          <cell r="C466" t="str">
            <v>192.25</v>
          </cell>
          <cell r="E466" t="str">
            <v>Dossiers de Définition (DD) incluant l'aptitude au soutien des sous-systèmes et des produits</v>
          </cell>
          <cell r="G466" t="str">
            <v>Dossier Electronique de Tiroir, Bloc ou Module Electronique (DET) - DOSSIER MATERIEL DE TIROIR, BLOC ou MODULE (DMT) - Plans des connexions</v>
          </cell>
          <cell r="S466" t="str">
            <v>AT</v>
          </cell>
          <cell r="T466" t="str">
            <v>BT</v>
          </cell>
          <cell r="U466" t="str">
            <v>C.SION</v>
          </cell>
          <cell r="AA466" t="str">
            <v>E</v>
          </cell>
          <cell r="AB466" t="str">
            <v>Electronique</v>
          </cell>
          <cell r="AC466" t="str">
            <v>EAI</v>
          </cell>
          <cell r="AD466" t="str">
            <v>ST ET.4-10529</v>
          </cell>
          <cell r="AE466" t="str">
            <v>Documentation relative à l’étude et la réalisation de systèmes électroniques</v>
          </cell>
          <cell r="AF466" t="str">
            <v>2.6.2.3.2</v>
          </cell>
          <cell r="AI466">
            <v>1</v>
          </cell>
          <cell r="AP466" t="str">
            <v>FP</v>
          </cell>
          <cell r="AS466" t="str">
            <v>FD</v>
          </cell>
          <cell r="BE466" t="str">
            <v>Maj</v>
          </cell>
          <cell r="CH466" t="e">
            <v>#N/A</v>
          </cell>
          <cell r="CI466" t="e">
            <v>#N/A</v>
          </cell>
          <cell r="CJ466" t="e">
            <v>#N/A</v>
          </cell>
        </row>
        <row r="467">
          <cell r="B467" t="str">
            <v>Ligne_192.26_PPD</v>
          </cell>
          <cell r="C467" t="str">
            <v>192.26</v>
          </cell>
          <cell r="E467" t="str">
            <v>Dossiers de Définition (DD) incluant l'aptitude au soutien des sous-systèmes et des produits</v>
          </cell>
          <cell r="G467" t="str">
            <v>Dossier Electronique de Tiroir, Bloc ou Module Electronique (DET) - DOSSIER MATERIEL DE TIROIR, BLOC ou MODULE (DMT) - Schéma électrique</v>
          </cell>
          <cell r="S467" t="str">
            <v>AT</v>
          </cell>
          <cell r="T467" t="str">
            <v>BT</v>
          </cell>
          <cell r="U467" t="str">
            <v>C.SION</v>
          </cell>
          <cell r="AA467" t="str">
            <v>E</v>
          </cell>
          <cell r="AB467" t="str">
            <v>Electronique</v>
          </cell>
          <cell r="AC467" t="str">
            <v>EAI</v>
          </cell>
          <cell r="AD467" t="str">
            <v>ST ET.4-10529</v>
          </cell>
          <cell r="AE467" t="str">
            <v>Documentation relative à l’étude et la réalisation de systèmes électroniques</v>
          </cell>
          <cell r="AF467" t="str">
            <v>2.6.2.3.2</v>
          </cell>
          <cell r="AI467">
            <v>1</v>
          </cell>
          <cell r="AP467" t="str">
            <v>FP</v>
          </cell>
          <cell r="AS467" t="str">
            <v>FD</v>
          </cell>
          <cell r="BE467" t="str">
            <v>Maj</v>
          </cell>
          <cell r="CH467" t="e">
            <v>#N/A</v>
          </cell>
          <cell r="CI467" t="e">
            <v>#N/A</v>
          </cell>
          <cell r="CJ467" t="e">
            <v>#N/A</v>
          </cell>
        </row>
        <row r="468">
          <cell r="B468" t="str">
            <v>Ligne_192.27_PPD</v>
          </cell>
          <cell r="C468" t="str">
            <v>192.27</v>
          </cell>
          <cell r="E468" t="str">
            <v>Dossiers de Définition (DD) incluant l'aptitude au soutien des sous-systèmes et des produits</v>
          </cell>
          <cell r="G468" t="str">
            <v>Dossier Electronique de Tiroir, Bloc ou Module Electronique (DET) - DOSSIER MATERIEL DE TIROIR, BLOC ou MODULE (DMT) - Nomenclature</v>
          </cell>
          <cell r="S468" t="str">
            <v>AT</v>
          </cell>
          <cell r="T468" t="str">
            <v>BT</v>
          </cell>
          <cell r="U468" t="str">
            <v>C.SION</v>
          </cell>
          <cell r="AA468" t="str">
            <v>E</v>
          </cell>
          <cell r="AB468" t="str">
            <v>Electronique</v>
          </cell>
          <cell r="AC468" t="str">
            <v>EAI</v>
          </cell>
          <cell r="AD468" t="str">
            <v>ST ET.4-10529</v>
          </cell>
          <cell r="AE468" t="str">
            <v>Documentation relative à l’étude et la réalisation de systèmes électroniques</v>
          </cell>
          <cell r="AF468" t="str">
            <v>2.6.2.3.2</v>
          </cell>
          <cell r="AI468">
            <v>1</v>
          </cell>
          <cell r="AP468" t="str">
            <v>FP</v>
          </cell>
          <cell r="AS468" t="str">
            <v>FD</v>
          </cell>
          <cell r="BE468" t="str">
            <v>Maj</v>
          </cell>
          <cell r="CH468" t="e">
            <v>#N/A</v>
          </cell>
          <cell r="CI468" t="e">
            <v>#N/A</v>
          </cell>
          <cell r="CJ468" t="e">
            <v>#N/A</v>
          </cell>
        </row>
        <row r="469">
          <cell r="B469" t="str">
            <v>Ligne_192.28_PPD</v>
          </cell>
          <cell r="C469" t="str">
            <v>192.28</v>
          </cell>
          <cell r="E469" t="str">
            <v>Dossiers de Définition (DD) incluant l'aptitude au soutien des sous-systèmes et des produits</v>
          </cell>
          <cell r="G469" t="str">
            <v>Dossier Electronique de Tiroir, Bloc ou Module Electronique (DET) - DOSSIER MATERIEL DE TIROIR, BLOC ou MODULE (DMT) - Spécification de programmation de l’équipement</v>
          </cell>
          <cell r="S469" t="str">
            <v>AT</v>
          </cell>
          <cell r="T469" t="str">
            <v>BT</v>
          </cell>
          <cell r="U469" t="str">
            <v>C.SION</v>
          </cell>
          <cell r="AA469" t="str">
            <v>E</v>
          </cell>
          <cell r="AB469" t="str">
            <v>Electronique</v>
          </cell>
          <cell r="AC469" t="str">
            <v>EAI</v>
          </cell>
          <cell r="AD469" t="str">
            <v>ST ET.4-10529</v>
          </cell>
          <cell r="AE469" t="str">
            <v>Documentation relative à l’étude et la réalisation de systèmes électroniques</v>
          </cell>
          <cell r="AF469" t="str">
            <v>2.6.2.3.2</v>
          </cell>
          <cell r="AI469">
            <v>1</v>
          </cell>
          <cell r="AP469" t="str">
            <v>FP</v>
          </cell>
          <cell r="AS469" t="str">
            <v>FD</v>
          </cell>
          <cell r="BE469" t="str">
            <v>Maj</v>
          </cell>
          <cell r="CH469" t="e">
            <v>#N/A</v>
          </cell>
          <cell r="CI469" t="e">
            <v>#N/A</v>
          </cell>
          <cell r="CJ469" t="e">
            <v>#N/A</v>
          </cell>
        </row>
        <row r="470">
          <cell r="B470" t="str">
            <v>Ligne_192.29_PPD</v>
          </cell>
          <cell r="C470" t="str">
            <v>192.29</v>
          </cell>
          <cell r="E470" t="str">
            <v>Dossiers de Définition (DD) incluant l'aptitude au soutien des sous-systèmes et des produits</v>
          </cell>
          <cell r="G470" t="str">
            <v>Dossier Electronique de Carte (DEC) - DOSSIER FONCTIONNEL DE CARTE (DFC) - Document récapitulatif</v>
          </cell>
          <cell r="S470" t="str">
            <v>AT</v>
          </cell>
          <cell r="T470" t="str">
            <v>BT</v>
          </cell>
          <cell r="U470" t="str">
            <v>C.SION</v>
          </cell>
          <cell r="AA470" t="str">
            <v>E</v>
          </cell>
          <cell r="AB470" t="str">
            <v>Electronique</v>
          </cell>
          <cell r="AC470" t="str">
            <v>EAI</v>
          </cell>
          <cell r="AD470" t="str">
            <v>ST ET.4-10529</v>
          </cell>
          <cell r="AE470" t="str">
            <v>Documentation relative à l’étude et la réalisation de systèmes électroniques</v>
          </cell>
          <cell r="AF470" t="str">
            <v>2.6.2.3.3</v>
          </cell>
          <cell r="AI470">
            <v>1</v>
          </cell>
          <cell r="AP470" t="str">
            <v>FP</v>
          </cell>
          <cell r="AS470" t="str">
            <v>FD</v>
          </cell>
          <cell r="BE470" t="str">
            <v>Maj</v>
          </cell>
          <cell r="CH470" t="e">
            <v>#N/A</v>
          </cell>
          <cell r="CI470" t="e">
            <v>#N/A</v>
          </cell>
          <cell r="CJ470" t="e">
            <v>#N/A</v>
          </cell>
        </row>
        <row r="471">
          <cell r="B471" t="str">
            <v>Ligne_192.30_PPD</v>
          </cell>
          <cell r="C471" t="str">
            <v>192.30</v>
          </cell>
          <cell r="E471" t="str">
            <v>Dossiers de Définition (DD) incluant l'aptitude au soutien des sous-systèmes et des produits</v>
          </cell>
          <cell r="G471" t="str">
            <v>Dossier Electronique de Carte (DEC) - DOSSIER FONCTIONNEL DE CARTE (DFC) - Dossier de spécification d’interface</v>
          </cell>
          <cell r="S471" t="str">
            <v>AT</v>
          </cell>
          <cell r="T471" t="str">
            <v>BT</v>
          </cell>
          <cell r="U471" t="str">
            <v>C.SION</v>
          </cell>
          <cell r="AA471" t="str">
            <v>E</v>
          </cell>
          <cell r="AB471" t="str">
            <v>Electronique</v>
          </cell>
          <cell r="AC471" t="str">
            <v>EAI</v>
          </cell>
          <cell r="AD471" t="str">
            <v>ST ET.4-10529</v>
          </cell>
          <cell r="AE471" t="str">
            <v>Documentation relative à l’étude et la réalisation de systèmes électroniques</v>
          </cell>
          <cell r="AF471" t="str">
            <v>2.6.2.3.3</v>
          </cell>
          <cell r="AI471">
            <v>1</v>
          </cell>
          <cell r="AP471" t="str">
            <v>FP</v>
          </cell>
          <cell r="AS471" t="str">
            <v>FD</v>
          </cell>
          <cell r="BE471" t="str">
            <v>Maj</v>
          </cell>
          <cell r="CH471" t="e">
            <v>#N/A</v>
          </cell>
          <cell r="CI471" t="e">
            <v>#N/A</v>
          </cell>
          <cell r="CJ471" t="e">
            <v>#N/A</v>
          </cell>
        </row>
        <row r="472">
          <cell r="B472" t="str">
            <v>Ligne_192.31_PPD</v>
          </cell>
          <cell r="C472" t="str">
            <v>192.31</v>
          </cell>
          <cell r="E472" t="str">
            <v>Dossiers de Définition (DD) incluant l'aptitude au soutien des sous-systèmes et des produits</v>
          </cell>
          <cell r="G472" t="str">
            <v>Dossier Electronique de Carte (DEC) - DOSSIER FONCTIONNEL DE CARTE (DFC) - Liste des fonctions sécuritaires</v>
          </cell>
          <cell r="S472" t="str">
            <v>AT</v>
          </cell>
          <cell r="T472" t="str">
            <v>BT</v>
          </cell>
          <cell r="U472" t="str">
            <v>C.SION</v>
          </cell>
          <cell r="AA472" t="str">
            <v>E</v>
          </cell>
          <cell r="AB472" t="str">
            <v>Electronique</v>
          </cell>
          <cell r="AC472" t="str">
            <v>EAI</v>
          </cell>
          <cell r="AD472" t="str">
            <v>ST ET.4-10529</v>
          </cell>
          <cell r="AE472" t="str">
            <v>Documentation relative à l’étude et la réalisation de systèmes électroniques</v>
          </cell>
          <cell r="AF472" t="str">
            <v>2.6.2.3.3</v>
          </cell>
          <cell r="AI472">
            <v>1</v>
          </cell>
          <cell r="AP472" t="str">
            <v>FP</v>
          </cell>
          <cell r="AS472" t="str">
            <v>FD</v>
          </cell>
          <cell r="BE472" t="str">
            <v>Maj</v>
          </cell>
          <cell r="CH472" t="e">
            <v>#N/A</v>
          </cell>
          <cell r="CI472" t="e">
            <v>#N/A</v>
          </cell>
          <cell r="CJ472" t="e">
            <v>#N/A</v>
          </cell>
        </row>
        <row r="473">
          <cell r="B473" t="str">
            <v>Ligne_192.32_PPD</v>
          </cell>
          <cell r="C473" t="str">
            <v>192.32</v>
          </cell>
          <cell r="E473" t="str">
            <v>Dossiers de Définition (DD) incluant l'aptitude au soutien des sous-systèmes et des produits</v>
          </cell>
          <cell r="G473" t="str">
            <v>Dossier Electronique de Carte (DEC) - DOSSIER FONCTIONNEL DE CARTE (DFC) - Synoptique fonctionnel</v>
          </cell>
          <cell r="S473" t="str">
            <v>AT</v>
          </cell>
          <cell r="T473" t="str">
            <v>BT</v>
          </cell>
          <cell r="U473" t="str">
            <v>C.SION</v>
          </cell>
          <cell r="AA473" t="str">
            <v>E</v>
          </cell>
          <cell r="AB473" t="str">
            <v>Electronique</v>
          </cell>
          <cell r="AC473" t="str">
            <v>EAI</v>
          </cell>
          <cell r="AD473" t="str">
            <v>ST ET.4-10529</v>
          </cell>
          <cell r="AE473" t="str">
            <v>Documentation relative à l’étude et la réalisation de systèmes électroniques</v>
          </cell>
          <cell r="AF473" t="str">
            <v>2.6.2.3.3</v>
          </cell>
          <cell r="AI473">
            <v>1</v>
          </cell>
          <cell r="AP473" t="str">
            <v>FP</v>
          </cell>
          <cell r="AS473" t="str">
            <v>FD</v>
          </cell>
          <cell r="BE473" t="str">
            <v>Maj</v>
          </cell>
          <cell r="CH473" t="e">
            <v>#N/A</v>
          </cell>
          <cell r="CI473" t="e">
            <v>#N/A</v>
          </cell>
          <cell r="CJ473" t="e">
            <v>#N/A</v>
          </cell>
        </row>
        <row r="474">
          <cell r="B474" t="str">
            <v>Ligne_192.33_PPD</v>
          </cell>
          <cell r="C474" t="str">
            <v>192.33</v>
          </cell>
          <cell r="E474" t="str">
            <v>Dossiers de Définition (DD) incluant l'aptitude au soutien des sous-systèmes et des produits</v>
          </cell>
          <cell r="G474" t="str">
            <v>Dossier Electronique de Carte (DEC) - DOSSIER FONCTIONNEL DE CARTE (DFC) - Notice descriptive détaillée et de fonctionnement</v>
          </cell>
          <cell r="S474" t="str">
            <v>AT</v>
          </cell>
          <cell r="T474" t="str">
            <v>BT</v>
          </cell>
          <cell r="U474" t="str">
            <v>C.SION</v>
          </cell>
          <cell r="AA474" t="str">
            <v>E</v>
          </cell>
          <cell r="AB474" t="str">
            <v>Electronique</v>
          </cell>
          <cell r="AC474" t="str">
            <v>EAI</v>
          </cell>
          <cell r="AD474" t="str">
            <v>ST ET.4-10529</v>
          </cell>
          <cell r="AE474" t="str">
            <v>Documentation relative à l’étude et la réalisation de systèmes électroniques</v>
          </cell>
          <cell r="AF474" t="str">
            <v>2.6.2.3.3</v>
          </cell>
          <cell r="AI474">
            <v>1</v>
          </cell>
          <cell r="AP474" t="str">
            <v>FP</v>
          </cell>
          <cell r="AS474" t="str">
            <v>FD</v>
          </cell>
          <cell r="BE474" t="str">
            <v>Maj</v>
          </cell>
          <cell r="CH474" t="e">
            <v>#N/A</v>
          </cell>
          <cell r="CI474" t="e">
            <v>#N/A</v>
          </cell>
          <cell r="CJ474" t="e">
            <v>#N/A</v>
          </cell>
        </row>
        <row r="475">
          <cell r="B475" t="str">
            <v>Ligne_192.34_PPD</v>
          </cell>
          <cell r="C475" t="str">
            <v>192.34</v>
          </cell>
          <cell r="E475" t="str">
            <v>Dossiers de Définition (DD) incluant l'aptitude au soutien des sous-systèmes et des produits</v>
          </cell>
          <cell r="G475" t="str">
            <v>Dossier Electronique de Carte (DEC) - DOSSIER FONCTIONNEL DE CARTE (DFC) - Notice de contrôle et de réglage</v>
          </cell>
          <cell r="S475" t="str">
            <v>AT</v>
          </cell>
          <cell r="T475" t="str">
            <v>BT</v>
          </cell>
          <cell r="U475" t="str">
            <v>C.SION</v>
          </cell>
          <cell r="AA475" t="str">
            <v>E</v>
          </cell>
          <cell r="AB475" t="str">
            <v>Electronique</v>
          </cell>
          <cell r="AC475" t="str">
            <v>EAI</v>
          </cell>
          <cell r="AD475" t="str">
            <v>ST ET.4-10529</v>
          </cell>
          <cell r="AE475" t="str">
            <v>Documentation relative à l’étude et la réalisation de systèmes électroniques</v>
          </cell>
          <cell r="AF475" t="str">
            <v>2.6.2.3.3</v>
          </cell>
          <cell r="AI475">
            <v>1</v>
          </cell>
          <cell r="AS475" t="str">
            <v>FD</v>
          </cell>
          <cell r="BE475" t="str">
            <v>Maj</v>
          </cell>
          <cell r="CH475" t="e">
            <v>#N/A</v>
          </cell>
          <cell r="CI475" t="e">
            <v>#N/A</v>
          </cell>
          <cell r="CJ475" t="e">
            <v>#N/A</v>
          </cell>
        </row>
        <row r="476">
          <cell r="B476" t="str">
            <v>Ligne_192.35_PPD</v>
          </cell>
          <cell r="C476" t="str">
            <v>192.35</v>
          </cell>
          <cell r="E476" t="str">
            <v>Dossiers de Définition (DD) incluant l'aptitude au soutien des sous-systèmes et des produits</v>
          </cell>
          <cell r="G476" t="str">
            <v>Dossier Electronique de Carte (DEC) - DOSSIER FONCTIONNEL DE CARTE (DFC) - Etude de fiabilité prévisionnelle</v>
          </cell>
          <cell r="S476" t="str">
            <v>AT</v>
          </cell>
          <cell r="T476" t="str">
            <v>BT</v>
          </cell>
          <cell r="U476" t="str">
            <v>C.SION</v>
          </cell>
          <cell r="AA476" t="str">
            <v>E</v>
          </cell>
          <cell r="AB476" t="str">
            <v>Electronique</v>
          </cell>
          <cell r="AC476" t="str">
            <v>EAI</v>
          </cell>
          <cell r="AD476" t="str">
            <v>ST ET.4-10529</v>
          </cell>
          <cell r="AE476" t="str">
            <v>Documentation relative à l’étude et la réalisation de systèmes électroniques</v>
          </cell>
          <cell r="AF476" t="str">
            <v>2.6.2.3.3</v>
          </cell>
          <cell r="AI476">
            <v>1</v>
          </cell>
          <cell r="AP476" t="str">
            <v>FP</v>
          </cell>
          <cell r="AS476" t="str">
            <v>FD</v>
          </cell>
          <cell r="BE476" t="str">
            <v>Maj</v>
          </cell>
          <cell r="CH476" t="e">
            <v>#N/A</v>
          </cell>
          <cell r="CI476" t="e">
            <v>#N/A</v>
          </cell>
          <cell r="CJ476" t="e">
            <v>#N/A</v>
          </cell>
        </row>
        <row r="477">
          <cell r="B477" t="str">
            <v>Ligne_192.36_PPD</v>
          </cell>
          <cell r="C477" t="str">
            <v>192.36</v>
          </cell>
          <cell r="E477" t="str">
            <v>Dossiers de Définition (DD) incluant l'aptitude au soutien des sous-systèmes et des produits</v>
          </cell>
          <cell r="G477" t="str">
            <v>Dossier Electronique de Carte (DEC) - DOSSIER FONCTIONNEL DE CARTE (DFC) - Analyses in-situ et fonctionnelle de testabilité / maintenabilité</v>
          </cell>
          <cell r="S477" t="str">
            <v>AT</v>
          </cell>
          <cell r="T477" t="str">
            <v>BT</v>
          </cell>
          <cell r="U477" t="str">
            <v>C.SION</v>
          </cell>
          <cell r="AA477" t="str">
            <v>E</v>
          </cell>
          <cell r="AB477" t="str">
            <v>Electronique</v>
          </cell>
          <cell r="AC477" t="str">
            <v>EAI</v>
          </cell>
          <cell r="AD477" t="str">
            <v>ST ET.4-10529</v>
          </cell>
          <cell r="AE477" t="str">
            <v>Documentation relative à l’étude et la réalisation de systèmes électroniques</v>
          </cell>
          <cell r="AF477" t="str">
            <v>2.6.2.3.3</v>
          </cell>
          <cell r="AI477">
            <v>1</v>
          </cell>
          <cell r="BA477" t="str">
            <v>FD</v>
          </cell>
          <cell r="BE477" t="str">
            <v>Maj</v>
          </cell>
          <cell r="CH477" t="e">
            <v>#N/A</v>
          </cell>
          <cell r="CI477" t="e">
            <v>#N/A</v>
          </cell>
          <cell r="CJ477" t="e">
            <v>#N/A</v>
          </cell>
        </row>
        <row r="478">
          <cell r="B478" t="str">
            <v>Ligne_192.37_PPD</v>
          </cell>
          <cell r="C478" t="str">
            <v>192.37</v>
          </cell>
          <cell r="E478" t="str">
            <v>Dossiers de Définition (DD) incluant l'aptitude au soutien des sous-systèmes et des produits</v>
          </cell>
          <cell r="G478" t="str">
            <v>Dossier Electronique de Carte (DEC) - DOSSIER MATERIEL DE CARTE (DMC) - Schéma électrique</v>
          </cell>
          <cell r="S478" t="str">
            <v>AT</v>
          </cell>
          <cell r="T478" t="str">
            <v>BT</v>
          </cell>
          <cell r="U478" t="str">
            <v>C.SION</v>
          </cell>
          <cell r="AA478" t="str">
            <v>E</v>
          </cell>
          <cell r="AB478" t="str">
            <v>Electronique</v>
          </cell>
          <cell r="AC478" t="str">
            <v>EAI</v>
          </cell>
          <cell r="AD478" t="str">
            <v>ST ET.4-10529</v>
          </cell>
          <cell r="AE478" t="str">
            <v>Documentation relative à l’étude et la réalisation de systèmes électroniques</v>
          </cell>
          <cell r="AF478" t="str">
            <v>2.6.2.3.3</v>
          </cell>
          <cell r="AI478">
            <v>1</v>
          </cell>
          <cell r="AP478" t="str">
            <v>FP</v>
          </cell>
          <cell r="AS478" t="str">
            <v>FD</v>
          </cell>
          <cell r="BE478" t="str">
            <v>Maj</v>
          </cell>
          <cell r="CH478" t="e">
            <v>#N/A</v>
          </cell>
          <cell r="CI478" t="e">
            <v>#N/A</v>
          </cell>
          <cell r="CJ478" t="e">
            <v>#N/A</v>
          </cell>
        </row>
        <row r="479">
          <cell r="B479" t="str">
            <v>Ligne_192.38_PPD</v>
          </cell>
          <cell r="C479" t="str">
            <v>192.38</v>
          </cell>
          <cell r="E479" t="str">
            <v>Dossiers de Définition (DD) incluant l'aptitude au soutien des sous-systèmes et des produits</v>
          </cell>
          <cell r="G479" t="str">
            <v>Dossier Electronique de Carte (DEC) - DOSSIER MATERIEL DE CARTE (DMC) - Plan d’implantation</v>
          </cell>
          <cell r="S479" t="str">
            <v>AT</v>
          </cell>
          <cell r="T479" t="str">
            <v>BT</v>
          </cell>
          <cell r="U479" t="str">
            <v>C.SION</v>
          </cell>
          <cell r="AA479" t="str">
            <v>E</v>
          </cell>
          <cell r="AB479" t="str">
            <v>Electronique</v>
          </cell>
          <cell r="AC479" t="str">
            <v>EAI</v>
          </cell>
          <cell r="AD479" t="str">
            <v>ST ET.4-10529</v>
          </cell>
          <cell r="AE479" t="str">
            <v>Documentation relative à l’étude et la réalisation de systèmes électroniques</v>
          </cell>
          <cell r="AF479" t="str">
            <v>2.6.2.3.3</v>
          </cell>
          <cell r="AI479">
            <v>1</v>
          </cell>
          <cell r="AP479" t="str">
            <v>FP</v>
          </cell>
          <cell r="AS479" t="str">
            <v>FD</v>
          </cell>
          <cell r="BE479" t="str">
            <v>Maj</v>
          </cell>
          <cell r="CH479" t="e">
            <v>#N/A</v>
          </cell>
          <cell r="CI479" t="e">
            <v>#N/A</v>
          </cell>
          <cell r="CJ479" t="e">
            <v>#N/A</v>
          </cell>
        </row>
        <row r="480">
          <cell r="B480" t="str">
            <v>Ligne_192.39_PPD</v>
          </cell>
          <cell r="C480" t="str">
            <v>192.39</v>
          </cell>
          <cell r="E480" t="str">
            <v>Dossiers de Définition (DD) incluant l'aptitude au soutien des sous-systèmes et des produits</v>
          </cell>
          <cell r="G480" t="str">
            <v>Dossier Electronique de Carte (DEC) - DOSSIER MATERIEL DE CARTE (DMC) - Nomenclature électrique et mécanique</v>
          </cell>
          <cell r="S480" t="str">
            <v>AT</v>
          </cell>
          <cell r="T480" t="str">
            <v>BT</v>
          </cell>
          <cell r="U480" t="str">
            <v>C.SION</v>
          </cell>
          <cell r="AA480" t="str">
            <v>E</v>
          </cell>
          <cell r="AB480" t="str">
            <v>Electronique</v>
          </cell>
          <cell r="AC480" t="str">
            <v>EAI</v>
          </cell>
          <cell r="AD480" t="str">
            <v>ST ET.4-10529</v>
          </cell>
          <cell r="AE480" t="str">
            <v>Documentation relative à l’étude et la réalisation de systèmes électroniques</v>
          </cell>
          <cell r="AF480" t="str">
            <v>2.6.2.3.3</v>
          </cell>
          <cell r="AI480">
            <v>1</v>
          </cell>
          <cell r="AP480" t="str">
            <v>FP</v>
          </cell>
          <cell r="AS480" t="str">
            <v>FD</v>
          </cell>
          <cell r="BE480" t="str">
            <v>Maj</v>
          </cell>
          <cell r="CH480" t="e">
            <v>#N/A</v>
          </cell>
          <cell r="CI480" t="e">
            <v>#N/A</v>
          </cell>
          <cell r="CJ480" t="e">
            <v>#N/A</v>
          </cell>
        </row>
        <row r="481">
          <cell r="B481" t="str">
            <v>Ligne_192.40_PPD</v>
          </cell>
          <cell r="C481" t="str">
            <v>192.40</v>
          </cell>
          <cell r="E481" t="str">
            <v>Dossiers de Définition (DD) incluant l'aptitude au soutien des sous-systèmes et des produits</v>
          </cell>
          <cell r="G481" t="str">
            <v>Dossier Electronique de Carte (DEC) - DOSSIER MATERIEL DE CARTE (DMC) - Spécification de programmation de la carte</v>
          </cell>
          <cell r="S481" t="str">
            <v>AT</v>
          </cell>
          <cell r="T481" t="str">
            <v>BT</v>
          </cell>
          <cell r="U481" t="str">
            <v>C.SION</v>
          </cell>
          <cell r="AA481" t="str">
            <v>E</v>
          </cell>
          <cell r="AB481" t="str">
            <v>Electronique</v>
          </cell>
          <cell r="AC481" t="str">
            <v>EAI</v>
          </cell>
          <cell r="AD481" t="str">
            <v>ST ET.4-10529</v>
          </cell>
          <cell r="AE481" t="str">
            <v>Documentation relative à l’étude et la réalisation de systèmes électroniques</v>
          </cell>
          <cell r="AF481" t="str">
            <v>2.6.2.3.3</v>
          </cell>
          <cell r="AI481">
            <v>1</v>
          </cell>
          <cell r="AS481" t="str">
            <v>FD</v>
          </cell>
          <cell r="BE481" t="str">
            <v>Maj</v>
          </cell>
          <cell r="CH481" t="e">
            <v>#N/A</v>
          </cell>
          <cell r="CI481" t="e">
            <v>#N/A</v>
          </cell>
          <cell r="CJ481" t="e">
            <v>#N/A</v>
          </cell>
        </row>
        <row r="482">
          <cell r="B482" t="str">
            <v>Ligne_192.41_PPD</v>
          </cell>
          <cell r="C482" t="str">
            <v>192.41</v>
          </cell>
          <cell r="E482" t="str">
            <v>Dossiers de Définition (DD) incluant l'aptitude au soutien des sous-systèmes et des produits</v>
          </cell>
          <cell r="G482" t="str">
            <v>Dossier Electronique de Carte (DEC) - Dossier de Circuit Imprimé (DCI) - Spécification de fabrication du CIN</v>
          </cell>
          <cell r="S482" t="str">
            <v>AT</v>
          </cell>
          <cell r="T482" t="str">
            <v>BT</v>
          </cell>
          <cell r="U482" t="str">
            <v>C.SION</v>
          </cell>
          <cell r="AA482" t="str">
            <v>E</v>
          </cell>
          <cell r="AB482" t="str">
            <v>Electronique</v>
          </cell>
          <cell r="AC482" t="str">
            <v>EAI</v>
          </cell>
          <cell r="AD482" t="str">
            <v>ST ET.4-10529</v>
          </cell>
          <cell r="AE482" t="str">
            <v>Documentation relative à l’étude et la réalisation de systèmes électroniques</v>
          </cell>
          <cell r="AF482" t="str">
            <v>2.6.2.3.3</v>
          </cell>
          <cell r="AI482">
            <v>1</v>
          </cell>
          <cell r="AS482" t="str">
            <v>FD</v>
          </cell>
          <cell r="BE482" t="str">
            <v>Maj</v>
          </cell>
          <cell r="CH482" t="e">
            <v>#N/A</v>
          </cell>
          <cell r="CI482" t="e">
            <v>#N/A</v>
          </cell>
          <cell r="CJ482" t="e">
            <v>#N/A</v>
          </cell>
        </row>
        <row r="483">
          <cell r="B483" t="str">
            <v>Ligne_192.42_PPD</v>
          </cell>
          <cell r="C483" t="str">
            <v>192.42</v>
          </cell>
          <cell r="E483" t="str">
            <v>Dossiers de Définition (DD) incluant l'aptitude au soutien des sous-systèmes et des produits</v>
          </cell>
          <cell r="G483" t="str">
            <v>Dossier Electronique de Carte (DEC) - Dossier de Circuit Imprimé (DCI) - Liste des fichiers CAO</v>
          </cell>
          <cell r="S483" t="str">
            <v>AT</v>
          </cell>
          <cell r="T483" t="str">
            <v>BT</v>
          </cell>
          <cell r="U483" t="str">
            <v>C.SION</v>
          </cell>
          <cell r="AA483" t="str">
            <v>E</v>
          </cell>
          <cell r="AB483" t="str">
            <v>Electronique</v>
          </cell>
          <cell r="AC483" t="str">
            <v>EAI</v>
          </cell>
          <cell r="AD483" t="str">
            <v>ST ET.4-10529</v>
          </cell>
          <cell r="AE483" t="str">
            <v>Documentation relative à l’étude et la réalisation de systèmes électroniques</v>
          </cell>
          <cell r="AF483" t="str">
            <v>2.6.2.3.3</v>
          </cell>
          <cell r="AI483">
            <v>1</v>
          </cell>
          <cell r="AS483" t="str">
            <v>FD</v>
          </cell>
          <cell r="AW483" t="str">
            <v>FD</v>
          </cell>
          <cell r="BE483" t="str">
            <v>Maj</v>
          </cell>
          <cell r="CH483" t="e">
            <v>#N/A</v>
          </cell>
          <cell r="CI483" t="e">
            <v>#N/A</v>
          </cell>
          <cell r="CJ483" t="e">
            <v>#N/A</v>
          </cell>
        </row>
        <row r="484">
          <cell r="B484" t="str">
            <v>Ligne_192.43_PPD</v>
          </cell>
          <cell r="C484" t="str">
            <v>192.43</v>
          </cell>
          <cell r="E484" t="str">
            <v>Dossiers de Définition (DD) incluant l'aptitude au soutien des sous-systèmes et des produits</v>
          </cell>
          <cell r="G484" t="str">
            <v>Dossier Electronique de Carte (DEC) - Dossier de Circuit Imprimé (DCI) - Plan de perçage et dimensionnel</v>
          </cell>
          <cell r="S484" t="str">
            <v>AT</v>
          </cell>
          <cell r="T484" t="str">
            <v>BT</v>
          </cell>
          <cell r="U484" t="str">
            <v>C.SION</v>
          </cell>
          <cell r="AA484" t="str">
            <v>E</v>
          </cell>
          <cell r="AB484" t="str">
            <v>Electronique</v>
          </cell>
          <cell r="AC484" t="str">
            <v>EAI</v>
          </cell>
          <cell r="AD484" t="str">
            <v>ST ET.4-10529</v>
          </cell>
          <cell r="AE484" t="str">
            <v>Documentation relative à l’étude et la réalisation de systèmes électroniques</v>
          </cell>
          <cell r="AF484" t="str">
            <v>2.6.2.3.3</v>
          </cell>
          <cell r="AI484">
            <v>1</v>
          </cell>
          <cell r="AS484" t="str">
            <v>FD</v>
          </cell>
          <cell r="BE484" t="str">
            <v>Maj</v>
          </cell>
          <cell r="CH484" t="e">
            <v>#N/A</v>
          </cell>
          <cell r="CI484" t="e">
            <v>#N/A</v>
          </cell>
          <cell r="CJ484" t="e">
            <v>#N/A</v>
          </cell>
        </row>
        <row r="485">
          <cell r="B485" t="str">
            <v>Ligne_192.44_PPD</v>
          </cell>
          <cell r="C485" t="str">
            <v>192.44</v>
          </cell>
          <cell r="E485" t="str">
            <v>Dossiers de Définition (DD) incluant l'aptitude au soutien des sous-systèmes et des produits</v>
          </cell>
          <cell r="G485" t="str">
            <v>Dossier Electronique de Carte (DEC) - Dossier de Circuit Imprimé (DCI) - Spécification de vernissage</v>
          </cell>
          <cell r="S485" t="str">
            <v>AT</v>
          </cell>
          <cell r="T485" t="str">
            <v>BT</v>
          </cell>
          <cell r="U485" t="str">
            <v>C.SION</v>
          </cell>
          <cell r="AA485" t="str">
            <v>E</v>
          </cell>
          <cell r="AB485" t="str">
            <v>Electronique</v>
          </cell>
          <cell r="AC485" t="str">
            <v>EAI</v>
          </cell>
          <cell r="AD485" t="str">
            <v>ST ET.4-10529</v>
          </cell>
          <cell r="AE485" t="str">
            <v>Documentation relative à l’étude et la réalisation de systèmes électroniques</v>
          </cell>
          <cell r="AF485" t="str">
            <v>2.6.2.3.3</v>
          </cell>
          <cell r="AI485">
            <v>1</v>
          </cell>
          <cell r="AS485" t="str">
            <v>FD</v>
          </cell>
          <cell r="BE485" t="str">
            <v>Maj</v>
          </cell>
          <cell r="CH485" t="e">
            <v>#N/A</v>
          </cell>
          <cell r="CI485" t="e">
            <v>#N/A</v>
          </cell>
          <cell r="CJ485" t="e">
            <v>#N/A</v>
          </cell>
        </row>
        <row r="486">
          <cell r="B486" t="str">
            <v>Ligne_192.45_PPD</v>
          </cell>
          <cell r="C486" t="str">
            <v>192.45</v>
          </cell>
          <cell r="E486" t="str">
            <v>Dossiers de Définition (DD) incluant l'aptitude au soutien des sous-systèmes et des produits</v>
          </cell>
          <cell r="G486" t="str">
            <v>Dossier Electronique de Carte (DEC) - Dossier de Circuit Imprimé (DCI) - Spécification de dévernissage</v>
          </cell>
          <cell r="S486" t="str">
            <v>AT</v>
          </cell>
          <cell r="T486" t="str">
            <v>BT</v>
          </cell>
          <cell r="U486" t="str">
            <v>C.SION</v>
          </cell>
          <cell r="AA486" t="str">
            <v>E</v>
          </cell>
          <cell r="AB486" t="str">
            <v>Electronique</v>
          </cell>
          <cell r="AC486" t="str">
            <v>EAI</v>
          </cell>
          <cell r="AD486" t="str">
            <v>ST ET.4-10529</v>
          </cell>
          <cell r="AE486" t="str">
            <v>Documentation relative à l’étude et la réalisation de systèmes électroniques</v>
          </cell>
          <cell r="AF486" t="str">
            <v>2.6.2.3.3</v>
          </cell>
          <cell r="AI486">
            <v>1</v>
          </cell>
          <cell r="AS486" t="str">
            <v>FD</v>
          </cell>
          <cell r="BE486" t="str">
            <v>Maj</v>
          </cell>
          <cell r="CH486" t="e">
            <v>#N/A</v>
          </cell>
          <cell r="CI486" t="e">
            <v>#N/A</v>
          </cell>
          <cell r="CJ486" t="e">
            <v>#N/A</v>
          </cell>
        </row>
        <row r="487">
          <cell r="B487" t="str">
            <v>Ligne_192.46_PPD</v>
          </cell>
          <cell r="C487" t="str">
            <v>192.46</v>
          </cell>
          <cell r="E487" t="str">
            <v>Dossiers de Définition (DD) incluant l'aptitude au soutien des sous-systèmes et des produits</v>
          </cell>
          <cell r="G487" t="str">
            <v>Dossier Electronique de Carte (DEC) - Dossier CAO - Gerbers</v>
          </cell>
          <cell r="S487" t="str">
            <v>AT</v>
          </cell>
          <cell r="T487" t="str">
            <v>BT</v>
          </cell>
          <cell r="U487" t="str">
            <v>C.SION</v>
          </cell>
          <cell r="AA487" t="str">
            <v>E</v>
          </cell>
          <cell r="AB487" t="str">
            <v>Electronique</v>
          </cell>
          <cell r="AC487" t="str">
            <v>EAI</v>
          </cell>
          <cell r="AD487" t="str">
            <v>ST ET.4-10529</v>
          </cell>
          <cell r="AE487" t="str">
            <v>Documentation relative à l’étude et la réalisation de systèmes électroniques</v>
          </cell>
          <cell r="AF487" t="str">
            <v>2.6.2.3.3</v>
          </cell>
          <cell r="AI487">
            <v>1</v>
          </cell>
          <cell r="AS487" t="str">
            <v>FD</v>
          </cell>
          <cell r="BE487" t="str">
            <v>Maj</v>
          </cell>
          <cell r="CH487" t="e">
            <v>#N/A</v>
          </cell>
          <cell r="CI487" t="e">
            <v>#N/A</v>
          </cell>
          <cell r="CJ487" t="e">
            <v>#N/A</v>
          </cell>
        </row>
        <row r="488">
          <cell r="B488" t="str">
            <v>Ligne_192.47_PPD</v>
          </cell>
          <cell r="C488" t="str">
            <v>192.47</v>
          </cell>
          <cell r="E488" t="str">
            <v>Dossiers de Définition (DD) incluant l'aptitude au soutien des sous-systèmes et des produits</v>
          </cell>
          <cell r="G488" t="str">
            <v>Dossier Electronique de Carte (DEC) - Dossier CAO - Apertures</v>
          </cell>
          <cell r="S488" t="str">
            <v>AT</v>
          </cell>
          <cell r="T488" t="str">
            <v>BT</v>
          </cell>
          <cell r="U488" t="str">
            <v>C.SION</v>
          </cell>
          <cell r="AA488" t="str">
            <v>E</v>
          </cell>
          <cell r="AB488" t="str">
            <v>Electronique</v>
          </cell>
          <cell r="AC488" t="str">
            <v>EAI</v>
          </cell>
          <cell r="AD488" t="str">
            <v>ST ET.4-10529</v>
          </cell>
          <cell r="AE488" t="str">
            <v>Documentation relative à l’étude et la réalisation de systèmes électroniques</v>
          </cell>
          <cell r="AF488" t="str">
            <v>2.6.2.3.3</v>
          </cell>
          <cell r="AI488">
            <v>1</v>
          </cell>
          <cell r="AS488" t="str">
            <v>FD</v>
          </cell>
          <cell r="BE488" t="str">
            <v>Maj</v>
          </cell>
          <cell r="CH488" t="e">
            <v>#N/A</v>
          </cell>
          <cell r="CI488" t="e">
            <v>#N/A</v>
          </cell>
          <cell r="CJ488" t="e">
            <v>#N/A</v>
          </cell>
        </row>
        <row r="489">
          <cell r="B489" t="str">
            <v>Ligne_192.48_PPD</v>
          </cell>
          <cell r="C489" t="str">
            <v>192.48</v>
          </cell>
          <cell r="E489" t="str">
            <v>Dossiers de Définition (DD) incluant l'aptitude au soutien des sous-systèmes et des produits</v>
          </cell>
          <cell r="G489" t="str">
            <v>Dossier Electronique de Carte (DEC) - Dossier CAO - Perçage</v>
          </cell>
          <cell r="S489" t="str">
            <v>AT</v>
          </cell>
          <cell r="T489" t="str">
            <v>BT</v>
          </cell>
          <cell r="U489" t="str">
            <v>C.SION</v>
          </cell>
          <cell r="AA489" t="str">
            <v>E</v>
          </cell>
          <cell r="AB489" t="str">
            <v>Electronique</v>
          </cell>
          <cell r="AC489" t="str">
            <v>EAI</v>
          </cell>
          <cell r="AD489" t="str">
            <v>ST ET.4-10529</v>
          </cell>
          <cell r="AE489" t="str">
            <v>Documentation relative à l’étude et la réalisation de systèmes électroniques</v>
          </cell>
          <cell r="AF489" t="str">
            <v>2.6.2.3.3</v>
          </cell>
          <cell r="AI489">
            <v>1</v>
          </cell>
          <cell r="AS489" t="str">
            <v>FD</v>
          </cell>
          <cell r="BE489" t="str">
            <v>Maj</v>
          </cell>
          <cell r="CH489" t="e">
            <v>#N/A</v>
          </cell>
          <cell r="CI489" t="e">
            <v>#N/A</v>
          </cell>
          <cell r="CJ489" t="e">
            <v>#N/A</v>
          </cell>
        </row>
        <row r="490">
          <cell r="B490" t="str">
            <v>Ligne_192.49_PPD</v>
          </cell>
          <cell r="C490" t="str">
            <v>192.49</v>
          </cell>
          <cell r="E490" t="str">
            <v>Dossiers de Définition (DD) incluant l'aptitude au soutien des sous-systèmes et des produits</v>
          </cell>
          <cell r="G490" t="str">
            <v>Dossier Electronique de Carte (DEC) - Dossier CAO - Table des forets</v>
          </cell>
          <cell r="S490" t="str">
            <v>AT</v>
          </cell>
          <cell r="T490" t="str">
            <v>BT</v>
          </cell>
          <cell r="U490" t="str">
            <v>C.SION</v>
          </cell>
          <cell r="AA490" t="str">
            <v>E</v>
          </cell>
          <cell r="AB490" t="str">
            <v>Electronique</v>
          </cell>
          <cell r="AC490" t="str">
            <v>EAI</v>
          </cell>
          <cell r="AD490" t="str">
            <v>ST ET.4-10529</v>
          </cell>
          <cell r="AE490" t="str">
            <v>Documentation relative à l’étude et la réalisation de systèmes électroniques</v>
          </cell>
          <cell r="AF490" t="str">
            <v>2.6.2.3.3</v>
          </cell>
          <cell r="AI490">
            <v>1</v>
          </cell>
          <cell r="AS490" t="str">
            <v>FD</v>
          </cell>
          <cell r="BE490" t="str">
            <v>Maj</v>
          </cell>
          <cell r="CH490" t="e">
            <v>#N/A</v>
          </cell>
          <cell r="CI490" t="e">
            <v>#N/A</v>
          </cell>
          <cell r="CJ490" t="e">
            <v>#N/A</v>
          </cell>
        </row>
        <row r="491">
          <cell r="B491" t="str">
            <v>Ligne_192.50_PPD</v>
          </cell>
          <cell r="C491" t="str">
            <v>192.50</v>
          </cell>
          <cell r="E491" t="str">
            <v>Dossiers de Définition (DD) incluant l'aptitude au soutien des sous-systèmes et des produits</v>
          </cell>
          <cell r="G491" t="str">
            <v>Dossier Electronique de Carte (DEC) - Dossier CAO - Extraction ASCII de laCAO</v>
          </cell>
          <cell r="S491" t="str">
            <v>AT</v>
          </cell>
          <cell r="T491" t="str">
            <v>BT</v>
          </cell>
          <cell r="U491" t="str">
            <v>C.SION</v>
          </cell>
          <cell r="AA491" t="str">
            <v>E</v>
          </cell>
          <cell r="AB491" t="str">
            <v>Electronique</v>
          </cell>
          <cell r="AC491" t="str">
            <v>EAI</v>
          </cell>
          <cell r="AD491" t="str">
            <v>ST ET.4-10529</v>
          </cell>
          <cell r="AE491" t="str">
            <v>Documentation relative à l’étude et la réalisation de systèmes électroniques</v>
          </cell>
          <cell r="AF491" t="str">
            <v>2.6.2.3.3</v>
          </cell>
          <cell r="AI491">
            <v>1</v>
          </cell>
          <cell r="AS491" t="str">
            <v>FD</v>
          </cell>
          <cell r="BE491" t="str">
            <v>Maj</v>
          </cell>
          <cell r="CH491" t="e">
            <v>#N/A</v>
          </cell>
          <cell r="CI491" t="e">
            <v>#N/A</v>
          </cell>
          <cell r="CJ491" t="e">
            <v>#N/A</v>
          </cell>
        </row>
        <row r="492">
          <cell r="B492" t="str">
            <v>Ligne_192.51_PPD</v>
          </cell>
          <cell r="C492" t="str">
            <v>192.51</v>
          </cell>
          <cell r="E492" t="str">
            <v>Dossiers de Définition (DD) incluant l'aptitude au soutien des sous-systèmes et des produits</v>
          </cell>
          <cell r="G492" t="str">
            <v>Dossier Electronique de Carte (DEC) - Dossier CAO - La schématique</v>
          </cell>
          <cell r="S492" t="str">
            <v>AT</v>
          </cell>
          <cell r="T492" t="str">
            <v>BT</v>
          </cell>
          <cell r="U492" t="str">
            <v>C.SION</v>
          </cell>
          <cell r="AA492" t="str">
            <v>E</v>
          </cell>
          <cell r="AB492" t="str">
            <v>Electronique</v>
          </cell>
          <cell r="AC492" t="str">
            <v>EAI</v>
          </cell>
          <cell r="AD492" t="str">
            <v>ST ET.4-10529</v>
          </cell>
          <cell r="AE492" t="str">
            <v>Documentation relative à l’étude et la réalisation de systèmes électroniques</v>
          </cell>
          <cell r="AF492" t="str">
            <v>2.6.2.3.3</v>
          </cell>
          <cell r="AI492">
            <v>1</v>
          </cell>
          <cell r="AS492" t="str">
            <v>FD</v>
          </cell>
          <cell r="BE492" t="str">
            <v>Maj</v>
          </cell>
          <cell r="CH492" t="e">
            <v>#N/A</v>
          </cell>
          <cell r="CI492" t="e">
            <v>#N/A</v>
          </cell>
          <cell r="CJ492" t="e">
            <v>#N/A</v>
          </cell>
        </row>
        <row r="493">
          <cell r="B493" t="str">
            <v>Ligne_192.52_PPD</v>
          </cell>
          <cell r="C493" t="str">
            <v>192.52</v>
          </cell>
          <cell r="E493" t="str">
            <v>Dossiers de Définition (DD) incluant l'aptitude au soutien des sous-systèmes et des produits</v>
          </cell>
          <cell r="G493" t="str">
            <v>Dossier Electronique de Carte (DEC) - Dossier CAO - Le plan d’implantation</v>
          </cell>
          <cell r="S493" t="str">
            <v>AT</v>
          </cell>
          <cell r="T493" t="str">
            <v>BT</v>
          </cell>
          <cell r="U493" t="str">
            <v>C.SION</v>
          </cell>
          <cell r="AA493" t="str">
            <v>E</v>
          </cell>
          <cell r="AB493" t="str">
            <v>Electronique</v>
          </cell>
          <cell r="AC493" t="str">
            <v>EAI</v>
          </cell>
          <cell r="AD493" t="str">
            <v>ST ET.4-10529</v>
          </cell>
          <cell r="AE493" t="str">
            <v>Documentation relative à l’étude et la réalisation de systèmes électroniques</v>
          </cell>
          <cell r="AF493" t="str">
            <v>2.6.2.3.3</v>
          </cell>
          <cell r="AI493">
            <v>1</v>
          </cell>
          <cell r="AS493" t="str">
            <v>FD</v>
          </cell>
          <cell r="BE493" t="str">
            <v>Maj</v>
          </cell>
          <cell r="CH493" t="e">
            <v>#N/A</v>
          </cell>
          <cell r="CI493" t="e">
            <v>#N/A</v>
          </cell>
          <cell r="CJ493" t="e">
            <v>#N/A</v>
          </cell>
        </row>
        <row r="494">
          <cell r="B494" t="str">
            <v>Ligne_192.53_PPD</v>
          </cell>
          <cell r="C494" t="str">
            <v>192.53</v>
          </cell>
          <cell r="E494" t="str">
            <v>Dossiers de Définition (DD) incluant l'aptitude au soutien des sous-systèmes et des produits</v>
          </cell>
          <cell r="G494" t="str">
            <v>Dossier Electronique de Carte (DEC) - Dossier CAO - La nomenclature</v>
          </cell>
          <cell r="S494" t="str">
            <v>AT</v>
          </cell>
          <cell r="T494" t="str">
            <v>BT</v>
          </cell>
          <cell r="U494" t="str">
            <v>C.SION</v>
          </cell>
          <cell r="AA494" t="str">
            <v>E</v>
          </cell>
          <cell r="AB494" t="str">
            <v>Electronique</v>
          </cell>
          <cell r="AC494" t="str">
            <v>EAI</v>
          </cell>
          <cell r="AD494" t="str">
            <v>ST ET.4-10529</v>
          </cell>
          <cell r="AE494" t="str">
            <v>Documentation relative à l’étude et la réalisation de systèmes électroniques</v>
          </cell>
          <cell r="AF494" t="str">
            <v>2.6.2.3.3</v>
          </cell>
          <cell r="AI494">
            <v>1</v>
          </cell>
          <cell r="AS494" t="str">
            <v>FD</v>
          </cell>
          <cell r="BE494" t="str">
            <v>Maj</v>
          </cell>
          <cell r="CH494" t="e">
            <v>#N/A</v>
          </cell>
          <cell r="CI494" t="e">
            <v>#N/A</v>
          </cell>
          <cell r="CJ494" t="e">
            <v>#N/A</v>
          </cell>
        </row>
        <row r="495">
          <cell r="B495" t="str">
            <v>Ligne_192.54_PPD</v>
          </cell>
          <cell r="C495" t="str">
            <v>192.54</v>
          </cell>
          <cell r="E495" t="str">
            <v>Dossiers de Définition (DD) incluant l'aptitude au soutien des sous-systèmes et des produits</v>
          </cell>
          <cell r="G495" t="str">
            <v>Dossier Electronique de Carte (DEC) - Dossier CAO - Fichiers de la CAO native</v>
          </cell>
          <cell r="S495" t="str">
            <v>AT</v>
          </cell>
          <cell r="T495" t="str">
            <v>BT</v>
          </cell>
          <cell r="U495" t="str">
            <v>C.SION</v>
          </cell>
          <cell r="AA495" t="str">
            <v>E</v>
          </cell>
          <cell r="AB495" t="str">
            <v>Electronique</v>
          </cell>
          <cell r="AC495" t="str">
            <v>EAI</v>
          </cell>
          <cell r="AD495" t="str">
            <v>ST ET.4-10529</v>
          </cell>
          <cell r="AE495" t="str">
            <v>Documentation relative à l’étude et la réalisation de systèmes électroniques</v>
          </cell>
          <cell r="AF495" t="str">
            <v>2.6.2.3.3</v>
          </cell>
          <cell r="AI495">
            <v>1</v>
          </cell>
          <cell r="AS495" t="str">
            <v>FD</v>
          </cell>
          <cell r="BE495" t="str">
            <v>Maj</v>
          </cell>
          <cell r="CH495" t="e">
            <v>#N/A</v>
          </cell>
          <cell r="CI495" t="e">
            <v>#N/A</v>
          </cell>
          <cell r="CJ495" t="e">
            <v>#N/A</v>
          </cell>
        </row>
        <row r="496">
          <cell r="B496" t="str">
            <v>Ligne_192.55_PPD</v>
          </cell>
          <cell r="C496" t="str">
            <v>192.55</v>
          </cell>
          <cell r="E496" t="str">
            <v>Dossiers de Définition (DD) incluant l'aptitude au soutien des sous-systèmes et des produits</v>
          </cell>
          <cell r="G496" t="str">
            <v>Dossier de Définition des Composants (DDC) - Liste regroupée des composants LRC</v>
          </cell>
          <cell r="S496" t="str">
            <v>AT</v>
          </cell>
          <cell r="T496" t="str">
            <v>BT</v>
          </cell>
          <cell r="U496" t="str">
            <v>C.SION</v>
          </cell>
          <cell r="AA496" t="str">
            <v>E</v>
          </cell>
          <cell r="AB496" t="str">
            <v>Electronique</v>
          </cell>
          <cell r="AC496" t="str">
            <v>EAI</v>
          </cell>
          <cell r="AD496" t="str">
            <v>ST ET.4-10529</v>
          </cell>
          <cell r="AE496" t="str">
            <v>Documentation relative à l’étude et la réalisation de systèmes électroniques</v>
          </cell>
          <cell r="AF496" t="str">
            <v>2.6.2.4</v>
          </cell>
          <cell r="AI496">
            <v>1</v>
          </cell>
          <cell r="AS496" t="str">
            <v>FD</v>
          </cell>
          <cell r="BE496" t="str">
            <v>Maj</v>
          </cell>
          <cell r="CH496" t="e">
            <v>#N/A</v>
          </cell>
          <cell r="CI496" t="e">
            <v>#N/A</v>
          </cell>
          <cell r="CJ496" t="e">
            <v>#N/A</v>
          </cell>
        </row>
        <row r="497">
          <cell r="B497" t="str">
            <v>Ligne_192.56_PPD</v>
          </cell>
          <cell r="C497" t="str">
            <v>192.56</v>
          </cell>
          <cell r="E497" t="str">
            <v>Dossiers de Définition (DD) incluant l'aptitude au soutien des sous-systèmes et des produits</v>
          </cell>
          <cell r="G497" t="str">
            <v>Dossier de Définition des Composants (DDC) - Recueil des Composants Particuliers RCP</v>
          </cell>
          <cell r="S497" t="str">
            <v>AT</v>
          </cell>
          <cell r="T497" t="str">
            <v>BT</v>
          </cell>
          <cell r="U497" t="str">
            <v>C.SION</v>
          </cell>
          <cell r="AA497" t="str">
            <v>E</v>
          </cell>
          <cell r="AB497" t="str">
            <v>Electronique</v>
          </cell>
          <cell r="AC497" t="str">
            <v>EAI</v>
          </cell>
          <cell r="AD497" t="str">
            <v>ST ET.4-10529</v>
          </cell>
          <cell r="AE497" t="str">
            <v>Documentation relative à l’étude et la réalisation de systèmes électroniques</v>
          </cell>
          <cell r="AF497" t="str">
            <v>2.6.2.4</v>
          </cell>
          <cell r="AI497">
            <v>1</v>
          </cell>
          <cell r="AS497" t="str">
            <v>FD</v>
          </cell>
          <cell r="BE497" t="str">
            <v>Maj</v>
          </cell>
          <cell r="CH497" t="e">
            <v>#N/A</v>
          </cell>
          <cell r="CI497" t="e">
            <v>#N/A</v>
          </cell>
          <cell r="CJ497" t="e">
            <v>#N/A</v>
          </cell>
        </row>
        <row r="498">
          <cell r="B498" t="str">
            <v>Ligne_193_PPD</v>
          </cell>
          <cell r="C498">
            <v>193</v>
          </cell>
          <cell r="E498" t="str">
            <v>Dossiers Justificatif de Définition (DJD) incluant l'aptitude au soutien des sous-systèmes et des produits</v>
          </cell>
          <cell r="G498" t="str">
            <v>à découper sur le même principe que les STB ?</v>
          </cell>
          <cell r="R498" t="str">
            <v>VPF/VBN/BT</v>
          </cell>
          <cell r="S498" t="str">
            <v>ABT</v>
          </cell>
          <cell r="T498" t="str">
            <v>BT</v>
          </cell>
          <cell r="U498" t="str">
            <v>L.DERU</v>
          </cell>
          <cell r="Z498" t="str">
            <v>RTS 174 JS2 EAI 20/07/2020</v>
          </cell>
          <cell r="AA498" t="str">
            <v>E</v>
          </cell>
          <cell r="AB498" t="str">
            <v>Electronique</v>
          </cell>
          <cell r="AC498" t="str">
            <v>EAI</v>
          </cell>
          <cell r="AD498" t="str">
            <v>ST ET.4-10529</v>
          </cell>
          <cell r="AE498" t="str">
            <v>Documentation relative à l’étude et la réalisation de systèmes électroniques</v>
          </cell>
          <cell r="AF498" t="str">
            <v>2.7</v>
          </cell>
          <cell r="AI498">
            <v>100</v>
          </cell>
          <cell r="AN498" t="str">
            <v>FP</v>
          </cell>
          <cell r="AP498" t="str">
            <v>FD</v>
          </cell>
          <cell r="BE498" t="str">
            <v>Maj</v>
          </cell>
          <cell r="CH498" t="e">
            <v>#N/A</v>
          </cell>
          <cell r="CI498" t="e">
            <v>#N/A</v>
          </cell>
          <cell r="CJ498" t="e">
            <v>#N/A</v>
          </cell>
        </row>
        <row r="499">
          <cell r="B499" t="str">
            <v>Ligne_194_PPD</v>
          </cell>
          <cell r="C499">
            <v>194</v>
          </cell>
          <cell r="E499" t="str">
            <v>Dossier de démonstration de la conformité de résistance à l’incendie du MF19 regroupant les résultats des essais ou classements de tous les matériaux non métalliques. Le dossier indique au minimum pour chaque produit : la matière, la masse unitaire, la quantité par véhicule, les exigences requises, le résultat des essais ou le classement obtenus et les références des procès-verbaux d’essai.</v>
          </cell>
          <cell r="G499" t="str">
            <v>LIVRABLE</v>
          </cell>
          <cell r="R499" t="str">
            <v>NA</v>
          </cell>
          <cell r="S499" t="str">
            <v>AT</v>
          </cell>
          <cell r="T499" t="str">
            <v>NA</v>
          </cell>
          <cell r="U499" t="str">
            <v>NA</v>
          </cell>
          <cell r="AA499" t="str">
            <v>E</v>
          </cell>
          <cell r="AB499" t="str">
            <v>Mécanique</v>
          </cell>
          <cell r="AC499" t="str">
            <v>EMC</v>
          </cell>
          <cell r="AD499" t="str">
            <v>ST EM.4-40093</v>
          </cell>
          <cell r="AE499" t="str">
            <v xml:space="preserve">Caisse Confort </v>
          </cell>
          <cell r="AF499" t="str">
            <v>3.1</v>
          </cell>
          <cell r="AI499" t="str">
            <v>LIVRABLE</v>
          </cell>
          <cell r="AL499" t="str">
            <v>FP</v>
          </cell>
          <cell r="AQ499" t="str">
            <v>FD</v>
          </cell>
          <cell r="AS499" t="str">
            <v>Maj</v>
          </cell>
          <cell r="AU499" t="str">
            <v>Maj</v>
          </cell>
          <cell r="AX499" t="str">
            <v>FD</v>
          </cell>
          <cell r="AY499" t="str">
            <v>Maj</v>
          </cell>
          <cell r="BA499" t="str">
            <v>Maj</v>
          </cell>
          <cell r="CH499" t="e">
            <v>#N/A</v>
          </cell>
          <cell r="CI499" t="e">
            <v>#N/A</v>
          </cell>
          <cell r="CJ499" t="e">
            <v>#N/A</v>
          </cell>
        </row>
        <row r="500">
          <cell r="B500" t="str">
            <v>Ligne_194.1_PPD</v>
          </cell>
          <cell r="C500" t="str">
            <v>194.1</v>
          </cell>
          <cell r="E500" t="str">
            <v>Dossier de démonstration de la conformité de résistance à l’incendie du MF19 regroupant les résultats des essais ou classements de tous les matériaux non métalliques. Le dossier indique au minimum pour chaque produit : la matière, la masse unitaire, la quantité par véhicule, les exigences requises, le résultat des essais ou le classement obtenus et les références des procès-verbaux d’essai.</v>
          </cell>
          <cell r="G500" t="str">
            <v>Dossier feu fumee global train</v>
          </cell>
          <cell r="S500" t="str">
            <v>AT</v>
          </cell>
          <cell r="T500" t="str">
            <v>BT</v>
          </cell>
          <cell r="U500" t="str">
            <v>N.DELANNOY</v>
          </cell>
          <cell r="Z500" t="str">
            <v>RTS 193 JS2 EMC 07/09/2020</v>
          </cell>
          <cell r="AA500" t="str">
            <v>E</v>
          </cell>
          <cell r="AB500" t="str">
            <v>Mécanique</v>
          </cell>
          <cell r="AC500" t="str">
            <v>EMC</v>
          </cell>
          <cell r="AD500" t="str">
            <v>ST EM.4-40093</v>
          </cell>
          <cell r="AE500" t="str">
            <v xml:space="preserve">Caisse Confort </v>
          </cell>
          <cell r="AF500" t="str">
            <v>3.1</v>
          </cell>
          <cell r="AI500">
            <v>1</v>
          </cell>
          <cell r="AN500" t="str">
            <v>FP</v>
          </cell>
          <cell r="AP500" t="str">
            <v>FP</v>
          </cell>
          <cell r="AS500" t="str">
            <v>FP</v>
          </cell>
          <cell r="AU500" t="str">
            <v>FP</v>
          </cell>
          <cell r="AW500" t="str">
            <v>FP</v>
          </cell>
          <cell r="AX500" t="str">
            <v>FD</v>
          </cell>
          <cell r="CH500" t="e">
            <v>#N/A</v>
          </cell>
          <cell r="CI500" t="e">
            <v>#N/A</v>
          </cell>
          <cell r="CJ500" t="e">
            <v>#N/A</v>
          </cell>
        </row>
        <row r="501">
          <cell r="A501" t="str">
            <v>ADD0003308488</v>
          </cell>
          <cell r="B501" t="str">
            <v>Ligne_194.2_PPD</v>
          </cell>
          <cell r="C501" t="str">
            <v>194.2</v>
          </cell>
          <cell r="E501" t="str">
            <v>Dossier de démonstration de la conformité de résistance à l’incendie du MF19 regroupant les résultats des essais ou classements de tous les matériaux non métalliques. Le dossier indique au minimum pour chaque produit : la matière, la masse unitaire, la quantité par véhicule, les exigences requises, le résultat des essais ou le classement obtenus et les références des procès-verbaux d’essai.</v>
          </cell>
          <cell r="F501" t="str">
            <v>B</v>
          </cell>
          <cell r="G501" t="str">
            <v>PLAN DE MANAGEMENT DE LA SECURITE INCENDIE</v>
          </cell>
          <cell r="M501" t="str">
            <v>SYS-13_DOSSIER_FEU_FUMEE</v>
          </cell>
          <cell r="N501" t="str">
            <v>DJD</v>
          </cell>
          <cell r="O501" t="str">
            <v>PMN_PLAN MANAGMT</v>
          </cell>
          <cell r="Q501">
            <v>0</v>
          </cell>
          <cell r="R501" t="str">
            <v>VPF</v>
          </cell>
          <cell r="S501" t="str">
            <v>AT</v>
          </cell>
          <cell r="T501" t="str">
            <v>BT</v>
          </cell>
          <cell r="U501" t="str">
            <v>N.DELANNOY</v>
          </cell>
          <cell r="V501" t="str">
            <v>ALSTOM</v>
          </cell>
          <cell r="W501" t="str">
            <v>N</v>
          </cell>
          <cell r="X501" t="str">
            <v>Document contractuel FD</v>
          </cell>
          <cell r="AA501" t="str">
            <v>E</v>
          </cell>
          <cell r="AB501" t="str">
            <v>Mécanique</v>
          </cell>
          <cell r="AC501" t="str">
            <v>EMC</v>
          </cell>
          <cell r="AD501" t="str">
            <v>ST EM.4-40093</v>
          </cell>
          <cell r="AE501" t="str">
            <v xml:space="preserve">Caisse Confort </v>
          </cell>
          <cell r="AF501" t="str">
            <v>3.1</v>
          </cell>
          <cell r="AI501">
            <v>1</v>
          </cell>
          <cell r="AL501" t="str">
            <v>FD</v>
          </cell>
          <cell r="BJ501">
            <v>43997</v>
          </cell>
          <cell r="CH501" t="str">
            <v>MF19_BORD_AT_00027</v>
          </cell>
          <cell r="CI501" t="str">
            <v>AR</v>
          </cell>
          <cell r="CJ501" t="str">
            <v>FD</v>
          </cell>
        </row>
        <row r="502">
          <cell r="B502" t="str">
            <v>Ajout</v>
          </cell>
          <cell r="C502" t="str">
            <v>194.3</v>
          </cell>
          <cell r="E502" t="str">
            <v>Dossier de démonstration de la conformité de résistance à l’incendie du MF19 regroupant les résultats des essais ou classements de tous les matériaux non métalliques. Le dossier indique au minimum pour chaque produit : la matière, la masse unitaire, la quantité par véhicule, les exigences requises, le résultat des essais ou le classement obtenus et les références des procès-verbaux d’essai.</v>
          </cell>
          <cell r="G502" t="str">
            <v>Dossier de démonstration de la capacité à circuler en cas de feu à bord</v>
          </cell>
          <cell r="S502" t="str">
            <v>AT</v>
          </cell>
          <cell r="T502" t="str">
            <v>BT</v>
          </cell>
          <cell r="U502" t="str">
            <v>N.DELANNOY</v>
          </cell>
          <cell r="AA502" t="str">
            <v>E</v>
          </cell>
          <cell r="AB502" t="str">
            <v>Mécanique</v>
          </cell>
          <cell r="AC502" t="str">
            <v>EMC</v>
          </cell>
          <cell r="AD502" t="str">
            <v>ST EM.4-40093</v>
          </cell>
          <cell r="AE502" t="str">
            <v xml:space="preserve">Caisse Confort </v>
          </cell>
          <cell r="AF502" t="str">
            <v>3.1</v>
          </cell>
          <cell r="AI502">
            <v>1</v>
          </cell>
          <cell r="AP502" t="str">
            <v>FP</v>
          </cell>
          <cell r="AS502" t="str">
            <v>FD</v>
          </cell>
          <cell r="CH502" t="e">
            <v>#N/A</v>
          </cell>
          <cell r="CI502" t="e">
            <v>#N/A</v>
          </cell>
          <cell r="CJ502" t="e">
            <v>#N/A</v>
          </cell>
        </row>
        <row r="503">
          <cell r="B503" t="str">
            <v>Ligne_194.4_PPD</v>
          </cell>
          <cell r="C503" t="str">
            <v>194.4</v>
          </cell>
          <cell r="E503" t="str">
            <v>Dossier de démonstration de la conformité de résistance à l’incendie du MF19 regroupant les résultats des essais ou classements de tous les matériaux non métalliques. Le dossier indique au minimum pour chaque produit : la matière, la masse unitaire, la quantité par véhicule, les exigences requises, le résultat des essais ou le classement obtenus et les références des procès-verbaux d’essai.</v>
          </cell>
          <cell r="G503" t="str">
            <v>Procédure d’essai du plancher coupefeu</v>
          </cell>
          <cell r="S503" t="str">
            <v>AT</v>
          </cell>
          <cell r="T503" t="str">
            <v>BT</v>
          </cell>
          <cell r="U503" t="str">
            <v>N.DELANNOY</v>
          </cell>
          <cell r="AA503" t="str">
            <v>E</v>
          </cell>
          <cell r="AB503" t="str">
            <v>Mécanique</v>
          </cell>
          <cell r="AC503" t="str">
            <v>EMC</v>
          </cell>
          <cell r="AD503" t="str">
            <v>ST EM.4-40093</v>
          </cell>
          <cell r="AE503" t="str">
            <v xml:space="preserve">Caisse Confort </v>
          </cell>
          <cell r="AF503" t="str">
            <v>3.1</v>
          </cell>
          <cell r="AI503">
            <v>1</v>
          </cell>
          <cell r="AO503" t="str">
            <v>FP</v>
          </cell>
          <cell r="AP503" t="str">
            <v>FD</v>
          </cell>
          <cell r="CH503" t="e">
            <v>#N/A</v>
          </cell>
          <cell r="CI503" t="e">
            <v>#N/A</v>
          </cell>
          <cell r="CJ503" t="e">
            <v>#N/A</v>
          </cell>
        </row>
        <row r="504">
          <cell r="B504" t="str">
            <v>Ajout</v>
          </cell>
          <cell r="C504" t="str">
            <v>194.5</v>
          </cell>
          <cell r="E504" t="str">
            <v>Dossier de démonstration de la conformité de résistance à l’incendie du MF19 regroupant les résultats des essais ou classements de tous les matériaux non métalliques. Le dossier indique au minimum pour chaque produit : la matière, la masse unitaire, la quantité par véhicule, les exigences requises, le résultat des essais ou le classement obtenus et les références des procès-verbaux d’essai.</v>
          </cell>
          <cell r="G504" t="str">
            <v>Rapport d’essai du plancher coupefeu</v>
          </cell>
          <cell r="S504" t="str">
            <v>AT</v>
          </cell>
          <cell r="T504" t="str">
            <v>BT</v>
          </cell>
          <cell r="U504" t="str">
            <v>N.DELANNOY</v>
          </cell>
          <cell r="AA504" t="str">
            <v>E</v>
          </cell>
          <cell r="AB504" t="str">
            <v>Mécanique</v>
          </cell>
          <cell r="AC504" t="str">
            <v>EMC</v>
          </cell>
          <cell r="AD504" t="str">
            <v>ST EM.4-40093</v>
          </cell>
          <cell r="AE504" t="str">
            <v xml:space="preserve">Caisse Confort </v>
          </cell>
          <cell r="AF504" t="str">
            <v>3.1</v>
          </cell>
          <cell r="AI504">
            <v>1</v>
          </cell>
          <cell r="AS504" t="str">
            <v>FD</v>
          </cell>
          <cell r="CH504" t="e">
            <v>#N/A</v>
          </cell>
          <cell r="CI504" t="e">
            <v>#N/A</v>
          </cell>
          <cell r="CJ504" t="e">
            <v>#N/A</v>
          </cell>
        </row>
        <row r="505">
          <cell r="B505" t="str">
            <v>Ligne_195_PPD</v>
          </cell>
          <cell r="C505">
            <v>195</v>
          </cell>
          <cell r="E505" t="str">
            <v>Document décrivant les procédés de ’’Transformation d’un train à 5 voitures de la version « longue » à la version « courte » et inversement’’</v>
          </cell>
          <cell r="G505" t="str">
            <v/>
          </cell>
          <cell r="R505" t="str">
            <v>BT</v>
          </cell>
          <cell r="S505" t="str">
            <v>BT</v>
          </cell>
          <cell r="T505" t="str">
            <v>AT</v>
          </cell>
          <cell r="AA505" t="str">
            <v>E</v>
          </cell>
          <cell r="AB505" t="str">
            <v>Mécanique</v>
          </cell>
          <cell r="AC505" t="str">
            <v>EMC</v>
          </cell>
          <cell r="AD505" t="str">
            <v>SF EM.4-40090</v>
          </cell>
          <cell r="AE505" t="str">
            <v xml:space="preserve">Caisse Confort </v>
          </cell>
          <cell r="AF505" t="str">
            <v>4.2.2</v>
          </cell>
          <cell r="AI505">
            <v>1</v>
          </cell>
          <cell r="AP505" t="str">
            <v>FD</v>
          </cell>
          <cell r="AS505" t="str">
            <v>Maj</v>
          </cell>
          <cell r="AX505" t="str">
            <v>Maj</v>
          </cell>
          <cell r="AY505" t="str">
            <v>Maj</v>
          </cell>
          <cell r="BA505" t="str">
            <v>Maj</v>
          </cell>
          <cell r="CH505" t="e">
            <v>#N/A</v>
          </cell>
          <cell r="CI505" t="e">
            <v>#N/A</v>
          </cell>
          <cell r="CJ505" t="e">
            <v>#N/A</v>
          </cell>
        </row>
        <row r="506">
          <cell r="B506" t="str">
            <v>Ligne_196_PPD</v>
          </cell>
          <cell r="C506">
            <v>196</v>
          </cell>
          <cell r="E506" t="str">
            <v>Caractéristiques du Matériel Roulant MF19 (4 voitures et 5 voitures, version longue, version courte, CA, CC )</v>
          </cell>
          <cell r="G506" t="str">
            <v/>
          </cell>
          <cell r="R506" t="str">
            <v>BT</v>
          </cell>
          <cell r="S506" t="str">
            <v>BT</v>
          </cell>
          <cell r="T506" t="str">
            <v>AT</v>
          </cell>
          <cell r="AA506" t="str">
            <v>E</v>
          </cell>
          <cell r="AB506" t="str">
            <v>Transversal</v>
          </cell>
          <cell r="AC506" t="str">
            <v>ETS</v>
          </cell>
          <cell r="AD506" t="str">
            <v>SF ET.4-10645</v>
          </cell>
          <cell r="AE506" t="str">
            <v>Caractéristiques du Matériel Roulant MF19 (4 voitures et 5 voitures, version longue, version courte, CA, CC )</v>
          </cell>
          <cell r="AF506" t="str">
            <v>Annexe 2</v>
          </cell>
          <cell r="AI506">
            <v>1</v>
          </cell>
          <cell r="AP506" t="str">
            <v>FP</v>
          </cell>
          <cell r="BA506" t="str">
            <v>Maj</v>
          </cell>
          <cell r="CH506" t="e">
            <v>#N/A</v>
          </cell>
          <cell r="CI506" t="e">
            <v>#N/A</v>
          </cell>
          <cell r="CJ506" t="e">
            <v>#N/A</v>
          </cell>
        </row>
        <row r="507">
          <cell r="B507" t="str">
            <v>Ligne_197_PPD</v>
          </cell>
          <cell r="C507">
            <v>197</v>
          </cell>
          <cell r="E507" t="str">
            <v>Justification de la conception de la caisse, en particulier :
- structure de caisse et supports d’équipements lourds
- fixation des équipements
- choix des classes de soudure utilisées pour les productions des structures des caisses et des équipements.
- programme de calculs et d’essais de démonstration de la conformité de la structure de caisse aux exigences de la ST 30026.</v>
          </cell>
          <cell r="G507" t="str">
            <v>renvoi vers le 17</v>
          </cell>
          <cell r="R507" t="str">
            <v>BT</v>
          </cell>
          <cell r="S507" t="str">
            <v>BT</v>
          </cell>
          <cell r="T507" t="str">
            <v>NA</v>
          </cell>
          <cell r="AA507" t="str">
            <v>E</v>
          </cell>
          <cell r="AB507" t="str">
            <v>Mécanique</v>
          </cell>
          <cell r="AC507" t="str">
            <v>EMC</v>
          </cell>
          <cell r="AD507" t="str">
            <v>ST EM.4-40093</v>
          </cell>
          <cell r="AE507" t="str">
            <v xml:space="preserve">Caisse Confort </v>
          </cell>
          <cell r="AF507">
            <v>4</v>
          </cell>
          <cell r="AI507">
            <v>20</v>
          </cell>
          <cell r="AP507" t="str">
            <v>Maj</v>
          </cell>
          <cell r="CH507" t="e">
            <v>#N/A</v>
          </cell>
          <cell r="CI507" t="e">
            <v>#N/A</v>
          </cell>
          <cell r="CJ507" t="e">
            <v>#N/A</v>
          </cell>
        </row>
        <row r="508">
          <cell r="B508" t="str">
            <v>Ligne_198_PPD</v>
          </cell>
          <cell r="C508">
            <v>198</v>
          </cell>
          <cell r="E508" t="str">
            <v>Documentation des produits mécanique (DD?)</v>
          </cell>
          <cell r="G508" t="str">
            <v>LIVRABLE</v>
          </cell>
          <cell r="R508" t="str">
            <v>NA</v>
          </cell>
          <cell r="S508" t="str">
            <v>ABT</v>
          </cell>
          <cell r="T508" t="str">
            <v>NA</v>
          </cell>
          <cell r="U508" t="str">
            <v>NA</v>
          </cell>
          <cell r="AA508" t="str">
            <v>E</v>
          </cell>
          <cell r="AB508" t="str">
            <v>Mécanique</v>
          </cell>
          <cell r="AC508" t="str">
            <v>EMR/EMC</v>
          </cell>
          <cell r="AD508" t="str">
            <v>ST ET.4-10546</v>
          </cell>
          <cell r="AE508" t="str">
            <v>Documentation relative à l’étude et à la réalisation de systèmes mécaniques, électrotechniques, pneumatiques et hydrauliques</v>
          </cell>
          <cell r="AF508" t="str">
            <v>3.1.1</v>
          </cell>
          <cell r="AI508" t="str">
            <v>LIVRABLE</v>
          </cell>
          <cell r="AP508" t="str">
            <v>FD</v>
          </cell>
          <cell r="CH508" t="e">
            <v>#N/A</v>
          </cell>
          <cell r="CI508" t="e">
            <v>#N/A</v>
          </cell>
          <cell r="CJ508" t="e">
            <v>#N/A</v>
          </cell>
        </row>
        <row r="509">
          <cell r="B509" t="str">
            <v>Ligne_198.1_PPD</v>
          </cell>
          <cell r="C509" t="str">
            <v>198.1</v>
          </cell>
          <cell r="E509" t="str">
            <v>Documentation des produits mécanique (DD/DJD?)</v>
          </cell>
          <cell r="G509" t="str">
            <v>Plans de montage</v>
          </cell>
          <cell r="R509" t="str">
            <v>NA</v>
          </cell>
          <cell r="S509" t="str">
            <v>ABT</v>
          </cell>
          <cell r="T509" t="str">
            <v>NA</v>
          </cell>
          <cell r="Z509" t="str">
            <v>RTS 188 JS2 EMR 03/09/2020
RTS 193 JS2 EMC 07/09/2020</v>
          </cell>
          <cell r="AA509" t="str">
            <v>E</v>
          </cell>
          <cell r="AB509" t="str">
            <v>Mécanique</v>
          </cell>
          <cell r="AC509" t="str">
            <v>EMR/EMC</v>
          </cell>
          <cell r="AD509" t="str">
            <v>ST ET.4-10546</v>
          </cell>
          <cell r="AE509" t="str">
            <v>Documentation relative à l’étude et à la réalisation de systèmes mécaniques, électrotechniques, pneumatiques et hydrauliques</v>
          </cell>
          <cell r="AF509" t="str">
            <v>3.1.1.1</v>
          </cell>
          <cell r="AI509" t="str">
            <v>LIVRABLE</v>
          </cell>
          <cell r="AN509" t="str">
            <v>PI</v>
          </cell>
          <cell r="AP509" t="str">
            <v>FD</v>
          </cell>
          <cell r="CH509" t="e">
            <v>#N/A</v>
          </cell>
          <cell r="CI509" t="e">
            <v>#N/A</v>
          </cell>
          <cell r="CJ509" t="e">
            <v>#N/A</v>
          </cell>
        </row>
        <row r="510">
          <cell r="B510" t="str">
            <v>Ligne_198.1.1_PPD</v>
          </cell>
          <cell r="C510" t="str">
            <v>198.1.1</v>
          </cell>
          <cell r="E510" t="str">
            <v>Documentation des produits mécanique (DD/DJD?)</v>
          </cell>
          <cell r="G510" t="str">
            <v>Plans de montage _ Scope EMR-Bogie</v>
          </cell>
          <cell r="R510" t="str">
            <v>NA</v>
          </cell>
          <cell r="S510" t="str">
            <v>BT</v>
          </cell>
          <cell r="T510" t="str">
            <v>NA</v>
          </cell>
          <cell r="Z510" t="str">
            <v>RTS 188 JS2 EMR 03/09/2020</v>
          </cell>
          <cell r="AA510" t="str">
            <v>E</v>
          </cell>
          <cell r="AB510" t="str">
            <v>Mécanique</v>
          </cell>
          <cell r="AC510" t="str">
            <v>EMR</v>
          </cell>
          <cell r="AD510" t="str">
            <v>ST ET.4-10546</v>
          </cell>
          <cell r="AE510" t="str">
            <v>Documentation relative à l’étude et à la réalisation de systèmes mécaniques, électrotechniques, pneumatiques et hydrauliques</v>
          </cell>
          <cell r="AF510" t="str">
            <v>3.1.1.1</v>
          </cell>
          <cell r="AI510" t="str">
            <v>LIVRABLE</v>
          </cell>
          <cell r="AN510" t="str">
            <v>PI</v>
          </cell>
          <cell r="AP510" t="str">
            <v>FD</v>
          </cell>
          <cell r="CH510" t="e">
            <v>#N/A</v>
          </cell>
          <cell r="CI510" t="e">
            <v>#N/A</v>
          </cell>
          <cell r="CJ510" t="e">
            <v>#N/A</v>
          </cell>
        </row>
        <row r="511">
          <cell r="B511" t="str">
            <v>Ligne_198.1.1.1_PPD</v>
          </cell>
          <cell r="C511" t="str">
            <v>198.1.1.1</v>
          </cell>
          <cell r="E511" t="str">
            <v>Documentation des produits mécanique (DD/DJD?)</v>
          </cell>
          <cell r="G511" t="str">
            <v>Plan de montage de la suspension primaire (porteur/moteur)</v>
          </cell>
          <cell r="R511" t="str">
            <v>BT</v>
          </cell>
          <cell r="S511" t="str">
            <v>BT</v>
          </cell>
          <cell r="T511" t="str">
            <v>NA</v>
          </cell>
          <cell r="V511" t="str">
            <v>BOMBARDIER</v>
          </cell>
          <cell r="Z511" t="str">
            <v>RTS 188 JS2 EMR 03/09/2020</v>
          </cell>
          <cell r="AA511" t="str">
            <v>E</v>
          </cell>
          <cell r="AB511" t="str">
            <v>Mécanique</v>
          </cell>
          <cell r="AC511" t="str">
            <v>EMR</v>
          </cell>
          <cell r="AD511" t="str">
            <v>ST ET.4-10546</v>
          </cell>
          <cell r="AE511" t="str">
            <v>Documentation relative à l’étude et à la réalisation de systèmes mécaniques, électrotechniques, pneumatiques et hydrauliques</v>
          </cell>
          <cell r="AF511" t="str">
            <v>3.1.1.1</v>
          </cell>
          <cell r="AI511">
            <v>1</v>
          </cell>
          <cell r="AP511" t="str">
            <v>FD</v>
          </cell>
          <cell r="CH511" t="e">
            <v>#N/A</v>
          </cell>
          <cell r="CI511" t="e">
            <v>#N/A</v>
          </cell>
          <cell r="CJ511" t="e">
            <v>#N/A</v>
          </cell>
        </row>
        <row r="512">
          <cell r="B512" t="str">
            <v>Ligne_198.1.1.2_PPD</v>
          </cell>
          <cell r="C512" t="str">
            <v>198.1.1.2</v>
          </cell>
          <cell r="E512" t="str">
            <v>Documentation des produits mécanique (DD/DJD?)</v>
          </cell>
          <cell r="G512" t="str">
            <v xml:space="preserve">Plan de montage de la couronne d'orientation </v>
          </cell>
          <cell r="R512" t="str">
            <v>BT</v>
          </cell>
          <cell r="S512" t="str">
            <v>BT</v>
          </cell>
          <cell r="T512" t="str">
            <v>NA</v>
          </cell>
          <cell r="V512" t="str">
            <v>BOMBARDIER</v>
          </cell>
          <cell r="Z512" t="str">
            <v>RTS 188 JS2 EMR 03/09/2020</v>
          </cell>
          <cell r="AA512" t="str">
            <v>E</v>
          </cell>
          <cell r="AB512" t="str">
            <v>Mécanique</v>
          </cell>
          <cell r="AC512" t="str">
            <v>EMR</v>
          </cell>
          <cell r="AD512" t="str">
            <v>ST ET.4-10546</v>
          </cell>
          <cell r="AE512" t="str">
            <v>Documentation relative à l’étude et à la réalisation de systèmes mécaniques, électrotechniques, pneumatiques et hydrauliques</v>
          </cell>
          <cell r="AF512" t="str">
            <v>3.1.1.1</v>
          </cell>
          <cell r="AI512">
            <v>1</v>
          </cell>
          <cell r="AP512" t="str">
            <v>FD</v>
          </cell>
          <cell r="CH512" t="e">
            <v>#N/A</v>
          </cell>
          <cell r="CI512" t="e">
            <v>#N/A</v>
          </cell>
          <cell r="CJ512" t="e">
            <v>#N/A</v>
          </cell>
        </row>
        <row r="513">
          <cell r="B513" t="str">
            <v>Ligne_198.1.1.3_PPD</v>
          </cell>
          <cell r="C513" t="str">
            <v>198.1.1.3</v>
          </cell>
          <cell r="E513" t="str">
            <v>Documentation des produits mécanique (DD/DJD?)</v>
          </cell>
          <cell r="G513" t="str">
            <v>Plan de montage de châssis (porteur/moteur)</v>
          </cell>
          <cell r="R513" t="str">
            <v>BT</v>
          </cell>
          <cell r="S513" t="str">
            <v>BT</v>
          </cell>
          <cell r="T513" t="str">
            <v>NA</v>
          </cell>
          <cell r="V513" t="str">
            <v>BOMBARDIER</v>
          </cell>
          <cell r="Z513" t="str">
            <v>RTS 188 JS2 EMR 03/09/2020</v>
          </cell>
          <cell r="AA513" t="str">
            <v>E</v>
          </cell>
          <cell r="AB513" t="str">
            <v>Mécanique</v>
          </cell>
          <cell r="AC513" t="str">
            <v>EMR</v>
          </cell>
          <cell r="AD513" t="str">
            <v>ST ET.4-10546</v>
          </cell>
          <cell r="AE513" t="str">
            <v>Documentation relative à l’étude et à la réalisation de systèmes mécaniques, électrotechniques, pneumatiques et hydrauliques</v>
          </cell>
          <cell r="AF513" t="str">
            <v>3.1.1.1</v>
          </cell>
          <cell r="AI513">
            <v>1</v>
          </cell>
          <cell r="AP513" t="str">
            <v>FD</v>
          </cell>
          <cell r="CH513" t="e">
            <v>#N/A</v>
          </cell>
          <cell r="CI513" t="e">
            <v>#N/A</v>
          </cell>
          <cell r="CJ513" t="e">
            <v>#N/A</v>
          </cell>
        </row>
        <row r="514">
          <cell r="B514" t="str">
            <v>Ligne_198.1.1.4_PPD</v>
          </cell>
          <cell r="C514" t="str">
            <v>198.1.1.4</v>
          </cell>
          <cell r="E514" t="str">
            <v>Documentation des produits mécanique (DD/DJD?)</v>
          </cell>
          <cell r="G514" t="str">
            <v>Plan de montage de la suspension secondaire (porteur/moteur)</v>
          </cell>
          <cell r="R514" t="str">
            <v>BT</v>
          </cell>
          <cell r="S514" t="str">
            <v>BT</v>
          </cell>
          <cell r="T514" t="str">
            <v>NA</v>
          </cell>
          <cell r="V514" t="str">
            <v>BOMBARDIER</v>
          </cell>
          <cell r="Z514" t="str">
            <v>RTS 188 JS2 EMR 03/09/2020</v>
          </cell>
          <cell r="AA514" t="str">
            <v>E</v>
          </cell>
          <cell r="AB514" t="str">
            <v>Mécanique</v>
          </cell>
          <cell r="AC514" t="str">
            <v>EMR</v>
          </cell>
          <cell r="AD514" t="str">
            <v>ST ET.4-10546</v>
          </cell>
          <cell r="AE514" t="str">
            <v>Documentation relative à l’étude et à la réalisation de systèmes mécaniques, électrotechniques, pneumatiques et hydrauliques</v>
          </cell>
          <cell r="AF514" t="str">
            <v>3.1.1.1</v>
          </cell>
          <cell r="AI514">
            <v>1</v>
          </cell>
          <cell r="AP514" t="str">
            <v>FD</v>
          </cell>
          <cell r="CH514" t="e">
            <v>#N/A</v>
          </cell>
          <cell r="CI514" t="e">
            <v>#N/A</v>
          </cell>
          <cell r="CJ514" t="e">
            <v>#N/A</v>
          </cell>
        </row>
        <row r="515">
          <cell r="B515" t="str">
            <v>Ligne_198.1.1.5_PPD</v>
          </cell>
          <cell r="C515" t="str">
            <v>198.1.1.5</v>
          </cell>
          <cell r="E515" t="str">
            <v>Documentation des produits mécanique (DD/DJD?)</v>
          </cell>
          <cell r="G515" t="str">
            <v>Plan de montage de la traverse de charge bogie équipée moteur</v>
          </cell>
          <cell r="R515" t="str">
            <v>BT</v>
          </cell>
          <cell r="S515" t="str">
            <v>BT</v>
          </cell>
          <cell r="T515" t="str">
            <v>NA</v>
          </cell>
          <cell r="V515" t="str">
            <v>BOMBARDIER</v>
          </cell>
          <cell r="Z515" t="str">
            <v>RTS 188 JS2 EMR 03/09/2020</v>
          </cell>
          <cell r="AA515" t="str">
            <v>E</v>
          </cell>
          <cell r="AB515" t="str">
            <v>Mécanique</v>
          </cell>
          <cell r="AC515" t="str">
            <v>EMR</v>
          </cell>
          <cell r="AD515" t="str">
            <v>ST ET.4-10546</v>
          </cell>
          <cell r="AE515" t="str">
            <v>Documentation relative à l’étude et à la réalisation de systèmes mécaniques, électrotechniques, pneumatiques et hydrauliques</v>
          </cell>
          <cell r="AF515" t="str">
            <v>3.1.1.1</v>
          </cell>
          <cell r="AI515">
            <v>1</v>
          </cell>
          <cell r="AP515" t="str">
            <v>FD</v>
          </cell>
          <cell r="CH515" t="e">
            <v>#N/A</v>
          </cell>
          <cell r="CI515" t="e">
            <v>#N/A</v>
          </cell>
          <cell r="CJ515" t="e">
            <v>#N/A</v>
          </cell>
        </row>
        <row r="516">
          <cell r="B516" t="str">
            <v>Ligne_198.1.1.6_PPD</v>
          </cell>
          <cell r="C516" t="str">
            <v>198.1.1.6</v>
          </cell>
          <cell r="E516" t="str">
            <v>Documentation des produits mécanique (DD/DJD?)</v>
          </cell>
          <cell r="G516" t="str">
            <v>Plan de montage de la traverse de charge bogie équipée porteur</v>
          </cell>
          <cell r="R516" t="str">
            <v>BT</v>
          </cell>
          <cell r="S516" t="str">
            <v>BT</v>
          </cell>
          <cell r="T516" t="str">
            <v>NA</v>
          </cell>
          <cell r="V516" t="str">
            <v>BOMBARDIER</v>
          </cell>
          <cell r="Z516" t="str">
            <v>RTS 188 JS2 EMR 03/09/2020</v>
          </cell>
          <cell r="AA516" t="str">
            <v>E</v>
          </cell>
          <cell r="AB516" t="str">
            <v>Mécanique</v>
          </cell>
          <cell r="AC516" t="str">
            <v>EMR</v>
          </cell>
          <cell r="AD516" t="str">
            <v>ST ET.4-10546</v>
          </cell>
          <cell r="AE516" t="str">
            <v>Documentation relative à l’étude et à la réalisation de systèmes mécaniques, électrotechniques, pneumatiques et hydrauliques</v>
          </cell>
          <cell r="AF516" t="str">
            <v>3.1.1.1</v>
          </cell>
          <cell r="AI516">
            <v>1</v>
          </cell>
          <cell r="AP516" t="str">
            <v>FD</v>
          </cell>
          <cell r="CH516" t="e">
            <v>#N/A</v>
          </cell>
          <cell r="CI516" t="e">
            <v>#N/A</v>
          </cell>
          <cell r="CJ516" t="e">
            <v>#N/A</v>
          </cell>
        </row>
        <row r="517">
          <cell r="B517" t="str">
            <v>Ligne_198.1.1.7_PPD</v>
          </cell>
          <cell r="C517" t="str">
            <v>198.1.1.7</v>
          </cell>
          <cell r="E517" t="str">
            <v>Documentation des produits mécanique (DD/DJD?)</v>
          </cell>
          <cell r="G517" t="str">
            <v>Plan de montage du système de relevage</v>
          </cell>
          <cell r="R517" t="str">
            <v>BT</v>
          </cell>
          <cell r="S517" t="str">
            <v>BT</v>
          </cell>
          <cell r="T517" t="str">
            <v>NA</v>
          </cell>
          <cell r="V517" t="str">
            <v>BOMBARDIER</v>
          </cell>
          <cell r="Z517" t="str">
            <v>RTS 188 JS2 EMR 03/09/2020</v>
          </cell>
          <cell r="AA517" t="str">
            <v>E</v>
          </cell>
          <cell r="AB517" t="str">
            <v>Mécanique</v>
          </cell>
          <cell r="AC517" t="str">
            <v>EMR</v>
          </cell>
          <cell r="AD517" t="str">
            <v>ST ET.4-10546</v>
          </cell>
          <cell r="AE517" t="str">
            <v>Documentation relative à l’étude et à la réalisation de systèmes mécaniques, électrotechniques, pneumatiques et hydrauliques</v>
          </cell>
          <cell r="AF517" t="str">
            <v>3.1.1.1</v>
          </cell>
          <cell r="AI517">
            <v>1</v>
          </cell>
          <cell r="AP517" t="str">
            <v>FD</v>
          </cell>
          <cell r="CH517" t="e">
            <v>#N/A</v>
          </cell>
          <cell r="CI517" t="e">
            <v>#N/A</v>
          </cell>
          <cell r="CJ517" t="e">
            <v>#N/A</v>
          </cell>
        </row>
        <row r="518">
          <cell r="B518" t="str">
            <v>Ligne_198.1.1.8_PPD</v>
          </cell>
          <cell r="C518" t="str">
            <v>198.1.1.8</v>
          </cell>
          <cell r="E518" t="str">
            <v>Documentation des produits mécanique (DD/DJD?)</v>
          </cell>
          <cell r="G518" t="str">
            <v xml:space="preserve">Plan de montage de sablières </v>
          </cell>
          <cell r="R518" t="str">
            <v>BT</v>
          </cell>
          <cell r="S518" t="str">
            <v>BT</v>
          </cell>
          <cell r="T518" t="str">
            <v>NA</v>
          </cell>
          <cell r="V518" t="str">
            <v>BOMBARDIER</v>
          </cell>
          <cell r="Z518" t="str">
            <v>RTS 188 JS2 EMR 03/09/2020</v>
          </cell>
          <cell r="AA518" t="str">
            <v>E</v>
          </cell>
          <cell r="AB518" t="str">
            <v>Mécanique</v>
          </cell>
          <cell r="AC518" t="str">
            <v>EMR</v>
          </cell>
          <cell r="AD518" t="str">
            <v>ST ET.4-10546</v>
          </cell>
          <cell r="AE518" t="str">
            <v>Documentation relative à l’étude et à la réalisation de systèmes mécaniques, électrotechniques, pneumatiques et hydrauliques</v>
          </cell>
          <cell r="AF518" t="str">
            <v>3.1.1.1</v>
          </cell>
          <cell r="AI518">
            <v>1</v>
          </cell>
          <cell r="AP518" t="str">
            <v>FD</v>
          </cell>
          <cell r="CH518" t="e">
            <v>#N/A</v>
          </cell>
          <cell r="CI518" t="e">
            <v>#N/A</v>
          </cell>
          <cell r="CJ518" t="e">
            <v>#N/A</v>
          </cell>
        </row>
        <row r="519">
          <cell r="B519" t="str">
            <v>Ligne_198.1.1.9_PPD</v>
          </cell>
          <cell r="C519" t="str">
            <v>198.1.1.9</v>
          </cell>
          <cell r="E519" t="str">
            <v>Documentation des produits mécanique (DD/DJD?)</v>
          </cell>
          <cell r="G519" t="str">
            <v>Plan de montage bielle d'entrainement</v>
          </cell>
          <cell r="R519" t="str">
            <v>BT</v>
          </cell>
          <cell r="S519" t="str">
            <v>BT</v>
          </cell>
          <cell r="T519" t="str">
            <v>NA</v>
          </cell>
          <cell r="V519" t="str">
            <v>BOMBARDIER</v>
          </cell>
          <cell r="Z519" t="str">
            <v>RTS 188 JS2 EMR 03/09/2020</v>
          </cell>
          <cell r="AA519" t="str">
            <v>E</v>
          </cell>
          <cell r="AB519" t="str">
            <v>Mécanique</v>
          </cell>
          <cell r="AC519" t="str">
            <v>EMR</v>
          </cell>
          <cell r="AD519" t="str">
            <v>ST ET.4-10546</v>
          </cell>
          <cell r="AE519" t="str">
            <v>Documentation relative à l’étude et à la réalisation de systèmes mécaniques, électrotechniques, pneumatiques et hydrauliques</v>
          </cell>
          <cell r="AF519" t="str">
            <v>3.1.1.1</v>
          </cell>
          <cell r="AI519">
            <v>1</v>
          </cell>
          <cell r="AP519" t="str">
            <v>FD</v>
          </cell>
          <cell r="CH519" t="e">
            <v>#N/A</v>
          </cell>
          <cell r="CI519" t="e">
            <v>#N/A</v>
          </cell>
          <cell r="CJ519" t="e">
            <v>#N/A</v>
          </cell>
        </row>
        <row r="520">
          <cell r="B520" t="str">
            <v>Ligne_198.1.1.10_PPD</v>
          </cell>
          <cell r="C520" t="str">
            <v>198.1.1.10</v>
          </cell>
          <cell r="E520" t="str">
            <v>Documentation des produits mécanique (DD/DJD?)</v>
          </cell>
          <cell r="G520" t="str">
            <v xml:space="preserve">Plan de montage des freins </v>
          </cell>
          <cell r="R520" t="str">
            <v>BT</v>
          </cell>
          <cell r="S520" t="str">
            <v>BT</v>
          </cell>
          <cell r="T520" t="str">
            <v>NA</v>
          </cell>
          <cell r="V520" t="str">
            <v>BOMBARDIER</v>
          </cell>
          <cell r="Z520" t="str">
            <v>RTS 188 JS2 EMR 03/09/2020</v>
          </cell>
          <cell r="AA520" t="str">
            <v>E</v>
          </cell>
          <cell r="AB520" t="str">
            <v>Mécanique</v>
          </cell>
          <cell r="AC520" t="str">
            <v>EMR</v>
          </cell>
          <cell r="AD520" t="str">
            <v>ST ET.4-10546</v>
          </cell>
          <cell r="AE520" t="str">
            <v>Documentation relative à l’étude et à la réalisation de systèmes mécaniques, électrotechniques, pneumatiques et hydrauliques</v>
          </cell>
          <cell r="AF520" t="str">
            <v>3.1.1.1</v>
          </cell>
          <cell r="AI520">
            <v>1</v>
          </cell>
          <cell r="AP520" t="str">
            <v>FD</v>
          </cell>
          <cell r="CH520" t="e">
            <v>#N/A</v>
          </cell>
          <cell r="CI520" t="e">
            <v>#N/A</v>
          </cell>
          <cell r="CJ520" t="e">
            <v>#N/A</v>
          </cell>
        </row>
        <row r="521">
          <cell r="B521" t="str">
            <v>Ligne_198.1.1.11_PPD</v>
          </cell>
          <cell r="C521" t="str">
            <v>198.1.1.11</v>
          </cell>
          <cell r="E521" t="str">
            <v>Documentation des produits mécanique (DD/DJD?)</v>
          </cell>
          <cell r="G521" t="str">
            <v>Plan de montage des moteurs</v>
          </cell>
          <cell r="R521" t="str">
            <v>BT</v>
          </cell>
          <cell r="S521" t="str">
            <v>BT</v>
          </cell>
          <cell r="T521" t="str">
            <v>NA</v>
          </cell>
          <cell r="V521" t="str">
            <v>BOMBARDIER</v>
          </cell>
          <cell r="Z521" t="str">
            <v>RTS 188 JS2 EMR 03/09/2020</v>
          </cell>
          <cell r="AA521" t="str">
            <v>E</v>
          </cell>
          <cell r="AB521" t="str">
            <v>Mécanique</v>
          </cell>
          <cell r="AC521" t="str">
            <v>EMR</v>
          </cell>
          <cell r="AD521" t="str">
            <v>ST ET.4-10546</v>
          </cell>
          <cell r="AE521" t="str">
            <v>Documentation relative à l’étude et à la réalisation de systèmes mécaniques, électrotechniques, pneumatiques et hydrauliques</v>
          </cell>
          <cell r="AF521" t="str">
            <v>3.1.1.1</v>
          </cell>
          <cell r="AI521">
            <v>1</v>
          </cell>
          <cell r="AP521" t="str">
            <v>FD</v>
          </cell>
          <cell r="CH521" t="e">
            <v>#N/A</v>
          </cell>
          <cell r="CI521" t="e">
            <v>#N/A</v>
          </cell>
          <cell r="CJ521" t="e">
            <v>#N/A</v>
          </cell>
        </row>
        <row r="522">
          <cell r="B522" t="str">
            <v>Ligne_198.1.1.12_PPD</v>
          </cell>
          <cell r="C522" t="str">
            <v>198.1.1.12</v>
          </cell>
          <cell r="E522" t="str">
            <v>Documentation des produits mécanique (DD/DJD?)</v>
          </cell>
          <cell r="G522" t="str">
            <v>Plan de montage de générateur d'impulsion IS</v>
          </cell>
          <cell r="R522" t="str">
            <v>BT</v>
          </cell>
          <cell r="S522" t="str">
            <v>BT</v>
          </cell>
          <cell r="T522" t="str">
            <v>NA</v>
          </cell>
          <cell r="V522" t="str">
            <v>BOMBARDIER</v>
          </cell>
          <cell r="Z522" t="str">
            <v>RTS 188 JS2 EMR 03/09/2020</v>
          </cell>
          <cell r="AA522" t="str">
            <v>E</v>
          </cell>
          <cell r="AB522" t="str">
            <v>Mécanique</v>
          </cell>
          <cell r="AC522" t="str">
            <v>EMR</v>
          </cell>
          <cell r="AD522" t="str">
            <v>ST ET.4-10546</v>
          </cell>
          <cell r="AE522" t="str">
            <v>Documentation relative à l’étude et à la réalisation de systèmes mécaniques, électrotechniques, pneumatiques et hydrauliques</v>
          </cell>
          <cell r="AF522" t="str">
            <v>3.1.1.1</v>
          </cell>
          <cell r="AI522">
            <v>1</v>
          </cell>
          <cell r="AP522" t="str">
            <v>FD</v>
          </cell>
          <cell r="CH522" t="e">
            <v>#N/A</v>
          </cell>
          <cell r="CI522" t="e">
            <v>#N/A</v>
          </cell>
          <cell r="CJ522" t="e">
            <v>#N/A</v>
          </cell>
        </row>
        <row r="523">
          <cell r="B523" t="str">
            <v>Ligne_198.1.1.13_PPD</v>
          </cell>
          <cell r="C523" t="str">
            <v>198.1.1.13</v>
          </cell>
          <cell r="E523" t="str">
            <v>Documentation des produits mécanique (DD/DJD?)</v>
          </cell>
          <cell r="G523" t="str">
            <v>Plan de montage couvercle sans capteur</v>
          </cell>
          <cell r="R523" t="str">
            <v>BT</v>
          </cell>
          <cell r="S523" t="str">
            <v>BT</v>
          </cell>
          <cell r="T523" t="str">
            <v>NA</v>
          </cell>
          <cell r="V523" t="str">
            <v>BOMBARDIER</v>
          </cell>
          <cell r="Z523" t="str">
            <v>RTS 188 JS2 EMR 03/09/2020</v>
          </cell>
          <cell r="AA523" t="str">
            <v>E</v>
          </cell>
          <cell r="AB523" t="str">
            <v>Mécanique</v>
          </cell>
          <cell r="AC523" t="str">
            <v>EMR</v>
          </cell>
          <cell r="AD523" t="str">
            <v>ST ET.4-10546</v>
          </cell>
          <cell r="AE523" t="str">
            <v>Documentation relative à l’étude et à la réalisation de systèmes mécaniques, électrotechniques, pneumatiques et hydrauliques</v>
          </cell>
          <cell r="AF523" t="str">
            <v>3.1.1.1</v>
          </cell>
          <cell r="AI523">
            <v>1</v>
          </cell>
          <cell r="AP523" t="str">
            <v>FD</v>
          </cell>
          <cell r="CH523" t="e">
            <v>#N/A</v>
          </cell>
          <cell r="CI523" t="e">
            <v>#N/A</v>
          </cell>
          <cell r="CJ523" t="e">
            <v>#N/A</v>
          </cell>
        </row>
        <row r="524">
          <cell r="B524" t="str">
            <v>Ligne_198.1.1.14_PPD</v>
          </cell>
          <cell r="C524" t="str">
            <v>198.1.1.14</v>
          </cell>
          <cell r="E524" t="str">
            <v>Documentation des produits mécanique (DD/DJD?)</v>
          </cell>
          <cell r="G524" t="str">
            <v>Plan de montage de l'anti enrayeur</v>
          </cell>
          <cell r="R524" t="str">
            <v>BT</v>
          </cell>
          <cell r="S524" t="str">
            <v>BT</v>
          </cell>
          <cell r="T524" t="str">
            <v>NA</v>
          </cell>
          <cell r="V524" t="str">
            <v>BOMBARDIER</v>
          </cell>
          <cell r="Z524" t="str">
            <v>RTS 188 JS2 EMR 03/09/2020</v>
          </cell>
          <cell r="AA524" t="str">
            <v>E</v>
          </cell>
          <cell r="AB524" t="str">
            <v>Mécanique</v>
          </cell>
          <cell r="AC524" t="str">
            <v>EMR</v>
          </cell>
          <cell r="AD524" t="str">
            <v>ST ET.4-10546</v>
          </cell>
          <cell r="AE524" t="str">
            <v>Documentation relative à l’étude et à la réalisation de systèmes mécaniques, électrotechniques, pneumatiques et hydrauliques</v>
          </cell>
          <cell r="AF524" t="str">
            <v>3.1.1.1</v>
          </cell>
          <cell r="AI524">
            <v>1</v>
          </cell>
          <cell r="AP524" t="str">
            <v>FD</v>
          </cell>
          <cell r="CH524" t="e">
            <v>#N/A</v>
          </cell>
          <cell r="CI524" t="e">
            <v>#N/A</v>
          </cell>
          <cell r="CJ524" t="e">
            <v>#N/A</v>
          </cell>
        </row>
        <row r="525">
          <cell r="B525" t="str">
            <v>Ligne_198.1.1.15_PPD</v>
          </cell>
          <cell r="C525" t="str">
            <v>198.1.1.15</v>
          </cell>
          <cell r="E525" t="str">
            <v>Documentation des produits mécanique (DD/DJD?)</v>
          </cell>
          <cell r="G525" t="str">
            <v>Plan de montage de l'amortisseur transversal et des butées</v>
          </cell>
          <cell r="R525" t="str">
            <v>BT</v>
          </cell>
          <cell r="S525" t="str">
            <v>BT</v>
          </cell>
          <cell r="T525" t="str">
            <v>NA</v>
          </cell>
          <cell r="V525" t="str">
            <v>BOMBARDIER</v>
          </cell>
          <cell r="Z525" t="str">
            <v>RTS 188 JS2 EMR 03/09/2020</v>
          </cell>
          <cell r="AA525" t="str">
            <v>E</v>
          </cell>
          <cell r="AB525" t="str">
            <v>Mécanique</v>
          </cell>
          <cell r="AC525" t="str">
            <v>EMR</v>
          </cell>
          <cell r="AD525" t="str">
            <v>ST ET.4-10546</v>
          </cell>
          <cell r="AE525" t="str">
            <v>Documentation relative à l’étude et à la réalisation de systèmes mécaniques, électrotechniques, pneumatiques et hydrauliques</v>
          </cell>
          <cell r="AF525" t="str">
            <v>3.1.1.1</v>
          </cell>
          <cell r="AI525">
            <v>1</v>
          </cell>
          <cell r="AP525" t="str">
            <v>FD</v>
          </cell>
          <cell r="CH525" t="e">
            <v>#N/A</v>
          </cell>
          <cell r="CI525" t="e">
            <v>#N/A</v>
          </cell>
          <cell r="CJ525" t="e">
            <v>#N/A</v>
          </cell>
        </row>
        <row r="526">
          <cell r="B526" t="str">
            <v>Ligne_198.1.1.16_PPD</v>
          </cell>
          <cell r="C526" t="str">
            <v>198.1.1.16</v>
          </cell>
          <cell r="E526" t="str">
            <v>Documentation des produits mécanique (DD/DJD?)</v>
          </cell>
          <cell r="G526" t="str">
            <v>Plan de montage de l'ensemble valve de nivellement et de décharge</v>
          </cell>
          <cell r="R526" t="str">
            <v>BT</v>
          </cell>
          <cell r="S526" t="str">
            <v>BT</v>
          </cell>
          <cell r="T526" t="str">
            <v>NA</v>
          </cell>
          <cell r="V526" t="str">
            <v>BOMBARDIER</v>
          </cell>
          <cell r="Z526" t="str">
            <v>RTS 188 JS2 EMR 03/09/2020</v>
          </cell>
          <cell r="AA526" t="str">
            <v>E</v>
          </cell>
          <cell r="AB526" t="str">
            <v>Mécanique</v>
          </cell>
          <cell r="AC526" t="str">
            <v>EMR</v>
          </cell>
          <cell r="AD526" t="str">
            <v>ST ET.4-10546</v>
          </cell>
          <cell r="AE526" t="str">
            <v>Documentation relative à l’étude et à la réalisation de systèmes mécaniques, électrotechniques, pneumatiques et hydrauliques</v>
          </cell>
          <cell r="AF526" t="str">
            <v>3.1.1.1</v>
          </cell>
          <cell r="AI526">
            <v>1</v>
          </cell>
          <cell r="AP526" t="str">
            <v>FD</v>
          </cell>
          <cell r="CH526" t="e">
            <v>#N/A</v>
          </cell>
          <cell r="CI526" t="e">
            <v>#N/A</v>
          </cell>
          <cell r="CJ526" t="e">
            <v>#N/A</v>
          </cell>
        </row>
        <row r="527">
          <cell r="B527" t="str">
            <v>Ligne_198.1.1.17_PPD</v>
          </cell>
          <cell r="C527" t="str">
            <v>198.1.1.17</v>
          </cell>
          <cell r="E527" t="str">
            <v>Documentation des produits mécanique (DD/DJD?)</v>
          </cell>
          <cell r="G527" t="str">
            <v>Plan de montage de la poutre capteur CBTC (ANBAL)</v>
          </cell>
          <cell r="R527" t="str">
            <v>BT</v>
          </cell>
          <cell r="S527" t="str">
            <v>BT</v>
          </cell>
          <cell r="T527" t="str">
            <v>NA</v>
          </cell>
          <cell r="V527" t="str">
            <v>BOMBARDIER</v>
          </cell>
          <cell r="Z527" t="str">
            <v>RTS 188 JS2 EMR 03/09/2020</v>
          </cell>
          <cell r="AA527" t="str">
            <v>E</v>
          </cell>
          <cell r="AB527" t="str">
            <v>Mécanique</v>
          </cell>
          <cell r="AC527" t="str">
            <v>EMR</v>
          </cell>
          <cell r="AD527" t="str">
            <v>ST ET.4-10546</v>
          </cell>
          <cell r="AE527" t="str">
            <v>Documentation relative à l’étude et à la réalisation de systèmes mécaniques, électrotechniques, pneumatiques et hydrauliques</v>
          </cell>
          <cell r="AF527" t="str">
            <v>3.1.1.1</v>
          </cell>
          <cell r="AI527">
            <v>1</v>
          </cell>
          <cell r="AP527" t="str">
            <v>FD</v>
          </cell>
          <cell r="CH527" t="e">
            <v>#N/A</v>
          </cell>
          <cell r="CI527" t="e">
            <v>#N/A</v>
          </cell>
          <cell r="CJ527" t="e">
            <v>#N/A</v>
          </cell>
        </row>
        <row r="528">
          <cell r="B528" t="str">
            <v>Ligne_198.1.1.18_PPD</v>
          </cell>
          <cell r="C528" t="str">
            <v>198.1.1.18</v>
          </cell>
          <cell r="E528" t="str">
            <v>Documentation des produits mécanique (DD/DJD?)</v>
          </cell>
          <cell r="G528" t="str">
            <v xml:space="preserve">Plan de montage de RDC </v>
          </cell>
          <cell r="R528" t="str">
            <v>BT</v>
          </cell>
          <cell r="S528" t="str">
            <v>BT</v>
          </cell>
          <cell r="T528" t="str">
            <v>NA</v>
          </cell>
          <cell r="V528" t="str">
            <v>BOMBARDIER</v>
          </cell>
          <cell r="Z528" t="str">
            <v>RTS 188 JS2 EMR 03/09/2020</v>
          </cell>
          <cell r="AA528" t="str">
            <v>E</v>
          </cell>
          <cell r="AB528" t="str">
            <v>Mécanique</v>
          </cell>
          <cell r="AC528" t="str">
            <v>EMR</v>
          </cell>
          <cell r="AD528" t="str">
            <v>ST ET.4-10546</v>
          </cell>
          <cell r="AE528" t="str">
            <v>Documentation relative à l’étude et à la réalisation de systèmes mécaniques, électrotechniques, pneumatiques et hydrauliques</v>
          </cell>
          <cell r="AF528" t="str">
            <v>3.1.1.1</v>
          </cell>
          <cell r="AI528">
            <v>1</v>
          </cell>
          <cell r="AP528" t="str">
            <v>FD</v>
          </cell>
          <cell r="CH528" t="e">
            <v>#N/A</v>
          </cell>
          <cell r="CI528" t="e">
            <v>#N/A</v>
          </cell>
          <cell r="CJ528" t="e">
            <v>#N/A</v>
          </cell>
        </row>
        <row r="529">
          <cell r="B529" t="str">
            <v>Ligne_198.1.1.19_PPD</v>
          </cell>
          <cell r="C529" t="str">
            <v>198.1.1.19</v>
          </cell>
          <cell r="E529" t="str">
            <v>Documentation des produits mécanique (DD/DJD?)</v>
          </cell>
          <cell r="G529" t="str">
            <v>Plan de montage de générateur d'implusion CBTC</v>
          </cell>
          <cell r="R529" t="str">
            <v>BT</v>
          </cell>
          <cell r="S529" t="str">
            <v>BT</v>
          </cell>
          <cell r="T529" t="str">
            <v>NA</v>
          </cell>
          <cell r="V529" t="str">
            <v>BOMBARDIER</v>
          </cell>
          <cell r="Z529" t="str">
            <v>RTS 188 JS2 EMR 03/09/2020</v>
          </cell>
          <cell r="AA529" t="str">
            <v>E</v>
          </cell>
          <cell r="AB529" t="str">
            <v>Mécanique</v>
          </cell>
          <cell r="AC529" t="str">
            <v>EMR</v>
          </cell>
          <cell r="AD529" t="str">
            <v>ST ET.4-10546</v>
          </cell>
          <cell r="AE529" t="str">
            <v>Documentation relative à l’étude et à la réalisation de systèmes mécaniques, électrotechniques, pneumatiques et hydrauliques</v>
          </cell>
          <cell r="AF529" t="str">
            <v>3.1.1.1</v>
          </cell>
          <cell r="AI529">
            <v>1</v>
          </cell>
          <cell r="AP529" t="str">
            <v>FD</v>
          </cell>
          <cell r="CH529" t="e">
            <v>#N/A</v>
          </cell>
          <cell r="CI529" t="e">
            <v>#N/A</v>
          </cell>
          <cell r="CJ529" t="e">
            <v>#N/A</v>
          </cell>
        </row>
        <row r="530">
          <cell r="B530" t="str">
            <v>Ligne_198.1.1.20_PPD</v>
          </cell>
          <cell r="C530" t="str">
            <v>198.1.1.20</v>
          </cell>
          <cell r="E530" t="str">
            <v>Documentation des produits mécanique (DD/DJD?)</v>
          </cell>
          <cell r="G530" t="str">
            <v>Plan de montage de barre de détection d'obstacle (BDO)</v>
          </cell>
          <cell r="R530" t="str">
            <v>BT</v>
          </cell>
          <cell r="S530" t="str">
            <v>BT</v>
          </cell>
          <cell r="T530" t="str">
            <v>NA</v>
          </cell>
          <cell r="V530" t="str">
            <v>BOMBARDIER</v>
          </cell>
          <cell r="Z530" t="str">
            <v>RTS 188 JS2 EMR 03/09/2020</v>
          </cell>
          <cell r="AA530" t="str">
            <v>E</v>
          </cell>
          <cell r="AB530" t="str">
            <v>Mécanique</v>
          </cell>
          <cell r="AC530" t="str">
            <v>EMR</v>
          </cell>
          <cell r="AD530" t="str">
            <v>ST ET.4-10546</v>
          </cell>
          <cell r="AE530" t="str">
            <v>Documentation relative à l’étude et à la réalisation de systèmes mécaniques, électrotechniques, pneumatiques et hydrauliques</v>
          </cell>
          <cell r="AF530" t="str">
            <v>3.1.1.1</v>
          </cell>
          <cell r="AI530">
            <v>1</v>
          </cell>
          <cell r="AP530" t="str">
            <v>FD</v>
          </cell>
          <cell r="CH530" t="e">
            <v>#N/A</v>
          </cell>
          <cell r="CI530" t="e">
            <v>#N/A</v>
          </cell>
          <cell r="CJ530" t="e">
            <v>#N/A</v>
          </cell>
        </row>
        <row r="531">
          <cell r="B531" t="str">
            <v>Ligne_198.1.1.21_PPD</v>
          </cell>
          <cell r="C531" t="str">
            <v>198.1.1.21</v>
          </cell>
          <cell r="E531" t="str">
            <v>Documentation des produits mécanique (DD/DJD?)</v>
          </cell>
          <cell r="G531" t="str">
            <v>Plan de montage de la poutre capteur RPS</v>
          </cell>
          <cell r="R531" t="str">
            <v>BT</v>
          </cell>
          <cell r="S531" t="str">
            <v>BT</v>
          </cell>
          <cell r="T531" t="str">
            <v>NA</v>
          </cell>
          <cell r="V531" t="str">
            <v>BOMBARDIER</v>
          </cell>
          <cell r="Z531" t="str">
            <v>RTS 188 JS2 EMR 03/09/2020</v>
          </cell>
          <cell r="AA531" t="str">
            <v>E</v>
          </cell>
          <cell r="AB531" t="str">
            <v>Mécanique</v>
          </cell>
          <cell r="AC531" t="str">
            <v>EMR</v>
          </cell>
          <cell r="AD531" t="str">
            <v>ST ET.4-10546</v>
          </cell>
          <cell r="AE531" t="str">
            <v>Documentation relative à l’étude et à la réalisation de systèmes mécaniques, électrotechniques, pneumatiques et hydrauliques</v>
          </cell>
          <cell r="AF531" t="str">
            <v>3.1.1.1</v>
          </cell>
          <cell r="AI531">
            <v>1</v>
          </cell>
          <cell r="AP531" t="str">
            <v>FD</v>
          </cell>
          <cell r="CH531" t="e">
            <v>#N/A</v>
          </cell>
          <cell r="CI531" t="e">
            <v>#N/A</v>
          </cell>
          <cell r="CJ531" t="e">
            <v>#N/A</v>
          </cell>
        </row>
        <row r="532">
          <cell r="B532" t="str">
            <v>Ligne_198.1.2_PPD</v>
          </cell>
          <cell r="C532" t="str">
            <v>198.1.2</v>
          </cell>
          <cell r="E532" t="str">
            <v>Documentation des produits mécanique (DD/DJD?)</v>
          </cell>
          <cell r="G532" t="str">
            <v>Autres plans de montages</v>
          </cell>
          <cell r="R532" t="str">
            <v>NA</v>
          </cell>
          <cell r="S532" t="str">
            <v>ABT</v>
          </cell>
          <cell r="T532" t="str">
            <v>NA</v>
          </cell>
          <cell r="Z532" t="str">
            <v>RTS 188 JS2 EMR 03/09/2020</v>
          </cell>
          <cell r="AA532" t="str">
            <v>E</v>
          </cell>
          <cell r="AB532" t="str">
            <v>Mécanique</v>
          </cell>
          <cell r="AC532" t="str">
            <v>EMR</v>
          </cell>
          <cell r="AD532" t="str">
            <v>ST ET.4-10546</v>
          </cell>
          <cell r="AE532" t="str">
            <v>Documentation relative à l’étude et à la réalisation de systèmes mécaniques, électrotechniques, pneumatiques et hydrauliques</v>
          </cell>
          <cell r="AF532" t="str">
            <v>3.1.1.1</v>
          </cell>
          <cell r="AI532" t="str">
            <v>à décomposer</v>
          </cell>
          <cell r="AN532" t="str">
            <v>PI</v>
          </cell>
          <cell r="AP532" t="str">
            <v>FD</v>
          </cell>
          <cell r="CH532" t="e">
            <v>#N/A</v>
          </cell>
          <cell r="CI532" t="e">
            <v>#N/A</v>
          </cell>
          <cell r="CJ532" t="e">
            <v>#N/A</v>
          </cell>
        </row>
        <row r="533">
          <cell r="B533" t="str">
            <v>Ligne_198.2_PPD</v>
          </cell>
          <cell r="C533" t="str">
            <v>198.2</v>
          </cell>
          <cell r="E533" t="str">
            <v>Documentation des produits mécanique (DD?)</v>
          </cell>
          <cell r="G533" t="str">
            <v>Plans d'assemblage - RENVOI AUX LIGNES 198.1, 198.3</v>
          </cell>
          <cell r="R533" t="str">
            <v>NA</v>
          </cell>
          <cell r="S533" t="str">
            <v>ABT</v>
          </cell>
          <cell r="T533" t="str">
            <v>NA</v>
          </cell>
          <cell r="Z533" t="str">
            <v>RTS 188 JS2 EMR 03/09/2020
RTS 193 JS2 EMC 07/09/2020</v>
          </cell>
          <cell r="AA533" t="str">
            <v>E</v>
          </cell>
          <cell r="AB533" t="str">
            <v>Mécanique</v>
          </cell>
          <cell r="AC533" t="str">
            <v>EMR/EMC</v>
          </cell>
          <cell r="AD533" t="str">
            <v>ST ET.4-10546</v>
          </cell>
          <cell r="AE533" t="str">
            <v>Documentation relative à l’étude et à la réalisation de systèmes mécaniques, électrotechniques, pneumatiques et hydrauliques</v>
          </cell>
          <cell r="AF533" t="str">
            <v>3.1.1.2</v>
          </cell>
          <cell r="AI533" t="str">
            <v>RENVOI</v>
          </cell>
          <cell r="AN533" t="str">
            <v>PI</v>
          </cell>
          <cell r="AP533" t="str">
            <v>FD</v>
          </cell>
          <cell r="CH533" t="e">
            <v>#N/A</v>
          </cell>
          <cell r="CI533" t="e">
            <v>#N/A</v>
          </cell>
          <cell r="CJ533" t="e">
            <v>#N/A</v>
          </cell>
        </row>
        <row r="534">
          <cell r="B534" t="str">
            <v>Ligne_198.3_PPD</v>
          </cell>
          <cell r="C534" t="str">
            <v>198.3</v>
          </cell>
          <cell r="E534" t="str">
            <v>Documentation des produits mécanique (DD?)</v>
          </cell>
          <cell r="G534" t="str">
            <v xml:space="preserve">Plans d'ensemble </v>
          </cell>
          <cell r="R534" t="str">
            <v>NA</v>
          </cell>
          <cell r="S534" t="str">
            <v>ABT</v>
          </cell>
          <cell r="T534" t="str">
            <v>NA</v>
          </cell>
          <cell r="Z534" t="str">
            <v>RTS 188 JS2 EMR 03/09/2020
RTS 193 JS2 EMC 07/09/2020</v>
          </cell>
          <cell r="AA534" t="str">
            <v>E</v>
          </cell>
          <cell r="AB534" t="str">
            <v>Mécanique</v>
          </cell>
          <cell r="AC534" t="str">
            <v>EMR/EMC</v>
          </cell>
          <cell r="AD534" t="str">
            <v>ST ET.4-10546</v>
          </cell>
          <cell r="AE534" t="str">
            <v>Documentation relative à l’étude et à la réalisation de systèmes mécaniques, électrotechniques, pneumatiques et hydrauliques</v>
          </cell>
          <cell r="AF534" t="str">
            <v>3.1.1.3</v>
          </cell>
          <cell r="AI534" t="str">
            <v>LIVRABLE</v>
          </cell>
          <cell r="AN534" t="str">
            <v>PI</v>
          </cell>
          <cell r="AP534" t="str">
            <v>FD</v>
          </cell>
          <cell r="CH534" t="e">
            <v>#N/A</v>
          </cell>
          <cell r="CI534" t="e">
            <v>#N/A</v>
          </cell>
          <cell r="CJ534" t="e">
            <v>#N/A</v>
          </cell>
        </row>
        <row r="535">
          <cell r="B535" t="str">
            <v>Ligne_198.3.1_PPD</v>
          </cell>
          <cell r="C535" t="str">
            <v>198.3.1</v>
          </cell>
          <cell r="E535" t="str">
            <v>Documentation des produits mécanique (DD?)</v>
          </cell>
          <cell r="G535" t="str">
            <v>Plans d'ensemble _Scope EMR-Bogie</v>
          </cell>
          <cell r="R535" t="str">
            <v>NA</v>
          </cell>
          <cell r="S535" t="str">
            <v>BT</v>
          </cell>
          <cell r="T535" t="str">
            <v>NA</v>
          </cell>
          <cell r="Z535" t="str">
            <v>RTS 188 JS2 EMR 03/09/2020</v>
          </cell>
          <cell r="AA535" t="str">
            <v>E</v>
          </cell>
          <cell r="AB535" t="str">
            <v>Mécanique</v>
          </cell>
          <cell r="AC535" t="str">
            <v>EMR</v>
          </cell>
          <cell r="AD535" t="str">
            <v>ST ET.4-10546</v>
          </cell>
          <cell r="AE535" t="str">
            <v>Documentation relative à l’étude et à la réalisation de systèmes mécaniques, électrotechniques, pneumatiques et hydrauliques</v>
          </cell>
          <cell r="AF535" t="str">
            <v>3.1.1.3</v>
          </cell>
          <cell r="AI535" t="str">
            <v>LIVRABLE</v>
          </cell>
          <cell r="AN535" t="str">
            <v>PI</v>
          </cell>
          <cell r="AP535" t="str">
            <v>FD</v>
          </cell>
          <cell r="CH535" t="e">
            <v>#N/A</v>
          </cell>
          <cell r="CI535" t="e">
            <v>#N/A</v>
          </cell>
          <cell r="CJ535" t="e">
            <v>#N/A</v>
          </cell>
        </row>
        <row r="536">
          <cell r="B536" t="str">
            <v>Ligne_198.3.1.1_PPD</v>
          </cell>
          <cell r="C536" t="str">
            <v>198.3.1.1</v>
          </cell>
          <cell r="E536" t="str">
            <v>Documentation des produits mécanique (DD?)</v>
          </cell>
          <cell r="G536" t="str">
            <v>Plan d'ensemble bogie moteur 101/A</v>
          </cell>
          <cell r="R536" t="str">
            <v>BT</v>
          </cell>
          <cell r="S536" t="str">
            <v>BT</v>
          </cell>
          <cell r="T536" t="str">
            <v>NA</v>
          </cell>
          <cell r="V536" t="str">
            <v>BOMBARDIER</v>
          </cell>
          <cell r="Z536" t="str">
            <v>RTS 188 JS2 EMR 03/09/2020</v>
          </cell>
          <cell r="AA536" t="str">
            <v>E</v>
          </cell>
          <cell r="AB536" t="str">
            <v>Mécanique</v>
          </cell>
          <cell r="AC536" t="str">
            <v>EMR</v>
          </cell>
          <cell r="AD536" t="str">
            <v>ST ET.4-10546</v>
          </cell>
          <cell r="AE536" t="str">
            <v>Documentation relative à l’étude et à la réalisation de systèmes mécaniques, électrotechniques, pneumatiques et hydrauliques</v>
          </cell>
          <cell r="AF536" t="str">
            <v>3.1.1.3</v>
          </cell>
          <cell r="AI536">
            <v>1</v>
          </cell>
          <cell r="AP536" t="str">
            <v>FD</v>
          </cell>
          <cell r="CH536" t="e">
            <v>#N/A</v>
          </cell>
          <cell r="CI536" t="e">
            <v>#N/A</v>
          </cell>
          <cell r="CJ536" t="e">
            <v>#N/A</v>
          </cell>
        </row>
        <row r="537">
          <cell r="B537" t="str">
            <v>Ligne_198.3.1.2_PPD</v>
          </cell>
          <cell r="C537" t="str">
            <v>198.3.1.2</v>
          </cell>
          <cell r="E537" t="str">
            <v>Documentation des produits mécanique (DD?)</v>
          </cell>
          <cell r="G537" t="str">
            <v>Plan d'ensemble bogie moteur 101/B</v>
          </cell>
          <cell r="R537" t="str">
            <v>BT</v>
          </cell>
          <cell r="S537" t="str">
            <v>BT</v>
          </cell>
          <cell r="T537" t="str">
            <v>NA</v>
          </cell>
          <cell r="V537" t="str">
            <v>BOMBARDIER</v>
          </cell>
          <cell r="Z537" t="str">
            <v>RTS 188 JS2 EMR 03/09/2020</v>
          </cell>
          <cell r="AA537" t="str">
            <v>E</v>
          </cell>
          <cell r="AB537" t="str">
            <v>Mécanique</v>
          </cell>
          <cell r="AC537" t="str">
            <v>EMR</v>
          </cell>
          <cell r="AD537" t="str">
            <v>ST ET.4-10546</v>
          </cell>
          <cell r="AE537" t="str">
            <v>Documentation relative à l’étude et à la réalisation de systèmes mécaniques, électrotechniques, pneumatiques et hydrauliques</v>
          </cell>
          <cell r="AF537" t="str">
            <v>3.1.1.3</v>
          </cell>
          <cell r="AI537">
            <v>1</v>
          </cell>
          <cell r="AP537" t="str">
            <v>FD</v>
          </cell>
          <cell r="CH537" t="e">
            <v>#N/A</v>
          </cell>
          <cell r="CI537" t="e">
            <v>#N/A</v>
          </cell>
          <cell r="CJ537" t="e">
            <v>#N/A</v>
          </cell>
        </row>
        <row r="538">
          <cell r="B538" t="str">
            <v>Ligne_198.3.1.3_PPD</v>
          </cell>
          <cell r="C538" t="str">
            <v>198.3.1.3</v>
          </cell>
          <cell r="E538" t="str">
            <v>Documentation des produits mécanique (DD?)</v>
          </cell>
          <cell r="G538" t="str">
            <v>Plan d'ensemble bogie porteur 102/A</v>
          </cell>
          <cell r="R538" t="str">
            <v>BT</v>
          </cell>
          <cell r="S538" t="str">
            <v>BT</v>
          </cell>
          <cell r="T538" t="str">
            <v>NA</v>
          </cell>
          <cell r="V538" t="str">
            <v>BOMBARDIER</v>
          </cell>
          <cell r="Z538" t="str">
            <v>RTS 188 JS2 EMR 03/09/2020</v>
          </cell>
          <cell r="AA538" t="str">
            <v>E</v>
          </cell>
          <cell r="AB538" t="str">
            <v>Mécanique</v>
          </cell>
          <cell r="AC538" t="str">
            <v>EMR</v>
          </cell>
          <cell r="AD538" t="str">
            <v>ST ET.4-10546</v>
          </cell>
          <cell r="AE538" t="str">
            <v>Documentation relative à l’étude et à la réalisation de systèmes mécaniques, électrotechniques, pneumatiques et hydrauliques</v>
          </cell>
          <cell r="AF538" t="str">
            <v>3.1.1.3</v>
          </cell>
          <cell r="AI538">
            <v>1</v>
          </cell>
          <cell r="AP538" t="str">
            <v>FD</v>
          </cell>
          <cell r="CH538" t="e">
            <v>#N/A</v>
          </cell>
          <cell r="CI538" t="e">
            <v>#N/A</v>
          </cell>
          <cell r="CJ538" t="e">
            <v>#N/A</v>
          </cell>
        </row>
        <row r="539">
          <cell r="B539" t="str">
            <v>Ligne_198.3.1.4_PPD</v>
          </cell>
          <cell r="C539" t="str">
            <v>198.3.1.4</v>
          </cell>
          <cell r="E539" t="str">
            <v>Documentation des produits mécanique (DD?)</v>
          </cell>
          <cell r="G539" t="str">
            <v>Plan d'ensemble bogie porteur 102/B</v>
          </cell>
          <cell r="R539" t="str">
            <v>BT</v>
          </cell>
          <cell r="S539" t="str">
            <v>BT</v>
          </cell>
          <cell r="T539" t="str">
            <v>NA</v>
          </cell>
          <cell r="V539" t="str">
            <v>BOMBARDIER</v>
          </cell>
          <cell r="Z539" t="str">
            <v>RTS 188 JS2 EMR 03/09/2020</v>
          </cell>
          <cell r="AA539" t="str">
            <v>E</v>
          </cell>
          <cell r="AB539" t="str">
            <v>Mécanique</v>
          </cell>
          <cell r="AC539" t="str">
            <v>EMR</v>
          </cell>
          <cell r="AD539" t="str">
            <v>ST ET.4-10546</v>
          </cell>
          <cell r="AE539" t="str">
            <v>Documentation relative à l’étude et à la réalisation de systèmes mécaniques, électrotechniques, pneumatiques et hydrauliques</v>
          </cell>
          <cell r="AF539" t="str">
            <v>3.1.1.3</v>
          </cell>
          <cell r="AI539">
            <v>1</v>
          </cell>
          <cell r="AP539" t="str">
            <v>FD</v>
          </cell>
          <cell r="CH539" t="e">
            <v>#N/A</v>
          </cell>
          <cell r="CI539" t="e">
            <v>#N/A</v>
          </cell>
          <cell r="CJ539" t="e">
            <v>#N/A</v>
          </cell>
        </row>
        <row r="540">
          <cell r="B540" t="str">
            <v>Ligne_198.3.1.5_PPD</v>
          </cell>
          <cell r="C540" t="str">
            <v>198.3.1.5</v>
          </cell>
          <cell r="E540" t="str">
            <v>Documentation des produits mécanique (DD?)</v>
          </cell>
          <cell r="G540" t="str">
            <v>Plan d'ensemble bogie porteur 102/C</v>
          </cell>
          <cell r="R540" t="str">
            <v>BT</v>
          </cell>
          <cell r="S540" t="str">
            <v>BT</v>
          </cell>
          <cell r="T540" t="str">
            <v>NA</v>
          </cell>
          <cell r="V540" t="str">
            <v>BOMBARDIER</v>
          </cell>
          <cell r="Z540" t="str">
            <v>RTS 188 JS2 EMR 03/09/2020</v>
          </cell>
          <cell r="AA540" t="str">
            <v>E</v>
          </cell>
          <cell r="AB540" t="str">
            <v>Mécanique</v>
          </cell>
          <cell r="AC540" t="str">
            <v>EMR</v>
          </cell>
          <cell r="AD540" t="str">
            <v>ST ET.4-10546</v>
          </cell>
          <cell r="AE540" t="str">
            <v>Documentation relative à l’étude et à la réalisation de systèmes mécaniques, électrotechniques, pneumatiques et hydrauliques</v>
          </cell>
          <cell r="AF540" t="str">
            <v>3.1.1.3</v>
          </cell>
          <cell r="AI540">
            <v>1</v>
          </cell>
          <cell r="AP540" t="str">
            <v>FD</v>
          </cell>
          <cell r="CH540" t="e">
            <v>#N/A</v>
          </cell>
          <cell r="CI540" t="e">
            <v>#N/A</v>
          </cell>
          <cell r="CJ540" t="e">
            <v>#N/A</v>
          </cell>
        </row>
        <row r="541">
          <cell r="B541" t="str">
            <v>Ligne_198.3.1.6_PPD</v>
          </cell>
          <cell r="C541" t="str">
            <v>198.3.1.6</v>
          </cell>
          <cell r="E541" t="str">
            <v>Documentation des produits mécanique (DD?)</v>
          </cell>
          <cell r="G541" t="str">
            <v>Plan d'ensemble bogie porteur 103/A</v>
          </cell>
          <cell r="R541" t="str">
            <v>BT</v>
          </cell>
          <cell r="S541" t="str">
            <v>BT</v>
          </cell>
          <cell r="T541" t="str">
            <v>NA</v>
          </cell>
          <cell r="V541" t="str">
            <v>BOMBARDIER</v>
          </cell>
          <cell r="Z541" t="str">
            <v>RTS 188 JS2 EMR 03/09/2020</v>
          </cell>
          <cell r="AA541" t="str">
            <v>E</v>
          </cell>
          <cell r="AB541" t="str">
            <v>Mécanique</v>
          </cell>
          <cell r="AC541" t="str">
            <v>EMR</v>
          </cell>
          <cell r="AD541" t="str">
            <v>ST ET.4-10546</v>
          </cell>
          <cell r="AE541" t="str">
            <v>Documentation relative à l’étude et à la réalisation de systèmes mécaniques, électrotechniques, pneumatiques et hydrauliques</v>
          </cell>
          <cell r="AF541" t="str">
            <v>3.1.1.3</v>
          </cell>
          <cell r="AI541">
            <v>1</v>
          </cell>
          <cell r="AP541" t="str">
            <v>FD</v>
          </cell>
          <cell r="CH541" t="e">
            <v>#N/A</v>
          </cell>
          <cell r="CI541" t="e">
            <v>#N/A</v>
          </cell>
          <cell r="CJ541" t="e">
            <v>#N/A</v>
          </cell>
        </row>
        <row r="542">
          <cell r="B542" t="str">
            <v>Ligne_198.3.1.7_PPD</v>
          </cell>
          <cell r="C542" t="str">
            <v>198.3.1.7</v>
          </cell>
          <cell r="E542" t="str">
            <v>Documentation des produits mécanique (DD?)</v>
          </cell>
          <cell r="G542" t="str">
            <v>Plan d'ensemble bogie porteur 103/B</v>
          </cell>
          <cell r="R542" t="str">
            <v>BT</v>
          </cell>
          <cell r="S542" t="str">
            <v>BT</v>
          </cell>
          <cell r="T542" t="str">
            <v>NA</v>
          </cell>
          <cell r="V542" t="str">
            <v>BOMBARDIER</v>
          </cell>
          <cell r="Z542" t="str">
            <v>RTS 188 JS2 EMR 03/09/2020</v>
          </cell>
          <cell r="AA542" t="str">
            <v>E</v>
          </cell>
          <cell r="AB542" t="str">
            <v>Mécanique</v>
          </cell>
          <cell r="AC542" t="str">
            <v>EMR</v>
          </cell>
          <cell r="AD542" t="str">
            <v>ST ET.4-10546</v>
          </cell>
          <cell r="AE542" t="str">
            <v>Documentation relative à l’étude et à la réalisation de systèmes mécaniques, électrotechniques, pneumatiques et hydrauliques</v>
          </cell>
          <cell r="AF542" t="str">
            <v>3.1.1.3</v>
          </cell>
          <cell r="AI542">
            <v>1</v>
          </cell>
          <cell r="AP542" t="str">
            <v>FD</v>
          </cell>
          <cell r="CH542" t="e">
            <v>#N/A</v>
          </cell>
          <cell r="CI542" t="e">
            <v>#N/A</v>
          </cell>
          <cell r="CJ542" t="e">
            <v>#N/A</v>
          </cell>
        </row>
        <row r="543">
          <cell r="B543" t="str">
            <v>Ligne_198.3.1.8_PPD</v>
          </cell>
          <cell r="C543" t="str">
            <v>198.3.1.8</v>
          </cell>
          <cell r="E543" t="str">
            <v>Documentation des produits mécanique (DD?)</v>
          </cell>
          <cell r="G543" t="str">
            <v>Plan d'ensemble bogie porteur 103/C</v>
          </cell>
          <cell r="R543" t="str">
            <v>BT</v>
          </cell>
          <cell r="S543" t="str">
            <v>BT</v>
          </cell>
          <cell r="T543" t="str">
            <v>NA</v>
          </cell>
          <cell r="V543" t="str">
            <v>BOMBARDIER</v>
          </cell>
          <cell r="Z543" t="str">
            <v>RTS 188 JS2 EMR 03/09/2020</v>
          </cell>
          <cell r="AA543" t="str">
            <v>E</v>
          </cell>
          <cell r="AB543" t="str">
            <v>Mécanique</v>
          </cell>
          <cell r="AC543" t="str">
            <v>EMR</v>
          </cell>
          <cell r="AD543" t="str">
            <v>ST ET.4-10546</v>
          </cell>
          <cell r="AE543" t="str">
            <v>Documentation relative à l’étude et à la réalisation de systèmes mécaniques, électrotechniques, pneumatiques et hydrauliques</v>
          </cell>
          <cell r="AF543" t="str">
            <v>3.1.1.3</v>
          </cell>
          <cell r="AI543">
            <v>1</v>
          </cell>
          <cell r="AP543" t="str">
            <v>FD</v>
          </cell>
          <cell r="CH543" t="e">
            <v>#N/A</v>
          </cell>
          <cell r="CI543" t="e">
            <v>#N/A</v>
          </cell>
          <cell r="CJ543" t="e">
            <v>#N/A</v>
          </cell>
        </row>
        <row r="544">
          <cell r="B544" t="str">
            <v>Ligne_198.3.1.9_PPD</v>
          </cell>
          <cell r="C544" t="str">
            <v>198.3.1.9</v>
          </cell>
          <cell r="E544" t="str">
            <v>Documentation des produits mécanique (DD?)</v>
          </cell>
          <cell r="G544" t="str">
            <v>Plan d'ensemble bogie porteur 103/D</v>
          </cell>
          <cell r="R544" t="str">
            <v>BT</v>
          </cell>
          <cell r="S544" t="str">
            <v>BT</v>
          </cell>
          <cell r="T544" t="str">
            <v>NA</v>
          </cell>
          <cell r="V544" t="str">
            <v>BOMBARDIER</v>
          </cell>
          <cell r="Z544" t="str">
            <v>RTS 188 JS2 EMR 03/09/2020</v>
          </cell>
          <cell r="AA544" t="str">
            <v>E</v>
          </cell>
          <cell r="AB544" t="str">
            <v>Mécanique</v>
          </cell>
          <cell r="AC544" t="str">
            <v>EMR</v>
          </cell>
          <cell r="AD544" t="str">
            <v>ST ET.4-10546</v>
          </cell>
          <cell r="AE544" t="str">
            <v>Documentation relative à l’étude et à la réalisation de systèmes mécaniques, électrotechniques, pneumatiques et hydrauliques</v>
          </cell>
          <cell r="AF544" t="str">
            <v>3.1.1.3</v>
          </cell>
          <cell r="AI544">
            <v>1</v>
          </cell>
          <cell r="AP544" t="str">
            <v>FD</v>
          </cell>
          <cell r="CH544" t="e">
            <v>#N/A</v>
          </cell>
          <cell r="CI544" t="e">
            <v>#N/A</v>
          </cell>
          <cell r="CJ544" t="e">
            <v>#N/A</v>
          </cell>
        </row>
        <row r="545">
          <cell r="B545" t="str">
            <v>Ligne_198.3.2_PPD</v>
          </cell>
          <cell r="C545" t="str">
            <v>198.3.2</v>
          </cell>
          <cell r="E545" t="str">
            <v>Documentation des produits mécanique (DD?)</v>
          </cell>
          <cell r="G545" t="str">
            <v>Plans d'ensemble Carbody - LIVRABLE</v>
          </cell>
          <cell r="R545" t="str">
            <v>NA</v>
          </cell>
          <cell r="S545" t="str">
            <v>BT</v>
          </cell>
          <cell r="T545" t="str">
            <v>NA</v>
          </cell>
          <cell r="Z545" t="str">
            <v>RTS 193 JS2 EMC 07/09/2020</v>
          </cell>
          <cell r="AA545" t="str">
            <v>E</v>
          </cell>
          <cell r="AB545" t="str">
            <v>Mécanique</v>
          </cell>
          <cell r="AC545" t="str">
            <v>EMC</v>
          </cell>
          <cell r="AD545" t="str">
            <v>ST ET.4-10546</v>
          </cell>
          <cell r="AE545" t="str">
            <v>Documentation relative à l’étude et à la réalisation de systèmes mécaniques, électrotechniques, pneumatiques et hydrauliques</v>
          </cell>
          <cell r="AF545" t="str">
            <v>3.1.1.3</v>
          </cell>
          <cell r="AI545" t="str">
            <v>LIVRABLE</v>
          </cell>
          <cell r="AN545" t="str">
            <v>FP</v>
          </cell>
          <cell r="AP545" t="str">
            <v>FD</v>
          </cell>
          <cell r="CH545" t="e">
            <v>#N/A</v>
          </cell>
          <cell r="CI545" t="e">
            <v>#N/A</v>
          </cell>
          <cell r="CJ545" t="e">
            <v>#N/A</v>
          </cell>
        </row>
        <row r="546">
          <cell r="B546" t="str">
            <v>Ligne_198.3.2.1_PPD</v>
          </cell>
          <cell r="C546" t="str">
            <v>198.3.2.1</v>
          </cell>
          <cell r="E546" t="str">
            <v>Documentation des produits mécanique (DD?)</v>
          </cell>
          <cell r="G546" t="str">
            <v>MONTAGE BOBTAILS POUR CHAUDRON S</v>
          </cell>
          <cell r="R546" t="str">
            <v>BT</v>
          </cell>
          <cell r="S546" t="str">
            <v>BT</v>
          </cell>
          <cell r="T546" t="str">
            <v>NA</v>
          </cell>
          <cell r="Z546" t="str">
            <v>RTS 193 JS2 EMC 07/09/2020</v>
          </cell>
          <cell r="AA546" t="str">
            <v>E</v>
          </cell>
          <cell r="AB546" t="str">
            <v>Mécanique</v>
          </cell>
          <cell r="AC546" t="str">
            <v>EMC</v>
          </cell>
          <cell r="AD546" t="str">
            <v>ST ET.4-10546</v>
          </cell>
          <cell r="AE546" t="str">
            <v>Documentation relative à l’étude et à la réalisation de systèmes mécaniques, électrotechniques, pneumatiques et hydrauliques</v>
          </cell>
          <cell r="AF546" t="str">
            <v>3.1.1.3</v>
          </cell>
          <cell r="AI546">
            <v>1</v>
          </cell>
          <cell r="AN546" t="str">
            <v>FP</v>
          </cell>
          <cell r="AP546" t="str">
            <v>FD</v>
          </cell>
          <cell r="CH546" t="e">
            <v>#N/A</v>
          </cell>
          <cell r="CI546" t="e">
            <v>#N/A</v>
          </cell>
          <cell r="CJ546" t="e">
            <v>#N/A</v>
          </cell>
        </row>
        <row r="547">
          <cell r="B547" t="str">
            <v>Ligne_198.3.2.2_PPD</v>
          </cell>
          <cell r="C547" t="str">
            <v>198.3.2.2</v>
          </cell>
          <cell r="E547" t="str">
            <v>Documentation des produits mécanique (DD?)</v>
          </cell>
          <cell r="G547" t="str">
            <v>RONDELLES POUR ASSEMBLAGE CAISSE</v>
          </cell>
          <cell r="R547" t="str">
            <v>BT</v>
          </cell>
          <cell r="S547" t="str">
            <v>BT</v>
          </cell>
          <cell r="T547" t="str">
            <v>NA</v>
          </cell>
          <cell r="Z547" t="str">
            <v>RTS 193 JS2 EMC 07/09/2020</v>
          </cell>
          <cell r="AA547" t="str">
            <v>E</v>
          </cell>
          <cell r="AB547" t="str">
            <v>Mécanique</v>
          </cell>
          <cell r="AC547" t="str">
            <v>EMC</v>
          </cell>
          <cell r="AD547" t="str">
            <v>ST ET.4-10546</v>
          </cell>
          <cell r="AE547" t="str">
            <v>Documentation relative à l’étude et à la réalisation de systèmes mécaniques, électrotechniques, pneumatiques et hydrauliques</v>
          </cell>
          <cell r="AF547" t="str">
            <v>3.1.1.3</v>
          </cell>
          <cell r="AI547">
            <v>1</v>
          </cell>
          <cell r="AN547" t="str">
            <v>FP</v>
          </cell>
          <cell r="AP547" t="str">
            <v>FD</v>
          </cell>
          <cell r="CH547" t="e">
            <v>#N/A</v>
          </cell>
          <cell r="CI547" t="e">
            <v>#N/A</v>
          </cell>
          <cell r="CJ547" t="e">
            <v>#N/A</v>
          </cell>
        </row>
        <row r="548">
          <cell r="B548" t="str">
            <v>Ligne_198.3.2.3_PPD</v>
          </cell>
          <cell r="C548" t="str">
            <v>198.3.2.3</v>
          </cell>
          <cell r="E548" t="str">
            <v>Documentation des produits mécanique (DD?)</v>
          </cell>
          <cell r="G548" t="str">
            <v>BOULONNERIE DE LIAISON CAISSE/CABINE</v>
          </cell>
          <cell r="R548" t="str">
            <v>BT</v>
          </cell>
          <cell r="S548" t="str">
            <v>BT</v>
          </cell>
          <cell r="T548" t="str">
            <v>NA</v>
          </cell>
          <cell r="Z548" t="str">
            <v>RTS 193 JS2 EMC 07/09/2020</v>
          </cell>
          <cell r="AA548" t="str">
            <v>E</v>
          </cell>
          <cell r="AB548" t="str">
            <v>Mécanique</v>
          </cell>
          <cell r="AC548" t="str">
            <v>EMC</v>
          </cell>
          <cell r="AD548" t="str">
            <v>ST ET.4-10546</v>
          </cell>
          <cell r="AE548" t="str">
            <v>Documentation relative à l’étude et à la réalisation de systèmes mécaniques, électrotechniques, pneumatiques et hydrauliques</v>
          </cell>
          <cell r="AF548" t="str">
            <v>3.1.1.3</v>
          </cell>
          <cell r="AI548">
            <v>1</v>
          </cell>
          <cell r="AN548" t="str">
            <v>FP</v>
          </cell>
          <cell r="AP548" t="str">
            <v>FD</v>
          </cell>
          <cell r="CH548" t="e">
            <v>#N/A</v>
          </cell>
          <cell r="CI548" t="e">
            <v>#N/A</v>
          </cell>
          <cell r="CJ548" t="e">
            <v>#N/A</v>
          </cell>
        </row>
        <row r="549">
          <cell r="B549" t="str">
            <v>Ligne_198.3.2.4_PPD</v>
          </cell>
          <cell r="C549" t="str">
            <v>198.3.2.4</v>
          </cell>
          <cell r="E549" t="str">
            <v>Documentation des produits mécanique (DD?)</v>
          </cell>
          <cell r="G549" t="str">
            <v>ENSEMBLE ENTRETOISE CHAUDRON/CABINE</v>
          </cell>
          <cell r="R549" t="str">
            <v>BT</v>
          </cell>
          <cell r="S549" t="str">
            <v>BT</v>
          </cell>
          <cell r="T549" t="str">
            <v>NA</v>
          </cell>
          <cell r="Z549" t="str">
            <v>RTS 193 JS2 EMC 07/09/2020</v>
          </cell>
          <cell r="AA549" t="str">
            <v>E</v>
          </cell>
          <cell r="AB549" t="str">
            <v>Mécanique</v>
          </cell>
          <cell r="AC549" t="str">
            <v>EMC</v>
          </cell>
          <cell r="AD549" t="str">
            <v>ST ET.4-10546</v>
          </cell>
          <cell r="AE549" t="str">
            <v>Documentation relative à l’étude et à la réalisation de systèmes mécaniques, électrotechniques, pneumatiques et hydrauliques</v>
          </cell>
          <cell r="AF549" t="str">
            <v>3.1.1.3</v>
          </cell>
          <cell r="AI549">
            <v>1</v>
          </cell>
          <cell r="AN549" t="str">
            <v>FP</v>
          </cell>
          <cell r="AP549" t="str">
            <v>FD</v>
          </cell>
          <cell r="CH549" t="e">
            <v>#N/A</v>
          </cell>
          <cell r="CI549" t="e">
            <v>#N/A</v>
          </cell>
          <cell r="CJ549" t="e">
            <v>#N/A</v>
          </cell>
        </row>
        <row r="550">
          <cell r="B550" t="str">
            <v>Ligne_198.3.2.5_PPD</v>
          </cell>
          <cell r="C550" t="str">
            <v>198.3.2.5</v>
          </cell>
          <cell r="E550" t="str">
            <v>Documentation des produits mécanique (DD?)</v>
          </cell>
          <cell r="G550" t="str">
            <v>CALAGE POUR ASSEMBLAGE CHAUDRON/CABINE</v>
          </cell>
          <cell r="R550" t="str">
            <v>BT</v>
          </cell>
          <cell r="S550" t="str">
            <v>BT</v>
          </cell>
          <cell r="T550" t="str">
            <v>NA</v>
          </cell>
          <cell r="Z550" t="str">
            <v>RTS 193 JS2 EMC 07/09/2020</v>
          </cell>
          <cell r="AA550" t="str">
            <v>E</v>
          </cell>
          <cell r="AB550" t="str">
            <v>Mécanique</v>
          </cell>
          <cell r="AC550" t="str">
            <v>EMC</v>
          </cell>
          <cell r="AD550" t="str">
            <v>ST ET.4-10546</v>
          </cell>
          <cell r="AE550" t="str">
            <v>Documentation relative à l’étude et à la réalisation de systèmes mécaniques, électrotechniques, pneumatiques et hydrauliques</v>
          </cell>
          <cell r="AF550" t="str">
            <v>3.1.1.3</v>
          </cell>
          <cell r="AI550">
            <v>1</v>
          </cell>
          <cell r="AN550" t="str">
            <v>FP</v>
          </cell>
          <cell r="AP550" t="str">
            <v>FD</v>
          </cell>
          <cell r="CH550" t="e">
            <v>#N/A</v>
          </cell>
          <cell r="CI550" t="e">
            <v>#N/A</v>
          </cell>
          <cell r="CJ550" t="e">
            <v>#N/A</v>
          </cell>
        </row>
        <row r="551">
          <cell r="B551" t="str">
            <v>Ligne_198.3.2.6_PPD</v>
          </cell>
          <cell r="C551" t="str">
            <v>198.3.2.6</v>
          </cell>
          <cell r="E551" t="str">
            <v>Documentation des produits mécanique (DD?)</v>
          </cell>
          <cell r="G551" t="str">
            <v>ENSEMBLE CHASSIS NU</v>
          </cell>
          <cell r="R551" t="str">
            <v>BT</v>
          </cell>
          <cell r="S551" t="str">
            <v>BT</v>
          </cell>
          <cell r="T551" t="str">
            <v>NA</v>
          </cell>
          <cell r="Z551" t="str">
            <v>RTS 193 JS2 EMC 07/09/2020</v>
          </cell>
          <cell r="AA551" t="str">
            <v>E</v>
          </cell>
          <cell r="AB551" t="str">
            <v>Mécanique</v>
          </cell>
          <cell r="AC551" t="str">
            <v>EMC</v>
          </cell>
          <cell r="AD551" t="str">
            <v>ST ET.4-10546</v>
          </cell>
          <cell r="AE551" t="str">
            <v>Documentation relative à l’étude et à la réalisation de systèmes mécaniques, électrotechniques, pneumatiques et hydrauliques</v>
          </cell>
          <cell r="AF551" t="str">
            <v>3.1.1.3</v>
          </cell>
          <cell r="AI551">
            <v>1</v>
          </cell>
          <cell r="AN551" t="str">
            <v>FP</v>
          </cell>
          <cell r="AP551" t="str">
            <v>FD</v>
          </cell>
          <cell r="CH551" t="e">
            <v>#N/A</v>
          </cell>
          <cell r="CI551" t="e">
            <v>#N/A</v>
          </cell>
          <cell r="CJ551" t="e">
            <v>#N/A</v>
          </cell>
        </row>
        <row r="552">
          <cell r="B552" t="str">
            <v>Ligne_198.3.2.7_PPD</v>
          </cell>
          <cell r="C552" t="str">
            <v>198.3.2.7</v>
          </cell>
          <cell r="E552" t="str">
            <v>Documentation des produits mécanique (DD?)</v>
          </cell>
          <cell r="G552" t="str">
            <v>UNDERFRAME_CENTRAL_PART</v>
          </cell>
          <cell r="R552" t="str">
            <v>BT</v>
          </cell>
          <cell r="S552" t="str">
            <v>BT</v>
          </cell>
          <cell r="T552" t="str">
            <v>NA</v>
          </cell>
          <cell r="Z552" t="str">
            <v>RTS 193 JS2 EMC 07/09/2020</v>
          </cell>
          <cell r="AA552" t="str">
            <v>E</v>
          </cell>
          <cell r="AB552" t="str">
            <v>Mécanique</v>
          </cell>
          <cell r="AC552" t="str">
            <v>EMC</v>
          </cell>
          <cell r="AD552" t="str">
            <v>ST ET.4-10546</v>
          </cell>
          <cell r="AE552" t="str">
            <v>Documentation relative à l’étude et à la réalisation de systèmes mécaniques, électrotechniques, pneumatiques et hydrauliques</v>
          </cell>
          <cell r="AF552" t="str">
            <v>3.1.1.3</v>
          </cell>
          <cell r="AI552">
            <v>1</v>
          </cell>
          <cell r="AN552" t="str">
            <v>FP</v>
          </cell>
          <cell r="AP552" t="str">
            <v>FD</v>
          </cell>
          <cell r="CH552" t="e">
            <v>#N/A</v>
          </cell>
          <cell r="CI552" t="e">
            <v>#N/A</v>
          </cell>
          <cell r="CJ552" t="e">
            <v>#N/A</v>
          </cell>
        </row>
        <row r="553">
          <cell r="B553" t="str">
            <v>Ligne_198.3.2.8_PPD</v>
          </cell>
          <cell r="C553" t="str">
            <v>198.3.2.8</v>
          </cell>
          <cell r="E553" t="str">
            <v>Documentation des produits mécanique (DD?)</v>
          </cell>
          <cell r="G553" t="str">
            <v>LONGERON DROIT</v>
          </cell>
          <cell r="R553" t="str">
            <v>BT</v>
          </cell>
          <cell r="S553" t="str">
            <v>BT</v>
          </cell>
          <cell r="T553" t="str">
            <v>NA</v>
          </cell>
          <cell r="Z553" t="str">
            <v>RTS 193 JS2 EMC 07/09/2020</v>
          </cell>
          <cell r="AA553" t="str">
            <v>E</v>
          </cell>
          <cell r="AB553" t="str">
            <v>Mécanique</v>
          </cell>
          <cell r="AC553" t="str">
            <v>EMC</v>
          </cell>
          <cell r="AD553" t="str">
            <v>ST ET.4-10546</v>
          </cell>
          <cell r="AE553" t="str">
            <v>Documentation relative à l’étude et à la réalisation de systèmes mécaniques, électrotechniques, pneumatiques et hydrauliques</v>
          </cell>
          <cell r="AF553" t="str">
            <v>3.1.1.3</v>
          </cell>
          <cell r="AI553">
            <v>1</v>
          </cell>
          <cell r="AN553" t="str">
            <v>FP</v>
          </cell>
          <cell r="AP553" t="str">
            <v>FD</v>
          </cell>
          <cell r="CH553" t="e">
            <v>#N/A</v>
          </cell>
          <cell r="CI553" t="e">
            <v>#N/A</v>
          </cell>
          <cell r="CJ553" t="e">
            <v>#N/A</v>
          </cell>
        </row>
        <row r="554">
          <cell r="B554" t="str">
            <v>Ligne_198.3.2.9_PPD</v>
          </cell>
          <cell r="C554" t="str">
            <v>198.3.2.9</v>
          </cell>
          <cell r="E554" t="str">
            <v>Documentation des produits mécanique (DD?)</v>
          </cell>
          <cell r="G554" t="str">
            <v>LONGERON GAUCHE</v>
          </cell>
          <cell r="R554" t="str">
            <v>BT</v>
          </cell>
          <cell r="S554" t="str">
            <v>BT</v>
          </cell>
          <cell r="T554" t="str">
            <v>NA</v>
          </cell>
          <cell r="Z554" t="str">
            <v>RTS 193 JS2 EMC 07/09/2020</v>
          </cell>
          <cell r="AA554" t="str">
            <v>E</v>
          </cell>
          <cell r="AB554" t="str">
            <v>Mécanique</v>
          </cell>
          <cell r="AC554" t="str">
            <v>EMC</v>
          </cell>
          <cell r="AD554" t="str">
            <v>ST ET.4-10546</v>
          </cell>
          <cell r="AE554" t="str">
            <v>Documentation relative à l’étude et à la réalisation de systèmes mécaniques, électrotechniques, pneumatiques et hydrauliques</v>
          </cell>
          <cell r="AF554" t="str">
            <v>3.1.1.3</v>
          </cell>
          <cell r="AI554">
            <v>1</v>
          </cell>
          <cell r="AN554" t="str">
            <v>FP</v>
          </cell>
          <cell r="AP554" t="str">
            <v>FD</v>
          </cell>
          <cell r="CH554" t="e">
            <v>#N/A</v>
          </cell>
          <cell r="CI554" t="e">
            <v>#N/A</v>
          </cell>
          <cell r="CJ554" t="e">
            <v>#N/A</v>
          </cell>
        </row>
        <row r="555">
          <cell r="B555" t="str">
            <v>Ligne_198.3.2.10_PPD</v>
          </cell>
          <cell r="C555" t="str">
            <v>198.3.2.10</v>
          </cell>
          <cell r="E555" t="str">
            <v>Documentation des produits mécanique (DD?)</v>
          </cell>
          <cell r="G555" t="str">
            <v>TRAVERSE OMEGA 2</v>
          </cell>
          <cell r="R555" t="str">
            <v>BT</v>
          </cell>
          <cell r="S555" t="str">
            <v>BT</v>
          </cell>
          <cell r="T555" t="str">
            <v>NA</v>
          </cell>
          <cell r="Z555" t="str">
            <v>RTS 193 JS2 EMC 07/09/2020</v>
          </cell>
          <cell r="AA555" t="str">
            <v>E</v>
          </cell>
          <cell r="AB555" t="str">
            <v>Mécanique</v>
          </cell>
          <cell r="AC555" t="str">
            <v>EMC</v>
          </cell>
          <cell r="AD555" t="str">
            <v>ST ET.4-10546</v>
          </cell>
          <cell r="AE555" t="str">
            <v>Documentation relative à l’étude et à la réalisation de systèmes mécaniques, électrotechniques, pneumatiques et hydrauliques</v>
          </cell>
          <cell r="AF555" t="str">
            <v>3.1.1.3</v>
          </cell>
          <cell r="AI555">
            <v>1</v>
          </cell>
          <cell r="AN555" t="str">
            <v>FP</v>
          </cell>
          <cell r="AP555" t="str">
            <v>FD</v>
          </cell>
          <cell r="CH555" t="e">
            <v>#N/A</v>
          </cell>
          <cell r="CI555" t="e">
            <v>#N/A</v>
          </cell>
          <cell r="CJ555" t="e">
            <v>#N/A</v>
          </cell>
        </row>
        <row r="556">
          <cell r="B556" t="str">
            <v>Ligne_198.3.2.11_PPD</v>
          </cell>
          <cell r="C556" t="str">
            <v>198.3.2.11</v>
          </cell>
          <cell r="E556" t="str">
            <v>Documentation des produits mécanique (DD?)</v>
          </cell>
          <cell r="G556" t="str">
            <v>TRAVERSE DOUBLE</v>
          </cell>
          <cell r="R556" t="str">
            <v>BT</v>
          </cell>
          <cell r="S556" t="str">
            <v>BT</v>
          </cell>
          <cell r="T556" t="str">
            <v>NA</v>
          </cell>
          <cell r="Z556" t="str">
            <v>RTS 193 JS2 EMC 07/09/2020</v>
          </cell>
          <cell r="AA556" t="str">
            <v>E</v>
          </cell>
          <cell r="AB556" t="str">
            <v>Mécanique</v>
          </cell>
          <cell r="AC556" t="str">
            <v>EMC</v>
          </cell>
          <cell r="AD556" t="str">
            <v>ST ET.4-10546</v>
          </cell>
          <cell r="AE556" t="str">
            <v>Documentation relative à l’étude et à la réalisation de systèmes mécaniques, électrotechniques, pneumatiques et hydrauliques</v>
          </cell>
          <cell r="AF556" t="str">
            <v>3.1.1.3</v>
          </cell>
          <cell r="AI556">
            <v>1</v>
          </cell>
          <cell r="AN556" t="str">
            <v>FP</v>
          </cell>
          <cell r="AP556" t="str">
            <v>FD</v>
          </cell>
          <cell r="CH556" t="e">
            <v>#N/A</v>
          </cell>
          <cell r="CI556" t="e">
            <v>#N/A</v>
          </cell>
          <cell r="CJ556" t="e">
            <v>#N/A</v>
          </cell>
        </row>
        <row r="557">
          <cell r="B557" t="str">
            <v>Ligne_198.3.2.12_PPD</v>
          </cell>
          <cell r="C557" t="str">
            <v>198.3.2.12</v>
          </cell>
          <cell r="E557" t="str">
            <v>Documentation des produits mécanique (DD?)</v>
          </cell>
          <cell r="G557" t="str">
            <v>ENS TRAVERSE</v>
          </cell>
          <cell r="R557" t="str">
            <v>BT</v>
          </cell>
          <cell r="S557" t="str">
            <v>BT</v>
          </cell>
          <cell r="T557" t="str">
            <v>NA</v>
          </cell>
          <cell r="Z557" t="str">
            <v>RTS 193 JS2 EMC 07/09/2020</v>
          </cell>
          <cell r="AA557" t="str">
            <v>E</v>
          </cell>
          <cell r="AB557" t="str">
            <v>Mécanique</v>
          </cell>
          <cell r="AC557" t="str">
            <v>EMC</v>
          </cell>
          <cell r="AD557" t="str">
            <v>ST ET.4-10546</v>
          </cell>
          <cell r="AE557" t="str">
            <v>Documentation relative à l’étude et à la réalisation de systèmes mécaniques, électrotechniques, pneumatiques et hydrauliques</v>
          </cell>
          <cell r="AF557" t="str">
            <v>3.1.1.3</v>
          </cell>
          <cell r="AI557">
            <v>1</v>
          </cell>
          <cell r="AN557" t="str">
            <v>FP</v>
          </cell>
          <cell r="AP557" t="str">
            <v>FD</v>
          </cell>
          <cell r="CH557" t="e">
            <v>#N/A</v>
          </cell>
          <cell r="CI557" t="e">
            <v>#N/A</v>
          </cell>
          <cell r="CJ557" t="e">
            <v>#N/A</v>
          </cell>
        </row>
        <row r="558">
          <cell r="B558" t="str">
            <v>Ligne_198.3.2.13_PPD</v>
          </cell>
          <cell r="C558" t="str">
            <v>198.3.2.13</v>
          </cell>
          <cell r="E558" t="str">
            <v>Documentation des produits mécanique (DD?)</v>
          </cell>
          <cell r="G558" t="str">
            <v>CHASSIS_EXT_A</v>
          </cell>
          <cell r="R558" t="str">
            <v>BT</v>
          </cell>
          <cell r="S558" t="str">
            <v>BT</v>
          </cell>
          <cell r="T558" t="str">
            <v>NA</v>
          </cell>
          <cell r="Z558" t="str">
            <v>RTS 193 JS2 EMC 07/09/2020</v>
          </cell>
          <cell r="AA558" t="str">
            <v>E</v>
          </cell>
          <cell r="AB558" t="str">
            <v>Mécanique</v>
          </cell>
          <cell r="AC558" t="str">
            <v>EMC</v>
          </cell>
          <cell r="AD558" t="str">
            <v>ST ET.4-10546</v>
          </cell>
          <cell r="AE558" t="str">
            <v>Documentation relative à l’étude et à la réalisation de systèmes mécaniques, électrotechniques, pneumatiques et hydrauliques</v>
          </cell>
          <cell r="AF558" t="str">
            <v>3.1.1.3</v>
          </cell>
          <cell r="AI558">
            <v>1</v>
          </cell>
          <cell r="AN558" t="str">
            <v>FP</v>
          </cell>
          <cell r="AP558" t="str">
            <v>FD</v>
          </cell>
          <cell r="CH558" t="e">
            <v>#N/A</v>
          </cell>
          <cell r="CI558" t="e">
            <v>#N/A</v>
          </cell>
          <cell r="CJ558" t="e">
            <v>#N/A</v>
          </cell>
        </row>
        <row r="559">
          <cell r="B559" t="str">
            <v>Ligne_198.3.2.14_PPD</v>
          </cell>
          <cell r="C559" t="str">
            <v>198.3.2.14</v>
          </cell>
          <cell r="E559" t="str">
            <v>Documentation des produits mécanique (DD?)</v>
          </cell>
          <cell r="G559" t="str">
            <v>AVANT CORPS EXT CAB</v>
          </cell>
          <cell r="R559" t="str">
            <v>BT</v>
          </cell>
          <cell r="S559" t="str">
            <v>BT</v>
          </cell>
          <cell r="T559" t="str">
            <v>NA</v>
          </cell>
          <cell r="Z559" t="str">
            <v>RTS 193 JS2 EMC 07/09/2020</v>
          </cell>
          <cell r="AA559" t="str">
            <v>E</v>
          </cell>
          <cell r="AB559" t="str">
            <v>Mécanique</v>
          </cell>
          <cell r="AC559" t="str">
            <v>EMC</v>
          </cell>
          <cell r="AD559" t="str">
            <v>ST ET.4-10546</v>
          </cell>
          <cell r="AE559" t="str">
            <v>Documentation relative à l’étude et à la réalisation de systèmes mécaniques, électrotechniques, pneumatiques et hydrauliques</v>
          </cell>
          <cell r="AF559" t="str">
            <v>3.1.1.3</v>
          </cell>
          <cell r="AI559">
            <v>1</v>
          </cell>
          <cell r="AN559" t="str">
            <v>FP</v>
          </cell>
          <cell r="AP559" t="str">
            <v>FD</v>
          </cell>
          <cell r="CH559" t="e">
            <v>#N/A</v>
          </cell>
          <cell r="CI559" t="e">
            <v>#N/A</v>
          </cell>
          <cell r="CJ559" t="e">
            <v>#N/A</v>
          </cell>
        </row>
        <row r="560">
          <cell r="B560" t="str">
            <v>Ligne_198.3.2.15_PPD</v>
          </cell>
          <cell r="C560" t="str">
            <v>198.3.2.15</v>
          </cell>
          <cell r="E560" t="str">
            <v>Documentation des produits mécanique (DD?)</v>
          </cell>
          <cell r="G560" t="str">
            <v>TRAVERSE_TETE_EXT_CAB</v>
          </cell>
          <cell r="R560" t="str">
            <v>BT</v>
          </cell>
          <cell r="S560" t="str">
            <v>BT</v>
          </cell>
          <cell r="T560" t="str">
            <v>NA</v>
          </cell>
          <cell r="Z560" t="str">
            <v>RTS 193 JS2 EMC 07/09/2020</v>
          </cell>
          <cell r="AA560" t="str">
            <v>E</v>
          </cell>
          <cell r="AB560" t="str">
            <v>Mécanique</v>
          </cell>
          <cell r="AC560" t="str">
            <v>EMC</v>
          </cell>
          <cell r="AD560" t="str">
            <v>ST ET.4-10546</v>
          </cell>
          <cell r="AE560" t="str">
            <v>Documentation relative à l’étude et à la réalisation de systèmes mécaniques, électrotechniques, pneumatiques et hydrauliques</v>
          </cell>
          <cell r="AF560" t="str">
            <v>3.1.1.3</v>
          </cell>
          <cell r="AI560">
            <v>1</v>
          </cell>
          <cell r="AN560" t="str">
            <v>FP</v>
          </cell>
          <cell r="AP560" t="str">
            <v>FD</v>
          </cell>
          <cell r="CH560" t="e">
            <v>#N/A</v>
          </cell>
          <cell r="CI560" t="e">
            <v>#N/A</v>
          </cell>
          <cell r="CJ560" t="e">
            <v>#N/A</v>
          </cell>
        </row>
        <row r="561">
          <cell r="B561" t="str">
            <v>Ligne_198.3.2.16_PPD</v>
          </cell>
          <cell r="C561" t="str">
            <v>198.3.2.16</v>
          </cell>
          <cell r="E561" t="str">
            <v>Documentation des produits mécanique (DD?)</v>
          </cell>
          <cell r="G561" t="str">
            <v>ENSEMBLE RENFORT CENTRAL</v>
          </cell>
          <cell r="R561" t="str">
            <v>BT</v>
          </cell>
          <cell r="S561" t="str">
            <v>BT</v>
          </cell>
          <cell r="T561" t="str">
            <v>NA</v>
          </cell>
          <cell r="Z561" t="str">
            <v>RTS 193 JS2 EMC 07/09/2020</v>
          </cell>
          <cell r="AA561" t="str">
            <v>E</v>
          </cell>
          <cell r="AB561" t="str">
            <v>Mécanique</v>
          </cell>
          <cell r="AC561" t="str">
            <v>EMC</v>
          </cell>
          <cell r="AD561" t="str">
            <v>ST ET.4-10546</v>
          </cell>
          <cell r="AE561" t="str">
            <v>Documentation relative à l’étude et à la réalisation de systèmes mécaniques, électrotechniques, pneumatiques et hydrauliques</v>
          </cell>
          <cell r="AF561" t="str">
            <v>3.1.1.3</v>
          </cell>
          <cell r="AI561">
            <v>1</v>
          </cell>
          <cell r="AN561" t="str">
            <v>FP</v>
          </cell>
          <cell r="AP561" t="str">
            <v>FD</v>
          </cell>
          <cell r="CH561" t="e">
            <v>#N/A</v>
          </cell>
          <cell r="CI561" t="e">
            <v>#N/A</v>
          </cell>
          <cell r="CJ561" t="e">
            <v>#N/A</v>
          </cell>
        </row>
        <row r="562">
          <cell r="B562" t="str">
            <v>Ligne_198.3.2.17_PPD</v>
          </cell>
          <cell r="C562" t="str">
            <v>198.3.2.17</v>
          </cell>
          <cell r="E562" t="str">
            <v>Documentation des produits mécanique (DD?)</v>
          </cell>
          <cell r="G562" t="str">
            <v>LONGERON DROIT</v>
          </cell>
          <cell r="R562" t="str">
            <v>BT</v>
          </cell>
          <cell r="S562" t="str">
            <v>BT</v>
          </cell>
          <cell r="T562" t="str">
            <v>NA</v>
          </cell>
          <cell r="Z562" t="str">
            <v>RTS 193 JS2 EMC 07/09/2020</v>
          </cell>
          <cell r="AA562" t="str">
            <v>E</v>
          </cell>
          <cell r="AB562" t="str">
            <v>Mécanique</v>
          </cell>
          <cell r="AC562" t="str">
            <v>EMC</v>
          </cell>
          <cell r="AD562" t="str">
            <v>ST ET.4-10546</v>
          </cell>
          <cell r="AE562" t="str">
            <v>Documentation relative à l’étude et à la réalisation de systèmes mécaniques, électrotechniques, pneumatiques et hydrauliques</v>
          </cell>
          <cell r="AF562" t="str">
            <v>3.1.1.3</v>
          </cell>
          <cell r="AI562">
            <v>1</v>
          </cell>
          <cell r="AN562" t="str">
            <v>FP</v>
          </cell>
          <cell r="AP562" t="str">
            <v>FD</v>
          </cell>
          <cell r="CH562" t="e">
            <v>#N/A</v>
          </cell>
          <cell r="CI562" t="e">
            <v>#N/A</v>
          </cell>
          <cell r="CJ562" t="e">
            <v>#N/A</v>
          </cell>
        </row>
        <row r="563">
          <cell r="B563" t="str">
            <v>Ligne_198.3.2.18_PPD</v>
          </cell>
          <cell r="C563" t="str">
            <v>198.3.2.18</v>
          </cell>
          <cell r="E563" t="str">
            <v>Documentation des produits mécanique (DD?)</v>
          </cell>
          <cell r="G563" t="str">
            <v>LONGERON GAUCHE</v>
          </cell>
          <cell r="R563" t="str">
            <v>BT</v>
          </cell>
          <cell r="S563" t="str">
            <v>BT</v>
          </cell>
          <cell r="T563" t="str">
            <v>NA</v>
          </cell>
          <cell r="Z563" t="str">
            <v>RTS 193 JS2 EMC 07/09/2020</v>
          </cell>
          <cell r="AA563" t="str">
            <v>E</v>
          </cell>
          <cell r="AB563" t="str">
            <v>Mécanique</v>
          </cell>
          <cell r="AC563" t="str">
            <v>EMC</v>
          </cell>
          <cell r="AD563" t="str">
            <v>ST ET.4-10546</v>
          </cell>
          <cell r="AE563" t="str">
            <v>Documentation relative à l’étude et à la réalisation de systèmes mécaniques, électrotechniques, pneumatiques et hydrauliques</v>
          </cell>
          <cell r="AF563" t="str">
            <v>3.1.1.3</v>
          </cell>
          <cell r="AI563">
            <v>1</v>
          </cell>
          <cell r="AN563" t="str">
            <v>FP</v>
          </cell>
          <cell r="AP563" t="str">
            <v>FD</v>
          </cell>
          <cell r="CH563" t="e">
            <v>#N/A</v>
          </cell>
          <cell r="CI563" t="e">
            <v>#N/A</v>
          </cell>
          <cell r="CJ563" t="e">
            <v>#N/A</v>
          </cell>
        </row>
        <row r="564">
          <cell r="B564" t="str">
            <v>Ligne_198.3.2.19_PPD</v>
          </cell>
          <cell r="C564" t="str">
            <v>198.3.2.19</v>
          </cell>
          <cell r="E564" t="str">
            <v>Documentation des produits mécanique (DD?)</v>
          </cell>
          <cell r="G564" t="str">
            <v>TRAVERSE ARRIERE</v>
          </cell>
          <cell r="R564" t="str">
            <v>BT</v>
          </cell>
          <cell r="S564" t="str">
            <v>BT</v>
          </cell>
          <cell r="T564" t="str">
            <v>NA</v>
          </cell>
          <cell r="Z564" t="str">
            <v>RTS 193 JS2 EMC 07/09/2020</v>
          </cell>
          <cell r="AA564" t="str">
            <v>E</v>
          </cell>
          <cell r="AB564" t="str">
            <v>Mécanique</v>
          </cell>
          <cell r="AC564" t="str">
            <v>EMC</v>
          </cell>
          <cell r="AD564" t="str">
            <v>ST ET.4-10546</v>
          </cell>
          <cell r="AE564" t="str">
            <v>Documentation relative à l’étude et à la réalisation de systèmes mécaniques, électrotechniques, pneumatiques et hydrauliques</v>
          </cell>
          <cell r="AF564" t="str">
            <v>3.1.1.3</v>
          </cell>
          <cell r="AI564">
            <v>1</v>
          </cell>
          <cell r="AN564" t="str">
            <v>FP</v>
          </cell>
          <cell r="AP564" t="str">
            <v>FD</v>
          </cell>
          <cell r="CH564" t="e">
            <v>#N/A</v>
          </cell>
          <cell r="CI564" t="e">
            <v>#N/A</v>
          </cell>
          <cell r="CJ564" t="e">
            <v>#N/A</v>
          </cell>
        </row>
        <row r="565">
          <cell r="B565" t="str">
            <v>Ligne_198.3.2.20_PPD</v>
          </cell>
          <cell r="C565" t="str">
            <v>198.3.2.20</v>
          </cell>
          <cell r="E565" t="str">
            <v>Documentation des produits mécanique (DD?)</v>
          </cell>
          <cell r="G565" t="str">
            <v>ENSEMBLE TRAVERSE PIVOT</v>
          </cell>
          <cell r="R565" t="str">
            <v>BT</v>
          </cell>
          <cell r="S565" t="str">
            <v>BT</v>
          </cell>
          <cell r="T565" t="str">
            <v>NA</v>
          </cell>
          <cell r="Z565" t="str">
            <v>RTS 193 JS2 EMC 07/09/2020</v>
          </cell>
          <cell r="AA565" t="str">
            <v>E</v>
          </cell>
          <cell r="AB565" t="str">
            <v>Mécanique</v>
          </cell>
          <cell r="AC565" t="str">
            <v>EMC</v>
          </cell>
          <cell r="AD565" t="str">
            <v>ST ET.4-10546</v>
          </cell>
          <cell r="AE565" t="str">
            <v>Documentation relative à l’étude et à la réalisation de systèmes mécaniques, électrotechniques, pneumatiques et hydrauliques</v>
          </cell>
          <cell r="AF565" t="str">
            <v>3.1.1.3</v>
          </cell>
          <cell r="AI565">
            <v>1</v>
          </cell>
          <cell r="AN565" t="str">
            <v>FP</v>
          </cell>
          <cell r="AP565" t="str">
            <v>FD</v>
          </cell>
          <cell r="CH565" t="e">
            <v>#N/A</v>
          </cell>
          <cell r="CI565" t="e">
            <v>#N/A</v>
          </cell>
          <cell r="CJ565" t="e">
            <v>#N/A</v>
          </cell>
        </row>
        <row r="566">
          <cell r="B566" t="str">
            <v>Ligne_198.3.2.21_PPD</v>
          </cell>
          <cell r="C566" t="str">
            <v>198.3.2.21</v>
          </cell>
          <cell r="E566" t="str">
            <v>Documentation des produits mécanique (DD?)</v>
          </cell>
          <cell r="G566" t="str">
            <v>ENSEMBLE TRAVERSE PIVOT</v>
          </cell>
          <cell r="R566" t="str">
            <v>BT</v>
          </cell>
          <cell r="S566" t="str">
            <v>BT</v>
          </cell>
          <cell r="T566" t="str">
            <v>NA</v>
          </cell>
          <cell r="Z566" t="str">
            <v>RTS 193 JS2 EMC 07/09/2020</v>
          </cell>
          <cell r="AA566" t="str">
            <v>E</v>
          </cell>
          <cell r="AB566" t="str">
            <v>Mécanique</v>
          </cell>
          <cell r="AC566" t="str">
            <v>EMC</v>
          </cell>
          <cell r="AD566" t="str">
            <v>ST ET.4-10546</v>
          </cell>
          <cell r="AE566" t="str">
            <v>Documentation relative à l’étude et à la réalisation de systèmes mécaniques, électrotechniques, pneumatiques et hydrauliques</v>
          </cell>
          <cell r="AF566" t="str">
            <v>3.1.1.3</v>
          </cell>
          <cell r="AI566">
            <v>1</v>
          </cell>
          <cell r="AN566" t="str">
            <v>FP</v>
          </cell>
          <cell r="AP566" t="str">
            <v>FD</v>
          </cell>
          <cell r="CH566" t="e">
            <v>#N/A</v>
          </cell>
          <cell r="CI566" t="e">
            <v>#N/A</v>
          </cell>
          <cell r="CJ566" t="e">
            <v>#N/A</v>
          </cell>
        </row>
        <row r="567">
          <cell r="B567" t="str">
            <v>Ligne_198.3.2.22_PPD</v>
          </cell>
          <cell r="C567" t="str">
            <v>198.3.2.22</v>
          </cell>
          <cell r="E567" t="str">
            <v>Documentation des produits mécanique (DD?)</v>
          </cell>
          <cell r="G567" t="str">
            <v>ENSEMBLE TOLE LATERALE</v>
          </cell>
          <cell r="R567" t="str">
            <v>BT</v>
          </cell>
          <cell r="S567" t="str">
            <v>BT</v>
          </cell>
          <cell r="T567" t="str">
            <v>NA</v>
          </cell>
          <cell r="Z567" t="str">
            <v>RTS 193 JS2 EMC 07/09/2020</v>
          </cell>
          <cell r="AA567" t="str">
            <v>E</v>
          </cell>
          <cell r="AB567" t="str">
            <v>Mécanique</v>
          </cell>
          <cell r="AC567" t="str">
            <v>EMC</v>
          </cell>
          <cell r="AD567" t="str">
            <v>ST ET.4-10546</v>
          </cell>
          <cell r="AE567" t="str">
            <v>Documentation relative à l’étude et à la réalisation de systèmes mécaniques, électrotechniques, pneumatiques et hydrauliques</v>
          </cell>
          <cell r="AF567" t="str">
            <v>3.1.1.3</v>
          </cell>
          <cell r="AI567">
            <v>1</v>
          </cell>
          <cell r="AN567" t="str">
            <v>FP</v>
          </cell>
          <cell r="AP567" t="str">
            <v>FD</v>
          </cell>
          <cell r="CH567" t="e">
            <v>#N/A</v>
          </cell>
          <cell r="CI567" t="e">
            <v>#N/A</v>
          </cell>
          <cell r="CJ567" t="e">
            <v>#N/A</v>
          </cell>
        </row>
        <row r="568">
          <cell r="B568" t="str">
            <v>Ligne_198.3.2.23_PPD</v>
          </cell>
          <cell r="C568" t="str">
            <v>198.3.2.23</v>
          </cell>
          <cell r="E568" t="str">
            <v>Documentation des produits mécanique (DD?)</v>
          </cell>
          <cell r="G568" t="str">
            <v>TUBE CENTRAL</v>
          </cell>
          <cell r="R568" t="str">
            <v>BT</v>
          </cell>
          <cell r="S568" t="str">
            <v>BT</v>
          </cell>
          <cell r="T568" t="str">
            <v>NA</v>
          </cell>
          <cell r="Z568" t="str">
            <v>RTS 193 JS2 EMC 07/09/2020</v>
          </cell>
          <cell r="AA568" t="str">
            <v>E</v>
          </cell>
          <cell r="AB568" t="str">
            <v>Mécanique</v>
          </cell>
          <cell r="AC568" t="str">
            <v>EMC</v>
          </cell>
          <cell r="AD568" t="str">
            <v>ST ET.4-10546</v>
          </cell>
          <cell r="AE568" t="str">
            <v>Documentation relative à l’étude et à la réalisation de systèmes mécaniques, électrotechniques, pneumatiques et hydrauliques</v>
          </cell>
          <cell r="AF568" t="str">
            <v>3.1.1.3</v>
          </cell>
          <cell r="AI568">
            <v>1</v>
          </cell>
          <cell r="AN568" t="str">
            <v>FP</v>
          </cell>
          <cell r="AP568" t="str">
            <v>FD</v>
          </cell>
          <cell r="CH568" t="e">
            <v>#N/A</v>
          </cell>
          <cell r="CI568" t="e">
            <v>#N/A</v>
          </cell>
          <cell r="CJ568" t="e">
            <v>#N/A</v>
          </cell>
        </row>
        <row r="569">
          <cell r="B569" t="str">
            <v>Ligne_198.3.2.24_PPD</v>
          </cell>
          <cell r="C569" t="str">
            <v>198.3.2.24</v>
          </cell>
          <cell r="E569" t="str">
            <v>Documentation des produits mécanique (DD?)</v>
          </cell>
          <cell r="G569" t="str">
            <v>CHASSIS_EXT_B</v>
          </cell>
          <cell r="R569" t="str">
            <v>BT</v>
          </cell>
          <cell r="S569" t="str">
            <v>BT</v>
          </cell>
          <cell r="T569" t="str">
            <v>NA</v>
          </cell>
          <cell r="Z569" t="str">
            <v>RTS 193 JS2 EMC 07/09/2020</v>
          </cell>
          <cell r="AA569" t="str">
            <v>E</v>
          </cell>
          <cell r="AB569" t="str">
            <v>Mécanique</v>
          </cell>
          <cell r="AC569" t="str">
            <v>EMC</v>
          </cell>
          <cell r="AD569" t="str">
            <v>ST ET.4-10546</v>
          </cell>
          <cell r="AE569" t="str">
            <v>Documentation relative à l’étude et à la réalisation de systèmes mécaniques, électrotechniques, pneumatiques et hydrauliques</v>
          </cell>
          <cell r="AF569" t="str">
            <v>3.1.1.3</v>
          </cell>
          <cell r="AI569">
            <v>1</v>
          </cell>
          <cell r="AN569" t="str">
            <v>FP</v>
          </cell>
          <cell r="AP569" t="str">
            <v>FD</v>
          </cell>
          <cell r="CH569" t="e">
            <v>#N/A</v>
          </cell>
          <cell r="CI569" t="e">
            <v>#N/A</v>
          </cell>
          <cell r="CJ569" t="e">
            <v>#N/A</v>
          </cell>
        </row>
        <row r="570">
          <cell r="B570" t="str">
            <v>Ligne_198.3.2.25_PPD</v>
          </cell>
          <cell r="C570" t="str">
            <v>198.3.2.25</v>
          </cell>
          <cell r="E570" t="str">
            <v>Documentation des produits mécanique (DD?)</v>
          </cell>
          <cell r="G570" t="str">
            <v>TRAVERSE DE TETE INTER</v>
          </cell>
          <cell r="R570" t="str">
            <v>BT</v>
          </cell>
          <cell r="S570" t="str">
            <v>BT</v>
          </cell>
          <cell r="T570" t="str">
            <v>NA</v>
          </cell>
          <cell r="Z570" t="str">
            <v>RTS 193 JS2 EMC 07/09/2020</v>
          </cell>
          <cell r="AA570" t="str">
            <v>E</v>
          </cell>
          <cell r="AB570" t="str">
            <v>Mécanique</v>
          </cell>
          <cell r="AC570" t="str">
            <v>EMC</v>
          </cell>
          <cell r="AD570" t="str">
            <v>ST ET.4-10546</v>
          </cell>
          <cell r="AE570" t="str">
            <v>Documentation relative à l’étude et à la réalisation de systèmes mécaniques, électrotechniques, pneumatiques et hydrauliques</v>
          </cell>
          <cell r="AF570" t="str">
            <v>3.1.1.3</v>
          </cell>
          <cell r="AI570">
            <v>1</v>
          </cell>
          <cell r="AN570" t="str">
            <v>FP</v>
          </cell>
          <cell r="AP570" t="str">
            <v>FD</v>
          </cell>
          <cell r="CH570" t="e">
            <v>#N/A</v>
          </cell>
          <cell r="CI570" t="e">
            <v>#N/A</v>
          </cell>
          <cell r="CJ570" t="e">
            <v>#N/A</v>
          </cell>
        </row>
        <row r="571">
          <cell r="B571" t="str">
            <v>Ligne_198.3.2.26_PPD</v>
          </cell>
          <cell r="C571" t="str">
            <v>198.3.2.26</v>
          </cell>
          <cell r="E571" t="str">
            <v>Documentation des produits mécanique (DD?)</v>
          </cell>
          <cell r="G571" t="str">
            <v>ENSEMBLE TOLAGE INFERIEUR</v>
          </cell>
          <cell r="R571" t="str">
            <v>BT</v>
          </cell>
          <cell r="S571" t="str">
            <v>BT</v>
          </cell>
          <cell r="T571" t="str">
            <v>NA</v>
          </cell>
          <cell r="Z571" t="str">
            <v>RTS 193 JS2 EMC 07/09/2020</v>
          </cell>
          <cell r="AA571" t="str">
            <v>E</v>
          </cell>
          <cell r="AB571" t="str">
            <v>Mécanique</v>
          </cell>
          <cell r="AC571" t="str">
            <v>EMC</v>
          </cell>
          <cell r="AD571" t="str">
            <v>ST ET.4-10546</v>
          </cell>
          <cell r="AE571" t="str">
            <v>Documentation relative à l’étude et à la réalisation de systèmes mécaniques, électrotechniques, pneumatiques et hydrauliques</v>
          </cell>
          <cell r="AF571" t="str">
            <v>3.1.1.3</v>
          </cell>
          <cell r="AI571">
            <v>1</v>
          </cell>
          <cell r="AN571" t="str">
            <v>FP</v>
          </cell>
          <cell r="AP571" t="str">
            <v>FD</v>
          </cell>
          <cell r="CH571" t="e">
            <v>#N/A</v>
          </cell>
          <cell r="CI571" t="e">
            <v>#N/A</v>
          </cell>
          <cell r="CJ571" t="e">
            <v>#N/A</v>
          </cell>
        </row>
        <row r="572">
          <cell r="B572" t="str">
            <v>Ligne_198.3.2.27_PPD</v>
          </cell>
          <cell r="C572" t="str">
            <v>198.3.2.27</v>
          </cell>
          <cell r="E572" t="str">
            <v>Documentation des produits mécanique (DD?)</v>
          </cell>
          <cell r="G572" t="str">
            <v>LONGERON DROIT</v>
          </cell>
          <cell r="R572" t="str">
            <v>BT</v>
          </cell>
          <cell r="S572" t="str">
            <v>BT</v>
          </cell>
          <cell r="T572" t="str">
            <v>NA</v>
          </cell>
          <cell r="Z572" t="str">
            <v>RTS 193 JS2 EMC 07/09/2020</v>
          </cell>
          <cell r="AA572" t="str">
            <v>E</v>
          </cell>
          <cell r="AB572" t="str">
            <v>Mécanique</v>
          </cell>
          <cell r="AC572" t="str">
            <v>EMC</v>
          </cell>
          <cell r="AD572" t="str">
            <v>ST ET.4-10546</v>
          </cell>
          <cell r="AE572" t="str">
            <v>Documentation relative à l’étude et à la réalisation de systèmes mécaniques, électrotechniques, pneumatiques et hydrauliques</v>
          </cell>
          <cell r="AF572" t="str">
            <v>3.1.1.3</v>
          </cell>
          <cell r="AI572">
            <v>1</v>
          </cell>
          <cell r="AN572" t="str">
            <v>FP</v>
          </cell>
          <cell r="AP572" t="str">
            <v>FD</v>
          </cell>
          <cell r="CH572" t="e">
            <v>#N/A</v>
          </cell>
          <cell r="CI572" t="e">
            <v>#N/A</v>
          </cell>
          <cell r="CJ572" t="e">
            <v>#N/A</v>
          </cell>
        </row>
        <row r="573">
          <cell r="B573" t="str">
            <v>Ligne_198.3.2.28_PPD</v>
          </cell>
          <cell r="C573" t="str">
            <v>198.3.2.28</v>
          </cell>
          <cell r="E573" t="str">
            <v>Documentation des produits mécanique (DD?)</v>
          </cell>
          <cell r="G573" t="str">
            <v>LONGERON GAUCHE</v>
          </cell>
          <cell r="R573" t="str">
            <v>BT</v>
          </cell>
          <cell r="S573" t="str">
            <v>BT</v>
          </cell>
          <cell r="T573" t="str">
            <v>NA</v>
          </cell>
          <cell r="Z573" t="str">
            <v>RTS 193 JS2 EMC 07/09/2020</v>
          </cell>
          <cell r="AA573" t="str">
            <v>E</v>
          </cell>
          <cell r="AB573" t="str">
            <v>Mécanique</v>
          </cell>
          <cell r="AC573" t="str">
            <v>EMC</v>
          </cell>
          <cell r="AD573" t="str">
            <v>ST ET.4-10546</v>
          </cell>
          <cell r="AE573" t="str">
            <v>Documentation relative à l’étude et à la réalisation de systèmes mécaniques, électrotechniques, pneumatiques et hydrauliques</v>
          </cell>
          <cell r="AF573" t="str">
            <v>3.1.1.3</v>
          </cell>
          <cell r="AI573">
            <v>1</v>
          </cell>
          <cell r="AN573" t="str">
            <v>FP</v>
          </cell>
          <cell r="AP573" t="str">
            <v>FD</v>
          </cell>
          <cell r="CH573" t="e">
            <v>#N/A</v>
          </cell>
          <cell r="CI573" t="e">
            <v>#N/A</v>
          </cell>
          <cell r="CJ573" t="e">
            <v>#N/A</v>
          </cell>
        </row>
        <row r="574">
          <cell r="B574" t="str">
            <v>Ligne_198.3.2.29_PPD</v>
          </cell>
          <cell r="C574" t="str">
            <v>198.3.2.29</v>
          </cell>
          <cell r="E574" t="str">
            <v>Documentation des produits mécanique (DD?)</v>
          </cell>
          <cell r="G574" t="str">
            <v>ENSEMBLE PLATELAGE CHASSIS</v>
          </cell>
          <cell r="R574" t="str">
            <v>BT</v>
          </cell>
          <cell r="S574" t="str">
            <v>BT</v>
          </cell>
          <cell r="T574" t="str">
            <v>NA</v>
          </cell>
          <cell r="Z574" t="str">
            <v>RTS 193 JS2 EMC 07/09/2020</v>
          </cell>
          <cell r="AA574" t="str">
            <v>E</v>
          </cell>
          <cell r="AB574" t="str">
            <v>Mécanique</v>
          </cell>
          <cell r="AC574" t="str">
            <v>EMC</v>
          </cell>
          <cell r="AD574" t="str">
            <v>ST ET.4-10546</v>
          </cell>
          <cell r="AE574" t="str">
            <v>Documentation relative à l’étude et à la réalisation de systèmes mécaniques, électrotechniques, pneumatiques et hydrauliques</v>
          </cell>
          <cell r="AF574" t="str">
            <v>3.1.1.3</v>
          </cell>
          <cell r="AI574">
            <v>1</v>
          </cell>
          <cell r="AN574" t="str">
            <v>FP</v>
          </cell>
          <cell r="AP574" t="str">
            <v>FD</v>
          </cell>
          <cell r="CH574" t="e">
            <v>#N/A</v>
          </cell>
          <cell r="CI574" t="e">
            <v>#N/A</v>
          </cell>
          <cell r="CJ574" t="e">
            <v>#N/A</v>
          </cell>
        </row>
        <row r="575">
          <cell r="B575" t="str">
            <v>Ligne_198.3.2.30_PPD</v>
          </cell>
          <cell r="C575" t="str">
            <v>198.3.2.30</v>
          </cell>
          <cell r="E575" t="str">
            <v>Documentation des produits mécanique (DD?)</v>
          </cell>
          <cell r="G575" t="str">
            <v>ENSEMBLE PLATELAGE CHASSIS</v>
          </cell>
          <cell r="R575" t="str">
            <v>BT</v>
          </cell>
          <cell r="S575" t="str">
            <v>BT</v>
          </cell>
          <cell r="T575" t="str">
            <v>NA</v>
          </cell>
          <cell r="Z575" t="str">
            <v>RTS 193 JS2 EMC 07/09/2020</v>
          </cell>
          <cell r="AA575" t="str">
            <v>E</v>
          </cell>
          <cell r="AB575" t="str">
            <v>Mécanique</v>
          </cell>
          <cell r="AC575" t="str">
            <v>EMC</v>
          </cell>
          <cell r="AD575" t="str">
            <v>ST ET.4-10546</v>
          </cell>
          <cell r="AE575" t="str">
            <v>Documentation relative à l’étude et à la réalisation de systèmes mécaniques, électrotechniques, pneumatiques et hydrauliques</v>
          </cell>
          <cell r="AF575" t="str">
            <v>3.1.1.3</v>
          </cell>
          <cell r="AI575">
            <v>1</v>
          </cell>
          <cell r="AN575" t="str">
            <v>FP</v>
          </cell>
          <cell r="AP575" t="str">
            <v>FD</v>
          </cell>
          <cell r="CH575" t="e">
            <v>#N/A</v>
          </cell>
          <cell r="CI575" t="e">
            <v>#N/A</v>
          </cell>
          <cell r="CJ575" t="e">
            <v>#N/A</v>
          </cell>
        </row>
        <row r="576">
          <cell r="B576" t="str">
            <v>Ligne_198.3.2.31_PPD</v>
          </cell>
          <cell r="C576" t="str">
            <v>198.3.2.31</v>
          </cell>
          <cell r="E576" t="str">
            <v>Documentation des produits mécanique (DD?)</v>
          </cell>
          <cell r="G576" t="str">
            <v>ENSEMBLE PLATELAGE LATERALE DROIT CHASSIS</v>
          </cell>
          <cell r="R576" t="str">
            <v>BT</v>
          </cell>
          <cell r="S576" t="str">
            <v>BT</v>
          </cell>
          <cell r="T576" t="str">
            <v>NA</v>
          </cell>
          <cell r="Z576" t="str">
            <v>RTS 193 JS2 EMC 07/09/2020</v>
          </cell>
          <cell r="AA576" t="str">
            <v>E</v>
          </cell>
          <cell r="AB576" t="str">
            <v>Mécanique</v>
          </cell>
          <cell r="AC576" t="str">
            <v>EMC</v>
          </cell>
          <cell r="AD576" t="str">
            <v>ST ET.4-10546</v>
          </cell>
          <cell r="AE576" t="str">
            <v>Documentation relative à l’étude et à la réalisation de systèmes mécaniques, électrotechniques, pneumatiques et hydrauliques</v>
          </cell>
          <cell r="AF576" t="str">
            <v>3.1.1.3</v>
          </cell>
          <cell r="AI576">
            <v>1</v>
          </cell>
          <cell r="AN576" t="str">
            <v>FP</v>
          </cell>
          <cell r="AP576" t="str">
            <v>FD</v>
          </cell>
          <cell r="CH576" t="e">
            <v>#N/A</v>
          </cell>
          <cell r="CI576" t="e">
            <v>#N/A</v>
          </cell>
          <cell r="CJ576" t="e">
            <v>#N/A</v>
          </cell>
        </row>
        <row r="577">
          <cell r="B577" t="str">
            <v>Ligne_198.3.2.32_PPD</v>
          </cell>
          <cell r="C577" t="str">
            <v>198.3.2.32</v>
          </cell>
          <cell r="E577" t="str">
            <v>Documentation des produits mécanique (DD?)</v>
          </cell>
          <cell r="G577" t="str">
            <v>PLATELAGE LATERAL CHASSIS</v>
          </cell>
          <cell r="R577" t="str">
            <v>BT</v>
          </cell>
          <cell r="S577" t="str">
            <v>BT</v>
          </cell>
          <cell r="T577" t="str">
            <v>NA</v>
          </cell>
          <cell r="Z577" t="str">
            <v>RTS 193 JS2 EMC 07/09/2020</v>
          </cell>
          <cell r="AA577" t="str">
            <v>E</v>
          </cell>
          <cell r="AB577" t="str">
            <v>Mécanique</v>
          </cell>
          <cell r="AC577" t="str">
            <v>EMC</v>
          </cell>
          <cell r="AD577" t="str">
            <v>ST ET.4-10546</v>
          </cell>
          <cell r="AE577" t="str">
            <v>Documentation relative à l’étude et à la réalisation de systèmes mécaniques, électrotechniques, pneumatiques et hydrauliques</v>
          </cell>
          <cell r="AF577" t="str">
            <v>3.1.1.3</v>
          </cell>
          <cell r="AI577">
            <v>1</v>
          </cell>
          <cell r="AN577" t="str">
            <v>FP</v>
          </cell>
          <cell r="AP577" t="str">
            <v>FD</v>
          </cell>
          <cell r="CH577" t="e">
            <v>#N/A</v>
          </cell>
          <cell r="CI577" t="e">
            <v>#N/A</v>
          </cell>
          <cell r="CJ577" t="e">
            <v>#N/A</v>
          </cell>
        </row>
        <row r="578">
          <cell r="B578" t="str">
            <v>Ligne_198.3.2.33_PPD</v>
          </cell>
          <cell r="C578" t="str">
            <v>198.3.2.33</v>
          </cell>
          <cell r="E578" t="str">
            <v>Documentation des produits mécanique (DD?)</v>
          </cell>
          <cell r="G578" t="str">
            <v>PLATELAGE LATERAL CHASSIS_1</v>
          </cell>
          <cell r="R578" t="str">
            <v>BT</v>
          </cell>
          <cell r="S578" t="str">
            <v>BT</v>
          </cell>
          <cell r="T578" t="str">
            <v>NA</v>
          </cell>
          <cell r="Z578" t="str">
            <v>RTS 193 JS2 EMC 07/09/2020</v>
          </cell>
          <cell r="AA578" t="str">
            <v>E</v>
          </cell>
          <cell r="AB578" t="str">
            <v>Mécanique</v>
          </cell>
          <cell r="AC578" t="str">
            <v>EMC</v>
          </cell>
          <cell r="AD578" t="str">
            <v>ST ET.4-10546</v>
          </cell>
          <cell r="AE578" t="str">
            <v>Documentation relative à l’étude et à la réalisation de systèmes mécaniques, électrotechniques, pneumatiques et hydrauliques</v>
          </cell>
          <cell r="AF578" t="str">
            <v>3.1.1.3</v>
          </cell>
          <cell r="AI578">
            <v>1</v>
          </cell>
          <cell r="AN578" t="str">
            <v>FP</v>
          </cell>
          <cell r="AP578" t="str">
            <v>FD</v>
          </cell>
          <cell r="CH578" t="e">
            <v>#N/A</v>
          </cell>
          <cell r="CI578" t="e">
            <v>#N/A</v>
          </cell>
          <cell r="CJ578" t="e">
            <v>#N/A</v>
          </cell>
        </row>
        <row r="579">
          <cell r="B579" t="str">
            <v>Ligne_198.3.2.34_PPD</v>
          </cell>
          <cell r="C579" t="str">
            <v>198.3.2.34</v>
          </cell>
          <cell r="E579" t="str">
            <v>Documentation des produits mécanique (DD?)</v>
          </cell>
          <cell r="G579" t="str">
            <v>PLATELAGE LATERAL CHASSIS</v>
          </cell>
          <cell r="R579" t="str">
            <v>BT</v>
          </cell>
          <cell r="S579" t="str">
            <v>BT</v>
          </cell>
          <cell r="T579" t="str">
            <v>NA</v>
          </cell>
          <cell r="Z579" t="str">
            <v>RTS 193 JS2 EMC 07/09/2020</v>
          </cell>
          <cell r="AA579" t="str">
            <v>E</v>
          </cell>
          <cell r="AB579" t="str">
            <v>Mécanique</v>
          </cell>
          <cell r="AC579" t="str">
            <v>EMC</v>
          </cell>
          <cell r="AD579" t="str">
            <v>ST ET.4-10546</v>
          </cell>
          <cell r="AE579" t="str">
            <v>Documentation relative à l’étude et à la réalisation de systèmes mécaniques, électrotechniques, pneumatiques et hydrauliques</v>
          </cell>
          <cell r="AF579" t="str">
            <v>3.1.1.3</v>
          </cell>
          <cell r="AI579">
            <v>1</v>
          </cell>
          <cell r="AN579" t="str">
            <v>FP</v>
          </cell>
          <cell r="AP579" t="str">
            <v>FD</v>
          </cell>
          <cell r="CH579" t="e">
            <v>#N/A</v>
          </cell>
          <cell r="CI579" t="e">
            <v>#N/A</v>
          </cell>
          <cell r="CJ579" t="e">
            <v>#N/A</v>
          </cell>
        </row>
        <row r="580">
          <cell r="B580" t="str">
            <v>Ligne_198.3.2.35_PPD</v>
          </cell>
          <cell r="C580" t="str">
            <v>198.3.2.35</v>
          </cell>
          <cell r="E580" t="str">
            <v>Documentation des produits mécanique (DD?)</v>
          </cell>
          <cell r="G580" t="str">
            <v>PLATELAGE LATERAL CHASSIS</v>
          </cell>
          <cell r="R580" t="str">
            <v>BT</v>
          </cell>
          <cell r="S580" t="str">
            <v>BT</v>
          </cell>
          <cell r="T580" t="str">
            <v>NA</v>
          </cell>
          <cell r="Z580" t="str">
            <v>RTS 193 JS2 EMC 07/09/2020</v>
          </cell>
          <cell r="AA580" t="str">
            <v>E</v>
          </cell>
          <cell r="AB580" t="str">
            <v>Mécanique</v>
          </cell>
          <cell r="AC580" t="str">
            <v>EMC</v>
          </cell>
          <cell r="AD580" t="str">
            <v>ST ET.4-10546</v>
          </cell>
          <cell r="AE580" t="str">
            <v>Documentation relative à l’étude et à la réalisation de systèmes mécaniques, électrotechniques, pneumatiques et hydrauliques</v>
          </cell>
          <cell r="AF580" t="str">
            <v>3.1.1.3</v>
          </cell>
          <cell r="AI580">
            <v>1</v>
          </cell>
          <cell r="AN580" t="str">
            <v>FP</v>
          </cell>
          <cell r="AP580" t="str">
            <v>FD</v>
          </cell>
          <cell r="CH580" t="e">
            <v>#N/A</v>
          </cell>
          <cell r="CI580" t="e">
            <v>#N/A</v>
          </cell>
          <cell r="CJ580" t="e">
            <v>#N/A</v>
          </cell>
        </row>
        <row r="581">
          <cell r="B581" t="str">
            <v>Ligne_198.3.2.36_PPD</v>
          </cell>
          <cell r="C581" t="str">
            <v>198.3.2.36</v>
          </cell>
          <cell r="E581" t="str">
            <v>Documentation des produits mécanique (DD?)</v>
          </cell>
          <cell r="G581" t="str">
            <v>PLATELAGE LATERAL CHASSIS_2</v>
          </cell>
          <cell r="R581" t="str">
            <v>BT</v>
          </cell>
          <cell r="S581" t="str">
            <v>BT</v>
          </cell>
          <cell r="T581" t="str">
            <v>NA</v>
          </cell>
          <cell r="Z581" t="str">
            <v>RTS 193 JS2 EMC 07/09/2020</v>
          </cell>
          <cell r="AA581" t="str">
            <v>E</v>
          </cell>
          <cell r="AB581" t="str">
            <v>Mécanique</v>
          </cell>
          <cell r="AC581" t="str">
            <v>EMC</v>
          </cell>
          <cell r="AD581" t="str">
            <v>ST ET.4-10546</v>
          </cell>
          <cell r="AE581" t="str">
            <v>Documentation relative à l’étude et à la réalisation de systèmes mécaniques, électrotechniques, pneumatiques et hydrauliques</v>
          </cell>
          <cell r="AF581" t="str">
            <v>3.1.1.3</v>
          </cell>
          <cell r="AI581">
            <v>1</v>
          </cell>
          <cell r="AN581" t="str">
            <v>FP</v>
          </cell>
          <cell r="AP581" t="str">
            <v>FD</v>
          </cell>
          <cell r="CH581" t="e">
            <v>#N/A</v>
          </cell>
          <cell r="CI581" t="e">
            <v>#N/A</v>
          </cell>
          <cell r="CJ581" t="e">
            <v>#N/A</v>
          </cell>
        </row>
        <row r="582">
          <cell r="B582" t="str">
            <v>Ligne_198.3.2.37_PPD</v>
          </cell>
          <cell r="C582" t="str">
            <v>198.3.2.37</v>
          </cell>
          <cell r="E582" t="str">
            <v>Documentation des produits mécanique (DD?)</v>
          </cell>
          <cell r="G582" t="str">
            <v>PLATELAGE LATERAL CHASSIS_3</v>
          </cell>
          <cell r="R582" t="str">
            <v>BT</v>
          </cell>
          <cell r="S582" t="str">
            <v>BT</v>
          </cell>
          <cell r="T582" t="str">
            <v>NA</v>
          </cell>
          <cell r="Z582" t="str">
            <v>RTS 193 JS2 EMC 07/09/2020</v>
          </cell>
          <cell r="AA582" t="str">
            <v>E</v>
          </cell>
          <cell r="AB582" t="str">
            <v>Mécanique</v>
          </cell>
          <cell r="AC582" t="str">
            <v>EMC</v>
          </cell>
          <cell r="AD582" t="str">
            <v>ST ET.4-10546</v>
          </cell>
          <cell r="AE582" t="str">
            <v>Documentation relative à l’étude et à la réalisation de systèmes mécaniques, électrotechniques, pneumatiques et hydrauliques</v>
          </cell>
          <cell r="AF582" t="str">
            <v>3.1.1.3</v>
          </cell>
          <cell r="AI582">
            <v>1</v>
          </cell>
          <cell r="AN582" t="str">
            <v>FP</v>
          </cell>
          <cell r="AP582" t="str">
            <v>FD</v>
          </cell>
          <cell r="CH582" t="e">
            <v>#N/A</v>
          </cell>
          <cell r="CI582" t="e">
            <v>#N/A</v>
          </cell>
          <cell r="CJ582" t="e">
            <v>#N/A</v>
          </cell>
        </row>
        <row r="583">
          <cell r="B583" t="str">
            <v>Ligne_198.3.2.38_PPD</v>
          </cell>
          <cell r="C583" t="str">
            <v>198.3.2.38</v>
          </cell>
          <cell r="E583" t="str">
            <v>Documentation des produits mécanique (DD?)</v>
          </cell>
          <cell r="G583" t="str">
            <v>PLATELAGE LATERAL CHASSIS 4</v>
          </cell>
          <cell r="R583" t="str">
            <v>BT</v>
          </cell>
          <cell r="S583" t="str">
            <v>BT</v>
          </cell>
          <cell r="T583" t="str">
            <v>NA</v>
          </cell>
          <cell r="Z583" t="str">
            <v>RTS 193 JS2 EMC 07/09/2020</v>
          </cell>
          <cell r="AA583" t="str">
            <v>E</v>
          </cell>
          <cell r="AB583" t="str">
            <v>Mécanique</v>
          </cell>
          <cell r="AC583" t="str">
            <v>EMC</v>
          </cell>
          <cell r="AD583" t="str">
            <v>ST ET.4-10546</v>
          </cell>
          <cell r="AE583" t="str">
            <v>Documentation relative à l’étude et à la réalisation de systèmes mécaniques, électrotechniques, pneumatiques et hydrauliques</v>
          </cell>
          <cell r="AF583" t="str">
            <v>3.1.1.3</v>
          </cell>
          <cell r="AI583">
            <v>1</v>
          </cell>
          <cell r="AN583" t="str">
            <v>FP</v>
          </cell>
          <cell r="AP583" t="str">
            <v>FD</v>
          </cell>
          <cell r="CH583" t="e">
            <v>#N/A</v>
          </cell>
          <cell r="CI583" t="e">
            <v>#N/A</v>
          </cell>
          <cell r="CJ583" t="e">
            <v>#N/A</v>
          </cell>
        </row>
        <row r="584">
          <cell r="B584" t="str">
            <v>Ligne_198.3.2.39_PPD</v>
          </cell>
          <cell r="C584" t="str">
            <v>198.3.2.39</v>
          </cell>
          <cell r="E584" t="str">
            <v>Documentation des produits mécanique (DD?)</v>
          </cell>
          <cell r="G584" t="str">
            <v>ENSEMBLE PLATELAGE LATERALE GAUCHE CHASSIS</v>
          </cell>
          <cell r="R584" t="str">
            <v>BT</v>
          </cell>
          <cell r="S584" t="str">
            <v>BT</v>
          </cell>
          <cell r="T584" t="str">
            <v>NA</v>
          </cell>
          <cell r="Z584" t="str">
            <v>RTS 193 JS2 EMC 07/09/2020</v>
          </cell>
          <cell r="AA584" t="str">
            <v>E</v>
          </cell>
          <cell r="AB584" t="str">
            <v>Mécanique</v>
          </cell>
          <cell r="AC584" t="str">
            <v>EMC</v>
          </cell>
          <cell r="AD584" t="str">
            <v>ST ET.4-10546</v>
          </cell>
          <cell r="AE584" t="str">
            <v>Documentation relative à l’étude et à la réalisation de systèmes mécaniques, électrotechniques, pneumatiques et hydrauliques</v>
          </cell>
          <cell r="AF584" t="str">
            <v>3.1.1.3</v>
          </cell>
          <cell r="AI584">
            <v>1</v>
          </cell>
          <cell r="AN584" t="str">
            <v>FP</v>
          </cell>
          <cell r="AP584" t="str">
            <v>FD</v>
          </cell>
          <cell r="CH584" t="e">
            <v>#N/A</v>
          </cell>
          <cell r="CI584" t="e">
            <v>#N/A</v>
          </cell>
          <cell r="CJ584" t="e">
            <v>#N/A</v>
          </cell>
        </row>
        <row r="585">
          <cell r="B585" t="str">
            <v>Ligne_198.3.2.40_PPD</v>
          </cell>
          <cell r="C585" t="str">
            <v>198.3.2.40</v>
          </cell>
          <cell r="E585" t="str">
            <v>Documentation des produits mécanique (DD?)</v>
          </cell>
          <cell r="G585" t="str">
            <v>STRUCTURE PAVILLON NU</v>
          </cell>
          <cell r="R585" t="str">
            <v>BT</v>
          </cell>
          <cell r="S585" t="str">
            <v>BT</v>
          </cell>
          <cell r="T585" t="str">
            <v>NA</v>
          </cell>
          <cell r="Z585" t="str">
            <v>RTS 193 JS2 EMC 07/09/2020</v>
          </cell>
          <cell r="AA585" t="str">
            <v>E</v>
          </cell>
          <cell r="AB585" t="str">
            <v>Mécanique</v>
          </cell>
          <cell r="AC585" t="str">
            <v>EMC</v>
          </cell>
          <cell r="AD585" t="str">
            <v>ST ET.4-10546</v>
          </cell>
          <cell r="AE585" t="str">
            <v>Documentation relative à l’étude et à la réalisation de systèmes mécaniques, électrotechniques, pneumatiques et hydrauliques</v>
          </cell>
          <cell r="AF585" t="str">
            <v>3.1.1.3</v>
          </cell>
          <cell r="AI585">
            <v>1</v>
          </cell>
          <cell r="AN585" t="str">
            <v>FP</v>
          </cell>
          <cell r="AP585" t="str">
            <v>FD</v>
          </cell>
          <cell r="CH585" t="e">
            <v>#N/A</v>
          </cell>
          <cell r="CI585" t="e">
            <v>#N/A</v>
          </cell>
          <cell r="CJ585" t="e">
            <v>#N/A</v>
          </cell>
        </row>
        <row r="586">
          <cell r="B586" t="str">
            <v>Ligne_198.3.2.41_PPD</v>
          </cell>
          <cell r="C586" t="str">
            <v>198.3.2.41</v>
          </cell>
          <cell r="E586" t="str">
            <v>Documentation des produits mécanique (DD?)</v>
          </cell>
          <cell r="G586" t="str">
            <v>ENS RENFORT TOLE HVAC</v>
          </cell>
          <cell r="R586" t="str">
            <v>BT</v>
          </cell>
          <cell r="S586" t="str">
            <v>BT</v>
          </cell>
          <cell r="T586" t="str">
            <v>NA</v>
          </cell>
          <cell r="Z586" t="str">
            <v>RTS 193 JS2 EMC 07/09/2020</v>
          </cell>
          <cell r="AA586" t="str">
            <v>E</v>
          </cell>
          <cell r="AB586" t="str">
            <v>Mécanique</v>
          </cell>
          <cell r="AC586" t="str">
            <v>EMC</v>
          </cell>
          <cell r="AD586" t="str">
            <v>ST ET.4-10546</v>
          </cell>
          <cell r="AE586" t="str">
            <v>Documentation relative à l’étude et à la réalisation de systèmes mécaniques, électrotechniques, pneumatiques et hydrauliques</v>
          </cell>
          <cell r="AF586" t="str">
            <v>3.1.1.3</v>
          </cell>
          <cell r="AI586">
            <v>1</v>
          </cell>
          <cell r="AN586" t="str">
            <v>FP</v>
          </cell>
          <cell r="AP586" t="str">
            <v>FD</v>
          </cell>
          <cell r="CH586" t="e">
            <v>#N/A</v>
          </cell>
          <cell r="CI586" t="e">
            <v>#N/A</v>
          </cell>
          <cell r="CJ586" t="e">
            <v>#N/A</v>
          </cell>
        </row>
        <row r="587">
          <cell r="B587" t="str">
            <v>Ligne_198.3.2.42_PPD</v>
          </cell>
          <cell r="C587" t="str">
            <v>198.3.2.42</v>
          </cell>
          <cell r="E587" t="str">
            <v>Documentation des produits mécanique (DD?)</v>
          </cell>
          <cell r="G587" t="str">
            <v>ENS RENFORT TOLE HVAC</v>
          </cell>
          <cell r="R587" t="str">
            <v>BT</v>
          </cell>
          <cell r="S587" t="str">
            <v>BT</v>
          </cell>
          <cell r="T587" t="str">
            <v>NA</v>
          </cell>
          <cell r="Z587" t="str">
            <v>RTS 193 JS2 EMC 07/09/2020</v>
          </cell>
          <cell r="AA587" t="str">
            <v>E</v>
          </cell>
          <cell r="AB587" t="str">
            <v>Mécanique</v>
          </cell>
          <cell r="AC587" t="str">
            <v>EMC</v>
          </cell>
          <cell r="AD587" t="str">
            <v>ST ET.4-10546</v>
          </cell>
          <cell r="AE587" t="str">
            <v>Documentation relative à l’étude et à la réalisation de systèmes mécaniques, électrotechniques, pneumatiques et hydrauliques</v>
          </cell>
          <cell r="AF587" t="str">
            <v>3.1.1.3</v>
          </cell>
          <cell r="AI587">
            <v>1</v>
          </cell>
          <cell r="AN587" t="str">
            <v>FP</v>
          </cell>
          <cell r="AP587" t="str">
            <v>FD</v>
          </cell>
          <cell r="CH587" t="e">
            <v>#N/A</v>
          </cell>
          <cell r="CI587" t="e">
            <v>#N/A</v>
          </cell>
          <cell r="CJ587" t="e">
            <v>#N/A</v>
          </cell>
        </row>
        <row r="588">
          <cell r="B588" t="str">
            <v>Ligne_198.3.2.43_PPD</v>
          </cell>
          <cell r="C588" t="str">
            <v>198.3.2.43</v>
          </cell>
          <cell r="E588" t="str">
            <v>Documentation des produits mécanique (DD?)</v>
          </cell>
          <cell r="G588" t="str">
            <v>TRAVERSE</v>
          </cell>
          <cell r="R588" t="str">
            <v>BT</v>
          </cell>
          <cell r="S588" t="str">
            <v>BT</v>
          </cell>
          <cell r="T588" t="str">
            <v>NA</v>
          </cell>
          <cell r="Z588" t="str">
            <v>RTS 193 JS2 EMC 07/09/2020</v>
          </cell>
          <cell r="AA588" t="str">
            <v>E</v>
          </cell>
          <cell r="AB588" t="str">
            <v>Mécanique</v>
          </cell>
          <cell r="AC588" t="str">
            <v>EMC</v>
          </cell>
          <cell r="AD588" t="str">
            <v>ST ET.4-10546</v>
          </cell>
          <cell r="AE588" t="str">
            <v>Documentation relative à l’étude et à la réalisation de systèmes mécaniques, électrotechniques, pneumatiques et hydrauliques</v>
          </cell>
          <cell r="AF588" t="str">
            <v>3.1.1.3</v>
          </cell>
          <cell r="AI588">
            <v>1</v>
          </cell>
          <cell r="AN588" t="str">
            <v>FP</v>
          </cell>
          <cell r="AP588" t="str">
            <v>FD</v>
          </cell>
          <cell r="CH588" t="e">
            <v>#N/A</v>
          </cell>
          <cell r="CI588" t="e">
            <v>#N/A</v>
          </cell>
          <cell r="CJ588" t="e">
            <v>#N/A</v>
          </cell>
        </row>
        <row r="589">
          <cell r="B589" t="str">
            <v>Ligne_198.3.2.44_PPD</v>
          </cell>
          <cell r="C589" t="str">
            <v>198.3.2.44</v>
          </cell>
          <cell r="E589" t="str">
            <v>Documentation des produits mécanique (DD?)</v>
          </cell>
          <cell r="G589" t="str">
            <v>TRAVERSE</v>
          </cell>
          <cell r="R589" t="str">
            <v>BT</v>
          </cell>
          <cell r="S589" t="str">
            <v>BT</v>
          </cell>
          <cell r="T589" t="str">
            <v>NA</v>
          </cell>
          <cell r="Z589" t="str">
            <v>RTS 193 JS2 EMC 07/09/2020</v>
          </cell>
          <cell r="AA589" t="str">
            <v>E</v>
          </cell>
          <cell r="AB589" t="str">
            <v>Mécanique</v>
          </cell>
          <cell r="AC589" t="str">
            <v>EMC</v>
          </cell>
          <cell r="AD589" t="str">
            <v>ST ET.4-10546</v>
          </cell>
          <cell r="AE589" t="str">
            <v>Documentation relative à l’étude et à la réalisation de systèmes mécaniques, électrotechniques, pneumatiques et hydrauliques</v>
          </cell>
          <cell r="AF589" t="str">
            <v>3.1.1.3</v>
          </cell>
          <cell r="AI589">
            <v>1</v>
          </cell>
          <cell r="AN589" t="str">
            <v>FP</v>
          </cell>
          <cell r="AP589" t="str">
            <v>FD</v>
          </cell>
          <cell r="CH589" t="e">
            <v>#N/A</v>
          </cell>
          <cell r="CI589" t="e">
            <v>#N/A</v>
          </cell>
          <cell r="CJ589" t="e">
            <v>#N/A</v>
          </cell>
        </row>
        <row r="590">
          <cell r="B590" t="str">
            <v>Ligne_198.3.2.45_PPD</v>
          </cell>
          <cell r="C590" t="str">
            <v>198.3.2.45</v>
          </cell>
          <cell r="E590" t="str">
            <v>Documentation des produits mécanique (DD?)</v>
          </cell>
          <cell r="G590" t="str">
            <v>ENS BATTANT DROIT VEHI S</v>
          </cell>
          <cell r="R590" t="str">
            <v>BT</v>
          </cell>
          <cell r="S590" t="str">
            <v>BT</v>
          </cell>
          <cell r="T590" t="str">
            <v>NA</v>
          </cell>
          <cell r="Z590" t="str">
            <v>RTS 193 JS2 EMC 07/09/2020</v>
          </cell>
          <cell r="AA590" t="str">
            <v>E</v>
          </cell>
          <cell r="AB590" t="str">
            <v>Mécanique</v>
          </cell>
          <cell r="AC590" t="str">
            <v>EMC</v>
          </cell>
          <cell r="AD590" t="str">
            <v>ST ET.4-10546</v>
          </cell>
          <cell r="AE590" t="str">
            <v>Documentation relative à l’étude et à la réalisation de systèmes mécaniques, électrotechniques, pneumatiques et hydrauliques</v>
          </cell>
          <cell r="AF590" t="str">
            <v>3.1.1.3</v>
          </cell>
          <cell r="AI590">
            <v>1</v>
          </cell>
          <cell r="AN590" t="str">
            <v>FP</v>
          </cell>
          <cell r="AP590" t="str">
            <v>FD</v>
          </cell>
          <cell r="CH590" t="e">
            <v>#N/A</v>
          </cell>
          <cell r="CI590" t="e">
            <v>#N/A</v>
          </cell>
          <cell r="CJ590" t="e">
            <v>#N/A</v>
          </cell>
        </row>
        <row r="591">
          <cell r="B591" t="str">
            <v>Ligne_198.3.2.46_PPD</v>
          </cell>
          <cell r="C591" t="str">
            <v>198.3.2.46</v>
          </cell>
          <cell r="E591" t="str">
            <v>Documentation des produits mécanique (DD?)</v>
          </cell>
          <cell r="G591" t="str">
            <v>ENS SOUS BATTANT</v>
          </cell>
          <cell r="R591" t="str">
            <v>BT</v>
          </cell>
          <cell r="S591" t="str">
            <v>BT</v>
          </cell>
          <cell r="T591" t="str">
            <v>NA</v>
          </cell>
          <cell r="Z591" t="str">
            <v>RTS 193 JS2 EMC 07/09/2020</v>
          </cell>
          <cell r="AA591" t="str">
            <v>E</v>
          </cell>
          <cell r="AB591" t="str">
            <v>Mécanique</v>
          </cell>
          <cell r="AC591" t="str">
            <v>EMC</v>
          </cell>
          <cell r="AD591" t="str">
            <v>ST ET.4-10546</v>
          </cell>
          <cell r="AE591" t="str">
            <v>Documentation relative à l’étude et à la réalisation de systèmes mécaniques, électrotechniques, pneumatiques et hydrauliques</v>
          </cell>
          <cell r="AF591" t="str">
            <v>3.1.1.3</v>
          </cell>
          <cell r="AI591">
            <v>1</v>
          </cell>
          <cell r="AN591" t="str">
            <v>FP</v>
          </cell>
          <cell r="AP591" t="str">
            <v>FD</v>
          </cell>
          <cell r="CH591" t="e">
            <v>#N/A</v>
          </cell>
          <cell r="CI591" t="e">
            <v>#N/A</v>
          </cell>
          <cell r="CJ591" t="e">
            <v>#N/A</v>
          </cell>
        </row>
        <row r="592">
          <cell r="B592" t="str">
            <v>Ligne_198.3.2.47_PPD</v>
          </cell>
          <cell r="C592" t="str">
            <v>198.3.2.47</v>
          </cell>
          <cell r="E592" t="str">
            <v>Documentation des produits mécanique (DD?)</v>
          </cell>
          <cell r="G592" t="str">
            <v>ENS SOUS BATTANT</v>
          </cell>
          <cell r="R592" t="str">
            <v>BT</v>
          </cell>
          <cell r="S592" t="str">
            <v>BT</v>
          </cell>
          <cell r="T592" t="str">
            <v>NA</v>
          </cell>
          <cell r="Z592" t="str">
            <v>RTS 193 JS2 EMC 07/09/2020</v>
          </cell>
          <cell r="AA592" t="str">
            <v>E</v>
          </cell>
          <cell r="AB592" t="str">
            <v>Mécanique</v>
          </cell>
          <cell r="AC592" t="str">
            <v>EMC</v>
          </cell>
          <cell r="AD592" t="str">
            <v>ST ET.4-10546</v>
          </cell>
          <cell r="AE592" t="str">
            <v>Documentation relative à l’étude et à la réalisation de systèmes mécaniques, électrotechniques, pneumatiques et hydrauliques</v>
          </cell>
          <cell r="AF592" t="str">
            <v>3.1.1.3</v>
          </cell>
          <cell r="AI592">
            <v>1</v>
          </cell>
          <cell r="AN592" t="str">
            <v>FP</v>
          </cell>
          <cell r="AP592" t="str">
            <v>FD</v>
          </cell>
          <cell r="CH592" t="e">
            <v>#N/A</v>
          </cell>
          <cell r="CI592" t="e">
            <v>#N/A</v>
          </cell>
          <cell r="CJ592" t="e">
            <v>#N/A</v>
          </cell>
        </row>
        <row r="593">
          <cell r="B593" t="str">
            <v>Ligne_198.3.2.48_PPD</v>
          </cell>
          <cell r="C593" t="str">
            <v>198.3.2.48</v>
          </cell>
          <cell r="E593" t="str">
            <v>Documentation des produits mécanique (DD?)</v>
          </cell>
          <cell r="G593" t="str">
            <v>ENS SOUS BATTANT</v>
          </cell>
          <cell r="R593" t="str">
            <v>BT</v>
          </cell>
          <cell r="S593" t="str">
            <v>BT</v>
          </cell>
          <cell r="T593" t="str">
            <v>NA</v>
          </cell>
          <cell r="Z593" t="str">
            <v>RTS 193 JS2 EMC 07/09/2020</v>
          </cell>
          <cell r="AA593" t="str">
            <v>E</v>
          </cell>
          <cell r="AB593" t="str">
            <v>Mécanique</v>
          </cell>
          <cell r="AC593" t="str">
            <v>EMC</v>
          </cell>
          <cell r="AD593" t="str">
            <v>ST ET.4-10546</v>
          </cell>
          <cell r="AE593" t="str">
            <v>Documentation relative à l’étude et à la réalisation de systèmes mécaniques, électrotechniques, pneumatiques et hydrauliques</v>
          </cell>
          <cell r="AF593" t="str">
            <v>3.1.1.3</v>
          </cell>
          <cell r="AI593">
            <v>1</v>
          </cell>
          <cell r="AN593" t="str">
            <v>FP</v>
          </cell>
          <cell r="AP593" t="str">
            <v>FD</v>
          </cell>
          <cell r="CH593" t="e">
            <v>#N/A</v>
          </cell>
          <cell r="CI593" t="e">
            <v>#N/A</v>
          </cell>
          <cell r="CJ593" t="e">
            <v>#N/A</v>
          </cell>
        </row>
        <row r="594">
          <cell r="B594" t="str">
            <v>Ligne_198.3.2.49_PPD</v>
          </cell>
          <cell r="C594" t="str">
            <v>198.3.2.49</v>
          </cell>
          <cell r="E594" t="str">
            <v>Documentation des produits mécanique (DD?)</v>
          </cell>
          <cell r="G594" t="str">
            <v>ENS PLIE DROIT V S</v>
          </cell>
          <cell r="R594" t="str">
            <v>BT</v>
          </cell>
          <cell r="S594" t="str">
            <v>BT</v>
          </cell>
          <cell r="T594" t="str">
            <v>NA</v>
          </cell>
          <cell r="Z594" t="str">
            <v>RTS 193 JS2 EMC 07/09/2020</v>
          </cell>
          <cell r="AA594" t="str">
            <v>E</v>
          </cell>
          <cell r="AB594" t="str">
            <v>Mécanique</v>
          </cell>
          <cell r="AC594" t="str">
            <v>EMC</v>
          </cell>
          <cell r="AD594" t="str">
            <v>ST ET.4-10546</v>
          </cell>
          <cell r="AE594" t="str">
            <v>Documentation relative à l’étude et à la réalisation de systèmes mécaniques, électrotechniques, pneumatiques et hydrauliques</v>
          </cell>
          <cell r="AF594" t="str">
            <v>3.1.1.3</v>
          </cell>
          <cell r="AI594">
            <v>1</v>
          </cell>
          <cell r="AN594" t="str">
            <v>FP</v>
          </cell>
          <cell r="AP594" t="str">
            <v>FD</v>
          </cell>
          <cell r="CH594" t="e">
            <v>#N/A</v>
          </cell>
          <cell r="CI594" t="e">
            <v>#N/A</v>
          </cell>
          <cell r="CJ594" t="e">
            <v>#N/A</v>
          </cell>
        </row>
        <row r="595">
          <cell r="B595" t="str">
            <v>Ligne_198.3.2.50_PPD</v>
          </cell>
          <cell r="C595" t="str">
            <v>198.3.2.50</v>
          </cell>
          <cell r="E595" t="str">
            <v>Documentation des produits mécanique (DD?)</v>
          </cell>
          <cell r="G595" t="str">
            <v>ENS BATTANT GAUCHE VEHI S</v>
          </cell>
          <cell r="R595" t="str">
            <v>BT</v>
          </cell>
          <cell r="S595" t="str">
            <v>BT</v>
          </cell>
          <cell r="T595" t="str">
            <v>NA</v>
          </cell>
          <cell r="Z595" t="str">
            <v>RTS 193 JS2 EMC 07/09/2020</v>
          </cell>
          <cell r="AA595" t="str">
            <v>E</v>
          </cell>
          <cell r="AB595" t="str">
            <v>Mécanique</v>
          </cell>
          <cell r="AC595" t="str">
            <v>EMC</v>
          </cell>
          <cell r="AD595" t="str">
            <v>ST ET.4-10546</v>
          </cell>
          <cell r="AE595" t="str">
            <v>Documentation relative à l’étude et à la réalisation de systèmes mécaniques, électrotechniques, pneumatiques et hydrauliques</v>
          </cell>
          <cell r="AF595" t="str">
            <v>3.1.1.3</v>
          </cell>
          <cell r="AI595">
            <v>1</v>
          </cell>
          <cell r="AN595" t="str">
            <v>FP</v>
          </cell>
          <cell r="AP595" t="str">
            <v>FD</v>
          </cell>
          <cell r="CH595" t="e">
            <v>#N/A</v>
          </cell>
          <cell r="CI595" t="e">
            <v>#N/A</v>
          </cell>
          <cell r="CJ595" t="e">
            <v>#N/A</v>
          </cell>
        </row>
        <row r="596">
          <cell r="B596" t="str">
            <v>Ligne_198.3.2.51_PPD</v>
          </cell>
          <cell r="C596" t="str">
            <v>198.3.2.51</v>
          </cell>
          <cell r="E596" t="str">
            <v>Documentation des produits mécanique (DD?)</v>
          </cell>
          <cell r="G596" t="str">
            <v>ENS SOUS BATTANT</v>
          </cell>
          <cell r="R596" t="str">
            <v>BT</v>
          </cell>
          <cell r="S596" t="str">
            <v>BT</v>
          </cell>
          <cell r="T596" t="str">
            <v>NA</v>
          </cell>
          <cell r="Z596" t="str">
            <v>RTS 193 JS2 EMC 07/09/2020</v>
          </cell>
          <cell r="AA596" t="str">
            <v>E</v>
          </cell>
          <cell r="AB596" t="str">
            <v>Mécanique</v>
          </cell>
          <cell r="AC596" t="str">
            <v>EMC</v>
          </cell>
          <cell r="AD596" t="str">
            <v>ST ET.4-10546</v>
          </cell>
          <cell r="AE596" t="str">
            <v>Documentation relative à l’étude et à la réalisation de systèmes mécaniques, électrotechniques, pneumatiques et hydrauliques</v>
          </cell>
          <cell r="AF596" t="str">
            <v>3.1.1.3</v>
          </cell>
          <cell r="AI596">
            <v>1</v>
          </cell>
          <cell r="AN596" t="str">
            <v>FP</v>
          </cell>
          <cell r="AP596" t="str">
            <v>FD</v>
          </cell>
          <cell r="CH596" t="e">
            <v>#N/A</v>
          </cell>
          <cell r="CI596" t="e">
            <v>#N/A</v>
          </cell>
          <cell r="CJ596" t="e">
            <v>#N/A</v>
          </cell>
        </row>
        <row r="597">
          <cell r="B597" t="str">
            <v>Ligne_198.3.2.52_PPD</v>
          </cell>
          <cell r="C597" t="str">
            <v>198.3.2.52</v>
          </cell>
          <cell r="E597" t="str">
            <v>Documentation des produits mécanique (DD?)</v>
          </cell>
          <cell r="G597" t="str">
            <v>ENS SOUS BATTANT</v>
          </cell>
          <cell r="R597" t="str">
            <v>BT</v>
          </cell>
          <cell r="S597" t="str">
            <v>BT</v>
          </cell>
          <cell r="T597" t="str">
            <v>NA</v>
          </cell>
          <cell r="Z597" t="str">
            <v>RTS 193 JS2 EMC 07/09/2020</v>
          </cell>
          <cell r="AA597" t="str">
            <v>E</v>
          </cell>
          <cell r="AB597" t="str">
            <v>Mécanique</v>
          </cell>
          <cell r="AC597" t="str">
            <v>EMC</v>
          </cell>
          <cell r="AD597" t="str">
            <v>ST ET.4-10546</v>
          </cell>
          <cell r="AE597" t="str">
            <v>Documentation relative à l’étude et à la réalisation de systèmes mécaniques, électrotechniques, pneumatiques et hydrauliques</v>
          </cell>
          <cell r="AF597" t="str">
            <v>3.1.1.3</v>
          </cell>
          <cell r="AI597">
            <v>1</v>
          </cell>
          <cell r="AN597" t="str">
            <v>FP</v>
          </cell>
          <cell r="AP597" t="str">
            <v>FD</v>
          </cell>
          <cell r="CH597" t="e">
            <v>#N/A</v>
          </cell>
          <cell r="CI597" t="e">
            <v>#N/A</v>
          </cell>
          <cell r="CJ597" t="e">
            <v>#N/A</v>
          </cell>
        </row>
        <row r="598">
          <cell r="B598" t="str">
            <v>Ligne_198.3.2.53_PPD</v>
          </cell>
          <cell r="C598" t="str">
            <v>198.3.2.53</v>
          </cell>
          <cell r="E598" t="str">
            <v>Documentation des produits mécanique (DD?)</v>
          </cell>
          <cell r="G598" t="str">
            <v>ENS PLIE GAUCHE V S</v>
          </cell>
          <cell r="R598" t="str">
            <v>BT</v>
          </cell>
          <cell r="S598" t="str">
            <v>BT</v>
          </cell>
          <cell r="T598" t="str">
            <v>NA</v>
          </cell>
          <cell r="Z598" t="str">
            <v>RTS 193 JS2 EMC 07/09/2020</v>
          </cell>
          <cell r="AA598" t="str">
            <v>E</v>
          </cell>
          <cell r="AB598" t="str">
            <v>Mécanique</v>
          </cell>
          <cell r="AC598" t="str">
            <v>EMC</v>
          </cell>
          <cell r="AD598" t="str">
            <v>ST ET.4-10546</v>
          </cell>
          <cell r="AE598" t="str">
            <v>Documentation relative à l’étude et à la réalisation de systèmes mécaniques, électrotechniques, pneumatiques et hydrauliques</v>
          </cell>
          <cell r="AF598" t="str">
            <v>3.1.1.3</v>
          </cell>
          <cell r="AI598">
            <v>1</v>
          </cell>
          <cell r="AN598" t="str">
            <v>FP</v>
          </cell>
          <cell r="AP598" t="str">
            <v>FD</v>
          </cell>
          <cell r="CH598" t="e">
            <v>#N/A</v>
          </cell>
          <cell r="CI598" t="e">
            <v>#N/A</v>
          </cell>
          <cell r="CJ598" t="e">
            <v>#N/A</v>
          </cell>
        </row>
        <row r="599">
          <cell r="B599" t="str">
            <v>Ligne_198.3.2.54_PPD</v>
          </cell>
          <cell r="C599" t="str">
            <v>198.3.2.54</v>
          </cell>
          <cell r="E599" t="str">
            <v>Documentation des produits mécanique (DD?)</v>
          </cell>
          <cell r="G599" t="str">
            <v>ENS TRAVERSE PAVILLON</v>
          </cell>
          <cell r="R599" t="str">
            <v>BT</v>
          </cell>
          <cell r="S599" t="str">
            <v>BT</v>
          </cell>
          <cell r="T599" t="str">
            <v>NA</v>
          </cell>
          <cell r="Z599" t="str">
            <v>RTS 193 JS2 EMC 07/09/2020</v>
          </cell>
          <cell r="AA599" t="str">
            <v>E</v>
          </cell>
          <cell r="AB599" t="str">
            <v>Mécanique</v>
          </cell>
          <cell r="AC599" t="str">
            <v>EMC</v>
          </cell>
          <cell r="AD599" t="str">
            <v>ST ET.4-10546</v>
          </cell>
          <cell r="AE599" t="str">
            <v>Documentation relative à l’étude et à la réalisation de systèmes mécaniques, électrotechniques, pneumatiques et hydrauliques</v>
          </cell>
          <cell r="AF599" t="str">
            <v>3.1.1.3</v>
          </cell>
          <cell r="AI599">
            <v>1</v>
          </cell>
          <cell r="AN599" t="str">
            <v>FP</v>
          </cell>
          <cell r="AP599" t="str">
            <v>FD</v>
          </cell>
          <cell r="CH599" t="e">
            <v>#N/A</v>
          </cell>
          <cell r="CI599" t="e">
            <v>#N/A</v>
          </cell>
          <cell r="CJ599" t="e">
            <v>#N/A</v>
          </cell>
        </row>
        <row r="600">
          <cell r="B600" t="str">
            <v>Ligne_198.3.2.55_PPD</v>
          </cell>
          <cell r="C600" t="str">
            <v>198.3.2.55</v>
          </cell>
          <cell r="E600" t="str">
            <v>Documentation des produits mécanique (DD?)</v>
          </cell>
          <cell r="G600" t="str">
            <v>ENS TRAVERSE PAVILLON</v>
          </cell>
          <cell r="R600" t="str">
            <v>BT</v>
          </cell>
          <cell r="S600" t="str">
            <v>BT</v>
          </cell>
          <cell r="T600" t="str">
            <v>NA</v>
          </cell>
          <cell r="Z600" t="str">
            <v>RTS 193 JS2 EMC 07/09/2020</v>
          </cell>
          <cell r="AA600" t="str">
            <v>E</v>
          </cell>
          <cell r="AB600" t="str">
            <v>Mécanique</v>
          </cell>
          <cell r="AC600" t="str">
            <v>EMC</v>
          </cell>
          <cell r="AD600" t="str">
            <v>ST ET.4-10546</v>
          </cell>
          <cell r="AE600" t="str">
            <v>Documentation relative à l’étude et à la réalisation de systèmes mécaniques, électrotechniques, pneumatiques et hydrauliques</v>
          </cell>
          <cell r="AF600" t="str">
            <v>3.1.1.3</v>
          </cell>
          <cell r="AI600">
            <v>1</v>
          </cell>
          <cell r="AN600" t="str">
            <v>FP</v>
          </cell>
          <cell r="AP600" t="str">
            <v>FD</v>
          </cell>
          <cell r="CH600" t="e">
            <v>#N/A</v>
          </cell>
          <cell r="CI600" t="e">
            <v>#N/A</v>
          </cell>
          <cell r="CJ600" t="e">
            <v>#N/A</v>
          </cell>
        </row>
        <row r="601">
          <cell r="B601" t="str">
            <v>Ligne_198.3.2.56_PPD</v>
          </cell>
          <cell r="C601" t="str">
            <v>198.3.2.56</v>
          </cell>
          <cell r="E601" t="str">
            <v>Documentation des produits mécanique (DD?)</v>
          </cell>
          <cell r="G601" t="str">
            <v>CORNIERES</v>
          </cell>
          <cell r="R601" t="str">
            <v>BT</v>
          </cell>
          <cell r="S601" t="str">
            <v>BT</v>
          </cell>
          <cell r="T601" t="str">
            <v>NA</v>
          </cell>
          <cell r="Z601" t="str">
            <v>RTS 193 JS2 EMC 07/09/2020</v>
          </cell>
          <cell r="AA601" t="str">
            <v>E</v>
          </cell>
          <cell r="AB601" t="str">
            <v>Mécanique</v>
          </cell>
          <cell r="AC601" t="str">
            <v>EMC</v>
          </cell>
          <cell r="AD601" t="str">
            <v>ST ET.4-10546</v>
          </cell>
          <cell r="AE601" t="str">
            <v>Documentation relative à l’étude et à la réalisation de systèmes mécaniques, électrotechniques, pneumatiques et hydrauliques</v>
          </cell>
          <cell r="AF601" t="str">
            <v>3.1.1.3</v>
          </cell>
          <cell r="AI601">
            <v>1</v>
          </cell>
          <cell r="AN601" t="str">
            <v>FP</v>
          </cell>
          <cell r="AP601" t="str">
            <v>FD</v>
          </cell>
          <cell r="CH601" t="e">
            <v>#N/A</v>
          </cell>
          <cell r="CI601" t="e">
            <v>#N/A</v>
          </cell>
          <cell r="CJ601" t="e">
            <v>#N/A</v>
          </cell>
        </row>
        <row r="602">
          <cell r="B602" t="str">
            <v>Ligne_198.3.2.57_PPD</v>
          </cell>
          <cell r="C602" t="str">
            <v>198.3.2.57</v>
          </cell>
          <cell r="E602" t="str">
            <v>Documentation des produits mécanique (DD?)</v>
          </cell>
          <cell r="G602" t="str">
            <v>ENSEMBLE TOLE EXTREME</v>
          </cell>
          <cell r="R602" t="str">
            <v>BT</v>
          </cell>
          <cell r="S602" t="str">
            <v>BT</v>
          </cell>
          <cell r="T602" t="str">
            <v>NA</v>
          </cell>
          <cell r="Z602" t="str">
            <v>RTS 193 JS2 EMC 07/09/2020</v>
          </cell>
          <cell r="AA602" t="str">
            <v>E</v>
          </cell>
          <cell r="AB602" t="str">
            <v>Mécanique</v>
          </cell>
          <cell r="AC602" t="str">
            <v>EMC</v>
          </cell>
          <cell r="AD602" t="str">
            <v>ST ET.4-10546</v>
          </cell>
          <cell r="AE602" t="str">
            <v>Documentation relative à l’étude et à la réalisation de systèmes mécaniques, électrotechniques, pneumatiques et hydrauliques</v>
          </cell>
          <cell r="AF602" t="str">
            <v>3.1.1.3</v>
          </cell>
          <cell r="AI602">
            <v>1</v>
          </cell>
          <cell r="AN602" t="str">
            <v>FP</v>
          </cell>
          <cell r="AP602" t="str">
            <v>FD</v>
          </cell>
          <cell r="CH602" t="e">
            <v>#N/A</v>
          </cell>
          <cell r="CI602" t="e">
            <v>#N/A</v>
          </cell>
          <cell r="CJ602" t="e">
            <v>#N/A</v>
          </cell>
        </row>
        <row r="603">
          <cell r="B603" t="str">
            <v>Ligne_198.3.2.58_PPD</v>
          </cell>
          <cell r="C603" t="str">
            <v>198.3.2.58</v>
          </cell>
          <cell r="E603" t="str">
            <v>Documentation des produits mécanique (DD?)</v>
          </cell>
          <cell r="G603" t="str">
            <v>ENSEMBLE TOLE EXTREME</v>
          </cell>
          <cell r="R603" t="str">
            <v>BT</v>
          </cell>
          <cell r="S603" t="str">
            <v>BT</v>
          </cell>
          <cell r="T603" t="str">
            <v>NA</v>
          </cell>
          <cell r="Z603" t="str">
            <v>RTS 193 JS2 EMC 07/09/2020</v>
          </cell>
          <cell r="AA603" t="str">
            <v>E</v>
          </cell>
          <cell r="AB603" t="str">
            <v>Mécanique</v>
          </cell>
          <cell r="AC603" t="str">
            <v>EMC</v>
          </cell>
          <cell r="AD603" t="str">
            <v>ST ET.4-10546</v>
          </cell>
          <cell r="AE603" t="str">
            <v>Documentation relative à l’étude et à la réalisation de systèmes mécaniques, électrotechniques, pneumatiques et hydrauliques</v>
          </cell>
          <cell r="AF603" t="str">
            <v>3.1.1.3</v>
          </cell>
          <cell r="AI603">
            <v>1</v>
          </cell>
          <cell r="AN603" t="str">
            <v>FP</v>
          </cell>
          <cell r="AP603" t="str">
            <v>FD</v>
          </cell>
          <cell r="CH603" t="e">
            <v>#N/A</v>
          </cell>
          <cell r="CI603" t="e">
            <v>#N/A</v>
          </cell>
          <cell r="CJ603" t="e">
            <v>#N/A</v>
          </cell>
        </row>
        <row r="604">
          <cell r="B604" t="str">
            <v>Ligne_198.3.2.59_PPD</v>
          </cell>
          <cell r="C604" t="str">
            <v>198.3.2.59</v>
          </cell>
          <cell r="E604" t="str">
            <v>Documentation des produits mécanique (DD?)</v>
          </cell>
          <cell r="G604" t="str">
            <v>ENSEMBLE TOLE PAVILLON</v>
          </cell>
          <cell r="R604" t="str">
            <v>BT</v>
          </cell>
          <cell r="S604" t="str">
            <v>BT</v>
          </cell>
          <cell r="T604" t="str">
            <v>NA</v>
          </cell>
          <cell r="Z604" t="str">
            <v>RTS 193 JS2 EMC 07/09/2020</v>
          </cell>
          <cell r="AA604" t="str">
            <v>E</v>
          </cell>
          <cell r="AB604" t="str">
            <v>Mécanique</v>
          </cell>
          <cell r="AC604" t="str">
            <v>EMC</v>
          </cell>
          <cell r="AD604" t="str">
            <v>ST ET.4-10546</v>
          </cell>
          <cell r="AE604" t="str">
            <v>Documentation relative à l’étude et à la réalisation de systèmes mécaniques, électrotechniques, pneumatiques et hydrauliques</v>
          </cell>
          <cell r="AF604" t="str">
            <v>3.1.1.3</v>
          </cell>
          <cell r="AI604">
            <v>1</v>
          </cell>
          <cell r="AN604" t="str">
            <v>FP</v>
          </cell>
          <cell r="AP604" t="str">
            <v>FD</v>
          </cell>
          <cell r="CH604" t="e">
            <v>#N/A</v>
          </cell>
          <cell r="CI604" t="e">
            <v>#N/A</v>
          </cell>
          <cell r="CJ604" t="e">
            <v>#N/A</v>
          </cell>
        </row>
        <row r="605">
          <cell r="B605" t="str">
            <v>Ligne_198.3.2.60_PPD</v>
          </cell>
          <cell r="C605" t="str">
            <v>198.3.2.60</v>
          </cell>
          <cell r="E605" t="str">
            <v>Documentation des produits mécanique (DD?)</v>
          </cell>
          <cell r="G605" t="str">
            <v>ENSEMBLE TOLE PAVILLON</v>
          </cell>
          <cell r="R605" t="str">
            <v>BT</v>
          </cell>
          <cell r="S605" t="str">
            <v>BT</v>
          </cell>
          <cell r="T605" t="str">
            <v>NA</v>
          </cell>
          <cell r="Z605" t="str">
            <v>RTS 193 JS2 EMC 07/09/2020</v>
          </cell>
          <cell r="AA605" t="str">
            <v>E</v>
          </cell>
          <cell r="AB605" t="str">
            <v>Mécanique</v>
          </cell>
          <cell r="AC605" t="str">
            <v>EMC</v>
          </cell>
          <cell r="AD605" t="str">
            <v>ST ET.4-10546</v>
          </cell>
          <cell r="AE605" t="str">
            <v>Documentation relative à l’étude et à la réalisation de systèmes mécaniques, électrotechniques, pneumatiques et hydrauliques</v>
          </cell>
          <cell r="AF605" t="str">
            <v>3.1.1.3</v>
          </cell>
          <cell r="AI605">
            <v>1</v>
          </cell>
          <cell r="AN605" t="str">
            <v>FP</v>
          </cell>
          <cell r="AP605" t="str">
            <v>FD</v>
          </cell>
          <cell r="CH605" t="e">
            <v>#N/A</v>
          </cell>
          <cell r="CI605" t="e">
            <v>#N/A</v>
          </cell>
          <cell r="CJ605" t="e">
            <v>#N/A</v>
          </cell>
        </row>
        <row r="606">
          <cell r="B606" t="str">
            <v>Ligne_198.3.2.61_PPD</v>
          </cell>
          <cell r="C606" t="str">
            <v>198.3.2.61</v>
          </cell>
          <cell r="E606" t="str">
            <v>Documentation des produits mécanique (DD?)</v>
          </cell>
          <cell r="G606" t="str">
            <v>ENSEMBLE STRUCTURE PRIMAIRE CABINE</v>
          </cell>
          <cell r="R606" t="str">
            <v>BT</v>
          </cell>
          <cell r="S606" t="str">
            <v>BT</v>
          </cell>
          <cell r="T606" t="str">
            <v>NA</v>
          </cell>
          <cell r="Z606" t="str">
            <v>RTS 193 JS2 EMC 07/09/2020</v>
          </cell>
          <cell r="AA606" t="str">
            <v>E</v>
          </cell>
          <cell r="AB606" t="str">
            <v>Mécanique</v>
          </cell>
          <cell r="AC606" t="str">
            <v>EMC</v>
          </cell>
          <cell r="AD606" t="str">
            <v>ST ET.4-10546</v>
          </cell>
          <cell r="AE606" t="str">
            <v>Documentation relative à l’étude et à la réalisation de systèmes mécaniques, électrotechniques, pneumatiques et hydrauliques</v>
          </cell>
          <cell r="AF606" t="str">
            <v>3.1.1.3</v>
          </cell>
          <cell r="AI606">
            <v>1</v>
          </cell>
          <cell r="AN606" t="str">
            <v>FP</v>
          </cell>
          <cell r="AP606" t="str">
            <v>FD</v>
          </cell>
          <cell r="CH606" t="e">
            <v>#N/A</v>
          </cell>
          <cell r="CI606" t="e">
            <v>#N/A</v>
          </cell>
          <cell r="CJ606" t="e">
            <v>#N/A</v>
          </cell>
        </row>
        <row r="607">
          <cell r="B607" t="str">
            <v>Ligne_198.3.2.62_PPD</v>
          </cell>
          <cell r="C607" t="str">
            <v>198.3.2.62</v>
          </cell>
          <cell r="E607" t="str">
            <v>Documentation des produits mécanique (DD?)</v>
          </cell>
          <cell r="G607" t="str">
            <v>ENSEMBLE CHASSIS CABINE</v>
          </cell>
          <cell r="R607" t="str">
            <v>BT</v>
          </cell>
          <cell r="S607" t="str">
            <v>BT</v>
          </cell>
          <cell r="T607" t="str">
            <v>NA</v>
          </cell>
          <cell r="Z607" t="str">
            <v>RTS 193 JS2 EMC 07/09/2020</v>
          </cell>
          <cell r="AA607" t="str">
            <v>E</v>
          </cell>
          <cell r="AB607" t="str">
            <v>Mécanique</v>
          </cell>
          <cell r="AC607" t="str">
            <v>EMC</v>
          </cell>
          <cell r="AD607" t="str">
            <v>ST ET.4-10546</v>
          </cell>
          <cell r="AE607" t="str">
            <v>Documentation relative à l’étude et à la réalisation de systèmes mécaniques, électrotechniques, pneumatiques et hydrauliques</v>
          </cell>
          <cell r="AF607" t="str">
            <v>3.1.1.3</v>
          </cell>
          <cell r="AI607">
            <v>1</v>
          </cell>
          <cell r="AN607" t="str">
            <v>FP</v>
          </cell>
          <cell r="AP607" t="str">
            <v>FD</v>
          </cell>
          <cell r="CH607" t="e">
            <v>#N/A</v>
          </cell>
          <cell r="CI607" t="e">
            <v>#N/A</v>
          </cell>
          <cell r="CJ607" t="e">
            <v>#N/A</v>
          </cell>
        </row>
        <row r="608">
          <cell r="B608" t="str">
            <v>Ligne_198.3.2.63_PPD</v>
          </cell>
          <cell r="C608" t="str">
            <v>198.3.2.63</v>
          </cell>
          <cell r="E608" t="str">
            <v>Documentation des produits mécanique (DD?)</v>
          </cell>
          <cell r="G608" t="str">
            <v>ENSEMBLE BOUCLIER AVANT CHASSIS CABINE</v>
          </cell>
          <cell r="R608" t="str">
            <v>BT</v>
          </cell>
          <cell r="S608" t="str">
            <v>BT</v>
          </cell>
          <cell r="T608" t="str">
            <v>NA</v>
          </cell>
          <cell r="Z608" t="str">
            <v>RTS 193 JS2 EMC 07/09/2020</v>
          </cell>
          <cell r="AA608" t="str">
            <v>E</v>
          </cell>
          <cell r="AB608" t="str">
            <v>Mécanique</v>
          </cell>
          <cell r="AC608" t="str">
            <v>EMC</v>
          </cell>
          <cell r="AD608" t="str">
            <v>ST ET.4-10546</v>
          </cell>
          <cell r="AE608" t="str">
            <v>Documentation relative à l’étude et à la réalisation de systèmes mécaniques, électrotechniques, pneumatiques et hydrauliques</v>
          </cell>
          <cell r="AF608" t="str">
            <v>3.1.1.3</v>
          </cell>
          <cell r="AI608">
            <v>1</v>
          </cell>
          <cell r="AN608" t="str">
            <v>FP</v>
          </cell>
          <cell r="AP608" t="str">
            <v>FD</v>
          </cell>
          <cell r="CH608" t="e">
            <v>#N/A</v>
          </cell>
          <cell r="CI608" t="e">
            <v>#N/A</v>
          </cell>
          <cell r="CJ608" t="e">
            <v>#N/A</v>
          </cell>
        </row>
        <row r="609">
          <cell r="B609" t="str">
            <v>Ligne_198.3.2.64_PPD</v>
          </cell>
          <cell r="C609" t="str">
            <v>198.3.2.64</v>
          </cell>
          <cell r="E609" t="str">
            <v>Documentation des produits mécanique (DD?)</v>
          </cell>
          <cell r="G609" t="str">
            <v>ENSEMBLE LONGRINE ARRIERE CABINE</v>
          </cell>
          <cell r="R609" t="str">
            <v>BT</v>
          </cell>
          <cell r="S609" t="str">
            <v>BT</v>
          </cell>
          <cell r="T609" t="str">
            <v>NA</v>
          </cell>
          <cell r="Z609" t="str">
            <v>RTS 193 JS2 EMC 07/09/2020</v>
          </cell>
          <cell r="AA609" t="str">
            <v>E</v>
          </cell>
          <cell r="AB609" t="str">
            <v>Mécanique</v>
          </cell>
          <cell r="AC609" t="str">
            <v>EMC</v>
          </cell>
          <cell r="AD609" t="str">
            <v>ST ET.4-10546</v>
          </cell>
          <cell r="AE609" t="str">
            <v>Documentation relative à l’étude et à la réalisation de systèmes mécaniques, électrotechniques, pneumatiques et hydrauliques</v>
          </cell>
          <cell r="AF609" t="str">
            <v>3.1.1.3</v>
          </cell>
          <cell r="AI609">
            <v>1</v>
          </cell>
          <cell r="AN609" t="str">
            <v>FP</v>
          </cell>
          <cell r="AP609" t="str">
            <v>FD</v>
          </cell>
          <cell r="CH609" t="e">
            <v>#N/A</v>
          </cell>
          <cell r="CI609" t="e">
            <v>#N/A</v>
          </cell>
          <cell r="CJ609" t="e">
            <v>#N/A</v>
          </cell>
        </row>
        <row r="610">
          <cell r="B610" t="str">
            <v>Ligne_198.3.2.65_PPD</v>
          </cell>
          <cell r="C610" t="str">
            <v>198.3.2.65</v>
          </cell>
          <cell r="E610" t="str">
            <v>Documentation des produits mécanique (DD?)</v>
          </cell>
          <cell r="G610" t="str">
            <v>ENSEMBLE TRAVERSE CENTRALE CABINE</v>
          </cell>
          <cell r="R610" t="str">
            <v>BT</v>
          </cell>
          <cell r="S610" t="str">
            <v>BT</v>
          </cell>
          <cell r="T610" t="str">
            <v>NA</v>
          </cell>
          <cell r="Z610" t="str">
            <v>RTS 193 JS2 EMC 07/09/2020</v>
          </cell>
          <cell r="AA610" t="str">
            <v>E</v>
          </cell>
          <cell r="AB610" t="str">
            <v>Mécanique</v>
          </cell>
          <cell r="AC610" t="str">
            <v>EMC</v>
          </cell>
          <cell r="AD610" t="str">
            <v>ST ET.4-10546</v>
          </cell>
          <cell r="AE610" t="str">
            <v>Documentation relative à l’étude et à la réalisation de systèmes mécaniques, électrotechniques, pneumatiques et hydrauliques</v>
          </cell>
          <cell r="AF610" t="str">
            <v>3.1.1.3</v>
          </cell>
          <cell r="AI610">
            <v>1</v>
          </cell>
          <cell r="AN610" t="str">
            <v>FP</v>
          </cell>
          <cell r="AP610" t="str">
            <v>FD</v>
          </cell>
          <cell r="CH610" t="e">
            <v>#N/A</v>
          </cell>
          <cell r="CI610" t="e">
            <v>#N/A</v>
          </cell>
          <cell r="CJ610" t="e">
            <v>#N/A</v>
          </cell>
        </row>
        <row r="611">
          <cell r="B611" t="str">
            <v>Ligne_198.3.2.66_PPD</v>
          </cell>
          <cell r="C611" t="str">
            <v>198.3.2.66</v>
          </cell>
          <cell r="E611" t="str">
            <v>Documentation des produits mécanique (DD?)</v>
          </cell>
          <cell r="G611" t="str">
            <v>ENSEMBLE POCHE DE ROUE CABINE</v>
          </cell>
          <cell r="R611" t="str">
            <v>BT</v>
          </cell>
          <cell r="S611" t="str">
            <v>BT</v>
          </cell>
          <cell r="T611" t="str">
            <v>NA</v>
          </cell>
          <cell r="Z611" t="str">
            <v>RTS 193 JS2 EMC 07/09/2020</v>
          </cell>
          <cell r="AA611" t="str">
            <v>E</v>
          </cell>
          <cell r="AB611" t="str">
            <v>Mécanique</v>
          </cell>
          <cell r="AC611" t="str">
            <v>EMC</v>
          </cell>
          <cell r="AD611" t="str">
            <v>ST ET.4-10546</v>
          </cell>
          <cell r="AE611" t="str">
            <v>Documentation relative à l’étude et à la réalisation de systèmes mécaniques, électrotechniques, pneumatiques et hydrauliques</v>
          </cell>
          <cell r="AF611" t="str">
            <v>3.1.1.3</v>
          </cell>
          <cell r="AI611">
            <v>1</v>
          </cell>
          <cell r="AN611" t="str">
            <v>FP</v>
          </cell>
          <cell r="AP611" t="str">
            <v>FD</v>
          </cell>
          <cell r="CH611" t="e">
            <v>#N/A</v>
          </cell>
          <cell r="CI611" t="e">
            <v>#N/A</v>
          </cell>
          <cell r="CJ611" t="e">
            <v>#N/A</v>
          </cell>
        </row>
        <row r="612">
          <cell r="B612" t="str">
            <v>Ligne_198.3.2.67_PPD</v>
          </cell>
          <cell r="C612" t="str">
            <v>198.3.2.67</v>
          </cell>
          <cell r="E612" t="str">
            <v>Documentation des produits mécanique (DD?)</v>
          </cell>
          <cell r="G612" t="str">
            <v>ENSEMBLE RENFORT DISPOSITIF SECOURS</v>
          </cell>
          <cell r="R612" t="str">
            <v>BT</v>
          </cell>
          <cell r="S612" t="str">
            <v>BT</v>
          </cell>
          <cell r="T612" t="str">
            <v>NA</v>
          </cell>
          <cell r="Z612" t="str">
            <v>RTS 193 JS2 EMC 07/09/2020</v>
          </cell>
          <cell r="AA612" t="str">
            <v>E</v>
          </cell>
          <cell r="AB612" t="str">
            <v>Mécanique</v>
          </cell>
          <cell r="AC612" t="str">
            <v>EMC</v>
          </cell>
          <cell r="AD612" t="str">
            <v>ST ET.4-10546</v>
          </cell>
          <cell r="AE612" t="str">
            <v>Documentation relative à l’étude et à la réalisation de systèmes mécaniques, électrotechniques, pneumatiques et hydrauliques</v>
          </cell>
          <cell r="AF612" t="str">
            <v>3.1.1.3</v>
          </cell>
          <cell r="AI612">
            <v>1</v>
          </cell>
          <cell r="AN612" t="str">
            <v>FP</v>
          </cell>
          <cell r="AP612" t="str">
            <v>FD</v>
          </cell>
          <cell r="CH612" t="e">
            <v>#N/A</v>
          </cell>
          <cell r="CI612" t="e">
            <v>#N/A</v>
          </cell>
          <cell r="CJ612" t="e">
            <v>#N/A</v>
          </cell>
        </row>
        <row r="613">
          <cell r="B613" t="str">
            <v>Ligne_198.3.2.68_PPD</v>
          </cell>
          <cell r="C613" t="str">
            <v>198.3.2.68</v>
          </cell>
          <cell r="E613" t="str">
            <v>Documentation des produits mécanique (DD?)</v>
          </cell>
          <cell r="G613" t="str">
            <v>ENSEMBLE BASE POTEAU DROIT CABINE</v>
          </cell>
          <cell r="R613" t="str">
            <v>BT</v>
          </cell>
          <cell r="S613" t="str">
            <v>BT</v>
          </cell>
          <cell r="T613" t="str">
            <v>NA</v>
          </cell>
          <cell r="Z613" t="str">
            <v>RTS 193 JS2 EMC 07/09/2020</v>
          </cell>
          <cell r="AA613" t="str">
            <v>E</v>
          </cell>
          <cell r="AB613" t="str">
            <v>Mécanique</v>
          </cell>
          <cell r="AC613" t="str">
            <v>EMC</v>
          </cell>
          <cell r="AD613" t="str">
            <v>ST ET.4-10546</v>
          </cell>
          <cell r="AE613" t="str">
            <v>Documentation relative à l’étude et à la réalisation de systèmes mécaniques, électrotechniques, pneumatiques et hydrauliques</v>
          </cell>
          <cell r="AF613" t="str">
            <v>3.1.1.3</v>
          </cell>
          <cell r="AI613">
            <v>1</v>
          </cell>
          <cell r="AN613" t="str">
            <v>FP</v>
          </cell>
          <cell r="AP613" t="str">
            <v>FD</v>
          </cell>
          <cell r="CH613" t="e">
            <v>#N/A</v>
          </cell>
          <cell r="CI613" t="e">
            <v>#N/A</v>
          </cell>
          <cell r="CJ613" t="e">
            <v>#N/A</v>
          </cell>
        </row>
        <row r="614">
          <cell r="B614" t="str">
            <v>Ligne_198.3.2.69_PPD</v>
          </cell>
          <cell r="C614" t="str">
            <v>198.3.2.69</v>
          </cell>
          <cell r="E614" t="str">
            <v>Documentation des produits mécanique (DD?)</v>
          </cell>
          <cell r="G614" t="str">
            <v>ENSEMBLE BASE POTEAU GAUCHE CABINE</v>
          </cell>
          <cell r="R614" t="str">
            <v>BT</v>
          </cell>
          <cell r="S614" t="str">
            <v>BT</v>
          </cell>
          <cell r="T614" t="str">
            <v>NA</v>
          </cell>
          <cell r="Z614" t="str">
            <v>RTS 193 JS2 EMC 07/09/2020</v>
          </cell>
          <cell r="AA614" t="str">
            <v>E</v>
          </cell>
          <cell r="AB614" t="str">
            <v>Mécanique</v>
          </cell>
          <cell r="AC614" t="str">
            <v>EMC</v>
          </cell>
          <cell r="AD614" t="str">
            <v>ST ET.4-10546</v>
          </cell>
          <cell r="AE614" t="str">
            <v>Documentation relative à l’étude et à la réalisation de systèmes mécaniques, électrotechniques, pneumatiques et hydrauliques</v>
          </cell>
          <cell r="AF614" t="str">
            <v>3.1.1.3</v>
          </cell>
          <cell r="AI614">
            <v>1</v>
          </cell>
          <cell r="AN614" t="str">
            <v>FP</v>
          </cell>
          <cell r="AP614" t="str">
            <v>FD</v>
          </cell>
          <cell r="CH614" t="e">
            <v>#N/A</v>
          </cell>
          <cell r="CI614" t="e">
            <v>#N/A</v>
          </cell>
          <cell r="CJ614" t="e">
            <v>#N/A</v>
          </cell>
        </row>
        <row r="615">
          <cell r="B615" t="str">
            <v>Ligne_198.3.2.70_PPD</v>
          </cell>
          <cell r="C615" t="str">
            <v>198.3.2.70</v>
          </cell>
          <cell r="E615" t="str">
            <v>Documentation des produits mécanique (DD?)</v>
          </cell>
          <cell r="G615" t="str">
            <v>ENSEMBLE BASE POTEAU ARRIERE CABINE</v>
          </cell>
          <cell r="R615" t="str">
            <v>BT</v>
          </cell>
          <cell r="S615" t="str">
            <v>BT</v>
          </cell>
          <cell r="T615" t="str">
            <v>NA</v>
          </cell>
          <cell r="Z615" t="str">
            <v>RTS 193 JS2 EMC 07/09/2020</v>
          </cell>
          <cell r="AA615" t="str">
            <v>E</v>
          </cell>
          <cell r="AB615" t="str">
            <v>Mécanique</v>
          </cell>
          <cell r="AC615" t="str">
            <v>EMC</v>
          </cell>
          <cell r="AD615" t="str">
            <v>ST ET.4-10546</v>
          </cell>
          <cell r="AE615" t="str">
            <v>Documentation relative à l’étude et à la réalisation de systèmes mécaniques, électrotechniques, pneumatiques et hydrauliques</v>
          </cell>
          <cell r="AF615" t="str">
            <v>3.1.1.3</v>
          </cell>
          <cell r="AI615">
            <v>1</v>
          </cell>
          <cell r="AN615" t="str">
            <v>FP</v>
          </cell>
          <cell r="AP615" t="str">
            <v>FD</v>
          </cell>
          <cell r="CH615" t="e">
            <v>#N/A</v>
          </cell>
          <cell r="CI615" t="e">
            <v>#N/A</v>
          </cell>
          <cell r="CJ615" t="e">
            <v>#N/A</v>
          </cell>
        </row>
        <row r="616">
          <cell r="B616" t="str">
            <v>Ligne_198.3.2.71_PPD</v>
          </cell>
          <cell r="C616" t="str">
            <v>198.3.2.71</v>
          </cell>
          <cell r="E616" t="str">
            <v>Documentation des produits mécanique (DD?)</v>
          </cell>
          <cell r="G616" t="str">
            <v>ENSEMBLE POTEAU DROIT CABINE</v>
          </cell>
          <cell r="R616" t="str">
            <v>BT</v>
          </cell>
          <cell r="S616" t="str">
            <v>BT</v>
          </cell>
          <cell r="T616" t="str">
            <v>NA</v>
          </cell>
          <cell r="Z616" t="str">
            <v>RTS 193 JS2 EMC 07/09/2020</v>
          </cell>
          <cell r="AA616" t="str">
            <v>E</v>
          </cell>
          <cell r="AB616" t="str">
            <v>Mécanique</v>
          </cell>
          <cell r="AC616" t="str">
            <v>EMC</v>
          </cell>
          <cell r="AD616" t="str">
            <v>ST ET.4-10546</v>
          </cell>
          <cell r="AE616" t="str">
            <v>Documentation relative à l’étude et à la réalisation de systèmes mécaniques, électrotechniques, pneumatiques et hydrauliques</v>
          </cell>
          <cell r="AF616" t="str">
            <v>3.1.1.3</v>
          </cell>
          <cell r="AI616">
            <v>1</v>
          </cell>
          <cell r="AN616" t="str">
            <v>FP</v>
          </cell>
          <cell r="AP616" t="str">
            <v>FD</v>
          </cell>
          <cell r="CH616" t="e">
            <v>#N/A</v>
          </cell>
          <cell r="CI616" t="e">
            <v>#N/A</v>
          </cell>
          <cell r="CJ616" t="e">
            <v>#N/A</v>
          </cell>
        </row>
        <row r="617">
          <cell r="B617" t="str">
            <v>Ligne_198.3.2.72_PPD</v>
          </cell>
          <cell r="C617" t="str">
            <v>198.3.2.72</v>
          </cell>
          <cell r="E617" t="str">
            <v>Documentation des produits mécanique (DD?)</v>
          </cell>
          <cell r="G617" t="str">
            <v>ENSEMBLE POTEAU GAUCHE CABINE</v>
          </cell>
          <cell r="R617" t="str">
            <v>BT</v>
          </cell>
          <cell r="S617" t="str">
            <v>BT</v>
          </cell>
          <cell r="T617" t="str">
            <v>NA</v>
          </cell>
          <cell r="Z617" t="str">
            <v>RTS 193 JS2 EMC 07/09/2020</v>
          </cell>
          <cell r="AA617" t="str">
            <v>E</v>
          </cell>
          <cell r="AB617" t="str">
            <v>Mécanique</v>
          </cell>
          <cell r="AC617" t="str">
            <v>EMC</v>
          </cell>
          <cell r="AD617" t="str">
            <v>ST ET.4-10546</v>
          </cell>
          <cell r="AE617" t="str">
            <v>Documentation relative à l’étude et à la réalisation de systèmes mécaniques, électrotechniques, pneumatiques et hydrauliques</v>
          </cell>
          <cell r="AF617" t="str">
            <v>3.1.1.3</v>
          </cell>
          <cell r="AI617">
            <v>1</v>
          </cell>
          <cell r="AN617" t="str">
            <v>FP</v>
          </cell>
          <cell r="AP617" t="str">
            <v>FD</v>
          </cell>
          <cell r="CH617" t="e">
            <v>#N/A</v>
          </cell>
          <cell r="CI617" t="e">
            <v>#N/A</v>
          </cell>
          <cell r="CJ617" t="e">
            <v>#N/A</v>
          </cell>
        </row>
        <row r="618">
          <cell r="B618" t="str">
            <v>Ligne_198.3.2.73_PPD</v>
          </cell>
          <cell r="C618" t="str">
            <v>198.3.2.73</v>
          </cell>
          <cell r="E618" t="str">
            <v>Documentation des produits mécanique (DD?)</v>
          </cell>
          <cell r="G618" t="str">
            <v>ENSEMBLE POTEAU ARRIERE CABINE</v>
          </cell>
          <cell r="R618" t="str">
            <v>BT</v>
          </cell>
          <cell r="S618" t="str">
            <v>BT</v>
          </cell>
          <cell r="T618" t="str">
            <v>NA</v>
          </cell>
          <cell r="Z618" t="str">
            <v>RTS 193 JS2 EMC 07/09/2020</v>
          </cell>
          <cell r="AA618" t="str">
            <v>E</v>
          </cell>
          <cell r="AB618" t="str">
            <v>Mécanique</v>
          </cell>
          <cell r="AC618" t="str">
            <v>EMC</v>
          </cell>
          <cell r="AD618" t="str">
            <v>ST ET.4-10546</v>
          </cell>
          <cell r="AE618" t="str">
            <v>Documentation relative à l’étude et à la réalisation de systèmes mécaniques, électrotechniques, pneumatiques et hydrauliques</v>
          </cell>
          <cell r="AF618" t="str">
            <v>3.1.1.3</v>
          </cell>
          <cell r="AI618">
            <v>1</v>
          </cell>
          <cell r="AN618" t="str">
            <v>FP</v>
          </cell>
          <cell r="AP618" t="str">
            <v>FD</v>
          </cell>
          <cell r="CH618" t="e">
            <v>#N/A</v>
          </cell>
          <cell r="CI618" t="e">
            <v>#N/A</v>
          </cell>
          <cell r="CJ618" t="e">
            <v>#N/A</v>
          </cell>
        </row>
        <row r="619">
          <cell r="B619" t="str">
            <v>Ligne_198.3.2.74_PPD</v>
          </cell>
          <cell r="C619" t="str">
            <v>198.3.2.74</v>
          </cell>
          <cell r="E619" t="str">
            <v>Documentation des produits mécanique (DD?)</v>
          </cell>
          <cell r="G619" t="str">
            <v>POTEAU HAUT ARRIERE CABINE</v>
          </cell>
          <cell r="R619" t="str">
            <v>BT</v>
          </cell>
          <cell r="S619" t="str">
            <v>BT</v>
          </cell>
          <cell r="T619" t="str">
            <v>NA</v>
          </cell>
          <cell r="Z619" t="str">
            <v>RTS 193 JS2 EMC 07/09/2020</v>
          </cell>
          <cell r="AA619" t="str">
            <v>E</v>
          </cell>
          <cell r="AB619" t="str">
            <v>Mécanique</v>
          </cell>
          <cell r="AC619" t="str">
            <v>EMC</v>
          </cell>
          <cell r="AD619" t="str">
            <v>ST ET.4-10546</v>
          </cell>
          <cell r="AE619" t="str">
            <v>Documentation relative à l’étude et à la réalisation de systèmes mécaniques, électrotechniques, pneumatiques et hydrauliques</v>
          </cell>
          <cell r="AF619" t="str">
            <v>3.1.1.3</v>
          </cell>
          <cell r="AI619">
            <v>1</v>
          </cell>
          <cell r="AN619" t="str">
            <v>FP</v>
          </cell>
          <cell r="AP619" t="str">
            <v>FD</v>
          </cell>
          <cell r="CH619" t="e">
            <v>#N/A</v>
          </cell>
          <cell r="CI619" t="e">
            <v>#N/A</v>
          </cell>
          <cell r="CJ619" t="e">
            <v>#N/A</v>
          </cell>
        </row>
        <row r="620">
          <cell r="B620" t="str">
            <v>Ligne_198.3.2.75_PPD</v>
          </cell>
          <cell r="C620" t="str">
            <v>198.3.2.75</v>
          </cell>
          <cell r="E620" t="str">
            <v>Documentation des produits mécanique (DD?)</v>
          </cell>
          <cell r="G620" t="str">
            <v>ENSEMBLE JONCTION POTEAU DROIT CABINE</v>
          </cell>
          <cell r="R620" t="str">
            <v>BT</v>
          </cell>
          <cell r="S620" t="str">
            <v>BT</v>
          </cell>
          <cell r="T620" t="str">
            <v>NA</v>
          </cell>
          <cell r="Z620" t="str">
            <v>RTS 193 JS2 EMC 07/09/2020</v>
          </cell>
          <cell r="AA620" t="str">
            <v>E</v>
          </cell>
          <cell r="AB620" t="str">
            <v>Mécanique</v>
          </cell>
          <cell r="AC620" t="str">
            <v>EMC</v>
          </cell>
          <cell r="AD620" t="str">
            <v>ST ET.4-10546</v>
          </cell>
          <cell r="AE620" t="str">
            <v>Documentation relative à l’étude et à la réalisation de systèmes mécaniques, électrotechniques, pneumatiques et hydrauliques</v>
          </cell>
          <cell r="AF620" t="str">
            <v>3.1.1.3</v>
          </cell>
          <cell r="AI620">
            <v>1</v>
          </cell>
          <cell r="AN620" t="str">
            <v>FP</v>
          </cell>
          <cell r="AP620" t="str">
            <v>FD</v>
          </cell>
          <cell r="CH620" t="e">
            <v>#N/A</v>
          </cell>
          <cell r="CI620" t="e">
            <v>#N/A</v>
          </cell>
          <cell r="CJ620" t="e">
            <v>#N/A</v>
          </cell>
        </row>
        <row r="621">
          <cell r="B621" t="str">
            <v>Ligne_198.3.2.76_PPD</v>
          </cell>
          <cell r="C621" t="str">
            <v>198.3.2.76</v>
          </cell>
          <cell r="E621" t="str">
            <v>Documentation des produits mécanique (DD?)</v>
          </cell>
          <cell r="G621" t="str">
            <v>ENSEMBLE JONCTION POTEAU GAUCHE CABINE</v>
          </cell>
          <cell r="R621" t="str">
            <v>BT</v>
          </cell>
          <cell r="S621" t="str">
            <v>BT</v>
          </cell>
          <cell r="T621" t="str">
            <v>NA</v>
          </cell>
          <cell r="Z621" t="str">
            <v>RTS 193 JS2 EMC 07/09/2020</v>
          </cell>
          <cell r="AA621" t="str">
            <v>E</v>
          </cell>
          <cell r="AB621" t="str">
            <v>Mécanique</v>
          </cell>
          <cell r="AC621" t="str">
            <v>EMC</v>
          </cell>
          <cell r="AD621" t="str">
            <v>ST ET.4-10546</v>
          </cell>
          <cell r="AE621" t="str">
            <v>Documentation relative à l’étude et à la réalisation de systèmes mécaniques, électrotechniques, pneumatiques et hydrauliques</v>
          </cell>
          <cell r="AF621" t="str">
            <v>3.1.1.3</v>
          </cell>
          <cell r="AI621">
            <v>1</v>
          </cell>
          <cell r="AN621" t="str">
            <v>FP</v>
          </cell>
          <cell r="AP621" t="str">
            <v>FD</v>
          </cell>
          <cell r="CH621" t="e">
            <v>#N/A</v>
          </cell>
          <cell r="CI621" t="e">
            <v>#N/A</v>
          </cell>
          <cell r="CJ621" t="e">
            <v>#N/A</v>
          </cell>
        </row>
        <row r="622">
          <cell r="B622" t="str">
            <v>Ligne_198.3.2.77_PPD</v>
          </cell>
          <cell r="C622" t="str">
            <v>198.3.2.77</v>
          </cell>
          <cell r="E622" t="str">
            <v>Documentation des produits mécanique (DD?)</v>
          </cell>
          <cell r="G622" t="str">
            <v>ENSEMBLE TOITURE CABINE</v>
          </cell>
          <cell r="R622" t="str">
            <v>BT</v>
          </cell>
          <cell r="S622" t="str">
            <v>BT</v>
          </cell>
          <cell r="T622" t="str">
            <v>NA</v>
          </cell>
          <cell r="Z622" t="str">
            <v>RTS 193 JS2 EMC 07/09/2020</v>
          </cell>
          <cell r="AA622" t="str">
            <v>E</v>
          </cell>
          <cell r="AB622" t="str">
            <v>Mécanique</v>
          </cell>
          <cell r="AC622" t="str">
            <v>EMC</v>
          </cell>
          <cell r="AD622" t="str">
            <v>ST ET.4-10546</v>
          </cell>
          <cell r="AE622" t="str">
            <v>Documentation relative à l’étude et à la réalisation de systèmes mécaniques, électrotechniques, pneumatiques et hydrauliques</v>
          </cell>
          <cell r="AF622" t="str">
            <v>3.1.1.3</v>
          </cell>
          <cell r="AI622">
            <v>1</v>
          </cell>
          <cell r="AN622" t="str">
            <v>FP</v>
          </cell>
          <cell r="AP622" t="str">
            <v>FD</v>
          </cell>
          <cell r="CH622" t="e">
            <v>#N/A</v>
          </cell>
          <cell r="CI622" t="e">
            <v>#N/A</v>
          </cell>
          <cell r="CJ622" t="e">
            <v>#N/A</v>
          </cell>
        </row>
        <row r="623">
          <cell r="B623" t="str">
            <v>Ligne_198.3.2.78_PPD</v>
          </cell>
          <cell r="C623" t="str">
            <v>198.3.2.78</v>
          </cell>
          <cell r="E623" t="str">
            <v>Documentation des produits mécanique (DD?)</v>
          </cell>
          <cell r="G623" t="str">
            <v>ENSEMBLE POTEAU HAUT DROIT CABINE</v>
          </cell>
          <cell r="R623" t="str">
            <v>BT</v>
          </cell>
          <cell r="S623" t="str">
            <v>BT</v>
          </cell>
          <cell r="T623" t="str">
            <v>NA</v>
          </cell>
          <cell r="Z623" t="str">
            <v>RTS 193 JS2 EMC 07/09/2020</v>
          </cell>
          <cell r="AA623" t="str">
            <v>E</v>
          </cell>
          <cell r="AB623" t="str">
            <v>Mécanique</v>
          </cell>
          <cell r="AC623" t="str">
            <v>EMC</v>
          </cell>
          <cell r="AD623" t="str">
            <v>ST ET.4-10546</v>
          </cell>
          <cell r="AE623" t="str">
            <v>Documentation relative à l’étude et à la réalisation de systèmes mécaniques, électrotechniques, pneumatiques et hydrauliques</v>
          </cell>
          <cell r="AF623" t="str">
            <v>3.1.1.3</v>
          </cell>
          <cell r="AI623">
            <v>1</v>
          </cell>
          <cell r="AN623" t="str">
            <v>FP</v>
          </cell>
          <cell r="AP623" t="str">
            <v>FD</v>
          </cell>
          <cell r="CH623" t="e">
            <v>#N/A</v>
          </cell>
          <cell r="CI623" t="e">
            <v>#N/A</v>
          </cell>
          <cell r="CJ623" t="e">
            <v>#N/A</v>
          </cell>
        </row>
        <row r="624">
          <cell r="B624" t="str">
            <v>Ligne_198.3.2.79_PPD</v>
          </cell>
          <cell r="C624" t="str">
            <v>198.3.2.79</v>
          </cell>
          <cell r="E624" t="str">
            <v>Documentation des produits mécanique (DD?)</v>
          </cell>
          <cell r="G624" t="str">
            <v>ENSEMBLE POTEAU HAUT GAUCHE CABINE</v>
          </cell>
          <cell r="R624" t="str">
            <v>BT</v>
          </cell>
          <cell r="S624" t="str">
            <v>BT</v>
          </cell>
          <cell r="T624" t="str">
            <v>NA</v>
          </cell>
          <cell r="Z624" t="str">
            <v>RTS 193 JS2 EMC 07/09/2020</v>
          </cell>
          <cell r="AA624" t="str">
            <v>E</v>
          </cell>
          <cell r="AB624" t="str">
            <v>Mécanique</v>
          </cell>
          <cell r="AC624" t="str">
            <v>EMC</v>
          </cell>
          <cell r="AD624" t="str">
            <v>ST ET.4-10546</v>
          </cell>
          <cell r="AE624" t="str">
            <v>Documentation relative à l’étude et à la réalisation de systèmes mécaniques, électrotechniques, pneumatiques et hydrauliques</v>
          </cell>
          <cell r="AF624" t="str">
            <v>3.1.1.3</v>
          </cell>
          <cell r="AI624">
            <v>1</v>
          </cell>
          <cell r="AN624" t="str">
            <v>FP</v>
          </cell>
          <cell r="AP624" t="str">
            <v>FD</v>
          </cell>
          <cell r="CH624" t="e">
            <v>#N/A</v>
          </cell>
          <cell r="CI624" t="e">
            <v>#N/A</v>
          </cell>
          <cell r="CJ624" t="e">
            <v>#N/A</v>
          </cell>
        </row>
        <row r="625">
          <cell r="B625" t="str">
            <v>Ligne_198.3.2.80_PPD</v>
          </cell>
          <cell r="C625" t="str">
            <v>198.3.2.80</v>
          </cell>
          <cell r="E625" t="str">
            <v>Documentation des produits mécanique (DD?)</v>
          </cell>
          <cell r="G625" t="str">
            <v>ENSEMBLE POTEAU TRANSVERSAL CABINE</v>
          </cell>
          <cell r="R625" t="str">
            <v>BT</v>
          </cell>
          <cell r="S625" t="str">
            <v>BT</v>
          </cell>
          <cell r="T625" t="str">
            <v>NA</v>
          </cell>
          <cell r="Z625" t="str">
            <v>RTS 193 JS2 EMC 07/09/2020</v>
          </cell>
          <cell r="AA625" t="str">
            <v>E</v>
          </cell>
          <cell r="AB625" t="str">
            <v>Mécanique</v>
          </cell>
          <cell r="AC625" t="str">
            <v>EMC</v>
          </cell>
          <cell r="AD625" t="str">
            <v>ST ET.4-10546</v>
          </cell>
          <cell r="AE625" t="str">
            <v>Documentation relative à l’étude et à la réalisation de systèmes mécaniques, électrotechniques, pneumatiques et hydrauliques</v>
          </cell>
          <cell r="AF625" t="str">
            <v>3.1.1.3</v>
          </cell>
          <cell r="AI625">
            <v>1</v>
          </cell>
          <cell r="AN625" t="str">
            <v>FP</v>
          </cell>
          <cell r="AP625" t="str">
            <v>FD</v>
          </cell>
          <cell r="CH625" t="e">
            <v>#N/A</v>
          </cell>
          <cell r="CI625" t="e">
            <v>#N/A</v>
          </cell>
          <cell r="CJ625" t="e">
            <v>#N/A</v>
          </cell>
        </row>
        <row r="626">
          <cell r="B626" t="str">
            <v>Ligne_198.3.2.81_PPD</v>
          </cell>
          <cell r="C626" t="str">
            <v>198.3.2.81</v>
          </cell>
          <cell r="E626" t="str">
            <v>Documentation des produits mécanique (DD?)</v>
          </cell>
          <cell r="G626" t="str">
            <v>ENSEMBLE POTEAU TRANSVERSAL CABINE</v>
          </cell>
          <cell r="R626" t="str">
            <v>BT</v>
          </cell>
          <cell r="S626" t="str">
            <v>BT</v>
          </cell>
          <cell r="T626" t="str">
            <v>NA</v>
          </cell>
          <cell r="Z626" t="str">
            <v>RTS 193 JS2 EMC 07/09/2020</v>
          </cell>
          <cell r="AA626" t="str">
            <v>E</v>
          </cell>
          <cell r="AB626" t="str">
            <v>Mécanique</v>
          </cell>
          <cell r="AC626" t="str">
            <v>EMC</v>
          </cell>
          <cell r="AD626" t="str">
            <v>ST ET.4-10546</v>
          </cell>
          <cell r="AE626" t="str">
            <v>Documentation relative à l’étude et à la réalisation de systèmes mécaniques, électrotechniques, pneumatiques et hydrauliques</v>
          </cell>
          <cell r="AF626" t="str">
            <v>3.1.1.3</v>
          </cell>
          <cell r="AI626">
            <v>1</v>
          </cell>
          <cell r="AN626" t="str">
            <v>FP</v>
          </cell>
          <cell r="AP626" t="str">
            <v>FD</v>
          </cell>
          <cell r="CH626" t="e">
            <v>#N/A</v>
          </cell>
          <cell r="CI626" t="e">
            <v>#N/A</v>
          </cell>
          <cell r="CJ626" t="e">
            <v>#N/A</v>
          </cell>
        </row>
        <row r="627">
          <cell r="B627" t="str">
            <v>Ligne_198.3.2.82_PPD</v>
          </cell>
          <cell r="C627" t="str">
            <v>198.3.2.82</v>
          </cell>
          <cell r="E627" t="str">
            <v>Documentation des produits mécanique (DD?)</v>
          </cell>
          <cell r="G627" t="str">
            <v>ENSEMBLE DROIT ETANCHEITE HVAC CABINE</v>
          </cell>
          <cell r="R627" t="str">
            <v>BT</v>
          </cell>
          <cell r="S627" t="str">
            <v>BT</v>
          </cell>
          <cell r="T627" t="str">
            <v>NA</v>
          </cell>
          <cell r="Z627" t="str">
            <v>RTS 193 JS2 EMC 07/09/2020</v>
          </cell>
          <cell r="AA627" t="str">
            <v>E</v>
          </cell>
          <cell r="AB627" t="str">
            <v>Mécanique</v>
          </cell>
          <cell r="AC627" t="str">
            <v>EMC</v>
          </cell>
          <cell r="AD627" t="str">
            <v>ST ET.4-10546</v>
          </cell>
          <cell r="AE627" t="str">
            <v>Documentation relative à l’étude et à la réalisation de systèmes mécaniques, électrotechniques, pneumatiques et hydrauliques</v>
          </cell>
          <cell r="AF627" t="str">
            <v>3.1.1.3</v>
          </cell>
          <cell r="AI627">
            <v>1</v>
          </cell>
          <cell r="AN627" t="str">
            <v>FP</v>
          </cell>
          <cell r="AP627" t="str">
            <v>FD</v>
          </cell>
          <cell r="CH627" t="e">
            <v>#N/A</v>
          </cell>
          <cell r="CI627" t="e">
            <v>#N/A</v>
          </cell>
          <cell r="CJ627" t="e">
            <v>#N/A</v>
          </cell>
        </row>
        <row r="628">
          <cell r="B628" t="str">
            <v>Ligne_198.3.2.83_PPD</v>
          </cell>
          <cell r="C628" t="str">
            <v>198.3.2.83</v>
          </cell>
          <cell r="E628" t="str">
            <v>Documentation des produits mécanique (DD?)</v>
          </cell>
          <cell r="G628" t="str">
            <v>ENSEMBLE GAUCHE ETANCHEITE HVAC CABINE</v>
          </cell>
          <cell r="R628" t="str">
            <v>BT</v>
          </cell>
          <cell r="S628" t="str">
            <v>BT</v>
          </cell>
          <cell r="T628" t="str">
            <v>NA</v>
          </cell>
          <cell r="Z628" t="str">
            <v>RTS 193 JS2 EMC 07/09/2020</v>
          </cell>
          <cell r="AA628" t="str">
            <v>E</v>
          </cell>
          <cell r="AB628" t="str">
            <v>Mécanique</v>
          </cell>
          <cell r="AC628" t="str">
            <v>EMC</v>
          </cell>
          <cell r="AD628" t="str">
            <v>ST ET.4-10546</v>
          </cell>
          <cell r="AE628" t="str">
            <v>Documentation relative à l’étude et à la réalisation de systèmes mécaniques, électrotechniques, pneumatiques et hydrauliques</v>
          </cell>
          <cell r="AF628" t="str">
            <v>3.1.1.3</v>
          </cell>
          <cell r="AI628">
            <v>1</v>
          </cell>
          <cell r="AN628" t="str">
            <v>FP</v>
          </cell>
          <cell r="AP628" t="str">
            <v>FD</v>
          </cell>
          <cell r="CH628" t="e">
            <v>#N/A</v>
          </cell>
          <cell r="CI628" t="e">
            <v>#N/A</v>
          </cell>
          <cell r="CJ628" t="e">
            <v>#N/A</v>
          </cell>
        </row>
        <row r="629">
          <cell r="B629" t="str">
            <v>Ligne_198.3.2.84_PPD</v>
          </cell>
          <cell r="C629" t="str">
            <v>198.3.2.84</v>
          </cell>
          <cell r="E629" t="str">
            <v>Documentation des produits mécanique (DD?)</v>
          </cell>
          <cell r="G629" t="str">
            <v>ENSEMBLE STRUCTURE PRIMAIRE FACE INTER</v>
          </cell>
          <cell r="R629" t="str">
            <v>BT</v>
          </cell>
          <cell r="S629" t="str">
            <v>BT</v>
          </cell>
          <cell r="T629" t="str">
            <v>NA</v>
          </cell>
          <cell r="Z629" t="str">
            <v>RTS 193 JS2 EMC 07/09/2020</v>
          </cell>
          <cell r="AA629" t="str">
            <v>E</v>
          </cell>
          <cell r="AB629" t="str">
            <v>Mécanique</v>
          </cell>
          <cell r="AC629" t="str">
            <v>EMC</v>
          </cell>
          <cell r="AD629" t="str">
            <v>ST ET.4-10546</v>
          </cell>
          <cell r="AE629" t="str">
            <v>Documentation relative à l’étude et à la réalisation de systèmes mécaniques, électrotechniques, pneumatiques et hydrauliques</v>
          </cell>
          <cell r="AF629" t="str">
            <v>3.1.1.3</v>
          </cell>
          <cell r="AI629">
            <v>1</v>
          </cell>
          <cell r="AN629" t="str">
            <v>FP</v>
          </cell>
          <cell r="AP629" t="str">
            <v>FD</v>
          </cell>
          <cell r="CH629" t="e">
            <v>#N/A</v>
          </cell>
          <cell r="CI629" t="e">
            <v>#N/A</v>
          </cell>
          <cell r="CJ629" t="e">
            <v>#N/A</v>
          </cell>
        </row>
        <row r="630">
          <cell r="B630" t="str">
            <v>Ligne_198.3.2.85_PPD</v>
          </cell>
          <cell r="C630" t="str">
            <v>198.3.2.85</v>
          </cell>
          <cell r="E630" t="str">
            <v>Documentation des produits mécanique (DD?)</v>
          </cell>
          <cell r="G630" t="str">
            <v>ENSEMBLE TOLAGE FACE INTER</v>
          </cell>
          <cell r="R630" t="str">
            <v>BT</v>
          </cell>
          <cell r="S630" t="str">
            <v>BT</v>
          </cell>
          <cell r="T630" t="str">
            <v>NA</v>
          </cell>
          <cell r="Z630" t="str">
            <v>RTS 193 JS2 EMC 07/09/2020</v>
          </cell>
          <cell r="AA630" t="str">
            <v>E</v>
          </cell>
          <cell r="AB630" t="str">
            <v>Mécanique</v>
          </cell>
          <cell r="AC630" t="str">
            <v>EMC</v>
          </cell>
          <cell r="AD630" t="str">
            <v>ST ET.4-10546</v>
          </cell>
          <cell r="AE630" t="str">
            <v>Documentation relative à l’étude et à la réalisation de systèmes mécaniques, électrotechniques, pneumatiques et hydrauliques</v>
          </cell>
          <cell r="AF630" t="str">
            <v>3.1.1.3</v>
          </cell>
          <cell r="AI630">
            <v>1</v>
          </cell>
          <cell r="AN630" t="str">
            <v>FP</v>
          </cell>
          <cell r="AP630" t="str">
            <v>FD</v>
          </cell>
          <cell r="CH630" t="e">
            <v>#N/A</v>
          </cell>
          <cell r="CI630" t="e">
            <v>#N/A</v>
          </cell>
          <cell r="CJ630" t="e">
            <v>#N/A</v>
          </cell>
        </row>
        <row r="631">
          <cell r="B631" t="str">
            <v>Ligne_198.3.2.86_PPD</v>
          </cell>
          <cell r="C631" t="str">
            <v>198.3.2.86</v>
          </cell>
          <cell r="E631" t="str">
            <v>Documentation des produits mécanique (DD?)</v>
          </cell>
          <cell r="G631" t="str">
            <v>ENSEMBLE OSSATURE FACE INTER</v>
          </cell>
          <cell r="R631" t="str">
            <v>BT</v>
          </cell>
          <cell r="S631" t="str">
            <v>BT</v>
          </cell>
          <cell r="T631" t="str">
            <v>NA</v>
          </cell>
          <cell r="Z631" t="str">
            <v>RTS 193 JS2 EMC 07/09/2020</v>
          </cell>
          <cell r="AA631" t="str">
            <v>E</v>
          </cell>
          <cell r="AB631" t="str">
            <v>Mécanique</v>
          </cell>
          <cell r="AC631" t="str">
            <v>EMC</v>
          </cell>
          <cell r="AD631" t="str">
            <v>ST ET.4-10546</v>
          </cell>
          <cell r="AE631" t="str">
            <v>Documentation relative à l’étude et à la réalisation de systèmes mécaniques, électrotechniques, pneumatiques et hydrauliques</v>
          </cell>
          <cell r="AF631" t="str">
            <v>3.1.1.3</v>
          </cell>
          <cell r="AI631">
            <v>1</v>
          </cell>
          <cell r="AN631" t="str">
            <v>FP</v>
          </cell>
          <cell r="AP631" t="str">
            <v>FD</v>
          </cell>
          <cell r="CH631" t="e">
            <v>#N/A</v>
          </cell>
          <cell r="CI631" t="e">
            <v>#N/A</v>
          </cell>
          <cell r="CJ631" t="e">
            <v>#N/A</v>
          </cell>
        </row>
        <row r="632">
          <cell r="B632" t="str">
            <v>Ligne_198.3.2.87_PPD</v>
          </cell>
          <cell r="C632" t="str">
            <v>198.3.2.87</v>
          </cell>
          <cell r="E632" t="str">
            <v>Documentation des produits mécanique (DD?)</v>
          </cell>
          <cell r="G632" t="str">
            <v>ENSEMBLE FIXATION BASSE FACE INTER</v>
          </cell>
          <cell r="R632" t="str">
            <v>BT</v>
          </cell>
          <cell r="S632" t="str">
            <v>BT</v>
          </cell>
          <cell r="T632" t="str">
            <v>NA</v>
          </cell>
          <cell r="Z632" t="str">
            <v>RTS 193 JS2 EMC 07/09/2020</v>
          </cell>
          <cell r="AA632" t="str">
            <v>E</v>
          </cell>
          <cell r="AB632" t="str">
            <v>Mécanique</v>
          </cell>
          <cell r="AC632" t="str">
            <v>EMC</v>
          </cell>
          <cell r="AD632" t="str">
            <v>ST ET.4-10546</v>
          </cell>
          <cell r="AE632" t="str">
            <v>Documentation relative à l’étude et à la réalisation de systèmes mécaniques, électrotechniques, pneumatiques et hydrauliques</v>
          </cell>
          <cell r="AF632" t="str">
            <v>3.1.1.3</v>
          </cell>
          <cell r="AI632">
            <v>1</v>
          </cell>
          <cell r="AN632" t="str">
            <v>FP</v>
          </cell>
          <cell r="AP632" t="str">
            <v>FD</v>
          </cell>
          <cell r="CH632" t="e">
            <v>#N/A</v>
          </cell>
          <cell r="CI632" t="e">
            <v>#N/A</v>
          </cell>
          <cell r="CJ632" t="e">
            <v>#N/A</v>
          </cell>
        </row>
        <row r="633">
          <cell r="B633" t="str">
            <v>Ligne_198.3.2.88_PPD</v>
          </cell>
          <cell r="C633" t="str">
            <v>198.3.2.88</v>
          </cell>
          <cell r="E633" t="str">
            <v>Documentation des produits mécanique (DD?)</v>
          </cell>
          <cell r="G633" t="str">
            <v>ENSEMBLE TRUMEAU FIXATION BOUT</v>
          </cell>
          <cell r="R633" t="str">
            <v>BT</v>
          </cell>
          <cell r="S633" t="str">
            <v>BT</v>
          </cell>
          <cell r="T633" t="str">
            <v>NA</v>
          </cell>
          <cell r="Z633" t="str">
            <v>RTS 193 JS2 EMC 07/09/2020</v>
          </cell>
          <cell r="AA633" t="str">
            <v>E</v>
          </cell>
          <cell r="AB633" t="str">
            <v>Mécanique</v>
          </cell>
          <cell r="AC633" t="str">
            <v>EMC</v>
          </cell>
          <cell r="AD633" t="str">
            <v>ST ET.4-10546</v>
          </cell>
          <cell r="AE633" t="str">
            <v>Documentation relative à l’étude et à la réalisation de systèmes mécaniques, électrotechniques, pneumatiques et hydrauliques</v>
          </cell>
          <cell r="AF633" t="str">
            <v>3.1.1.3</v>
          </cell>
          <cell r="AI633">
            <v>1</v>
          </cell>
          <cell r="AN633" t="str">
            <v>FP</v>
          </cell>
          <cell r="AP633" t="str">
            <v>FD</v>
          </cell>
          <cell r="CH633" t="e">
            <v>#N/A</v>
          </cell>
          <cell r="CI633" t="e">
            <v>#N/A</v>
          </cell>
          <cell r="CJ633" t="e">
            <v>#N/A</v>
          </cell>
        </row>
        <row r="634">
          <cell r="B634" t="str">
            <v>Ligne_198.3.2.89_PPD</v>
          </cell>
          <cell r="C634" t="str">
            <v>198.3.2.89</v>
          </cell>
          <cell r="E634" t="str">
            <v>Documentation des produits mécanique (DD?)</v>
          </cell>
          <cell r="G634" t="str">
            <v>ENSEMBLE POTELET FACE</v>
          </cell>
          <cell r="R634" t="str">
            <v>BT</v>
          </cell>
          <cell r="S634" t="str">
            <v>BT</v>
          </cell>
          <cell r="T634" t="str">
            <v>NA</v>
          </cell>
          <cell r="Z634" t="str">
            <v>RTS 193 JS2 EMC 07/09/2020</v>
          </cell>
          <cell r="AA634" t="str">
            <v>E</v>
          </cell>
          <cell r="AB634" t="str">
            <v>Mécanique</v>
          </cell>
          <cell r="AC634" t="str">
            <v>EMC</v>
          </cell>
          <cell r="AD634" t="str">
            <v>ST ET.4-10546</v>
          </cell>
          <cell r="AE634" t="str">
            <v>Documentation relative à l’étude et à la réalisation de systèmes mécaniques, électrotechniques, pneumatiques et hydrauliques</v>
          </cell>
          <cell r="AF634" t="str">
            <v>3.1.1.3</v>
          </cell>
          <cell r="AI634">
            <v>1</v>
          </cell>
          <cell r="AN634" t="str">
            <v>FP</v>
          </cell>
          <cell r="AP634" t="str">
            <v>FD</v>
          </cell>
          <cell r="CH634" t="e">
            <v>#N/A</v>
          </cell>
          <cell r="CI634" t="e">
            <v>#N/A</v>
          </cell>
          <cell r="CJ634" t="e">
            <v>#N/A</v>
          </cell>
        </row>
        <row r="635">
          <cell r="B635" t="str">
            <v>Ligne_198.3.2.90_PPD</v>
          </cell>
          <cell r="C635" t="str">
            <v>198.3.2.90</v>
          </cell>
          <cell r="E635" t="str">
            <v>Documentation des produits mécanique (DD?)</v>
          </cell>
          <cell r="G635" t="str">
            <v>ENSEMBLE TRUMEAU INTER FACE</v>
          </cell>
          <cell r="R635" t="str">
            <v>BT</v>
          </cell>
          <cell r="S635" t="str">
            <v>BT</v>
          </cell>
          <cell r="T635" t="str">
            <v>NA</v>
          </cell>
          <cell r="Z635" t="str">
            <v>RTS 193 JS2 EMC 07/09/2020</v>
          </cell>
          <cell r="AA635" t="str">
            <v>E</v>
          </cell>
          <cell r="AB635" t="str">
            <v>Mécanique</v>
          </cell>
          <cell r="AC635" t="str">
            <v>EMC</v>
          </cell>
          <cell r="AD635" t="str">
            <v>ST ET.4-10546</v>
          </cell>
          <cell r="AE635" t="str">
            <v>Documentation relative à l’étude et à la réalisation de systèmes mécaniques, électrotechniques, pneumatiques et hydrauliques</v>
          </cell>
          <cell r="AF635" t="str">
            <v>3.1.1.3</v>
          </cell>
          <cell r="AI635">
            <v>1</v>
          </cell>
          <cell r="AN635" t="str">
            <v>FP</v>
          </cell>
          <cell r="AP635" t="str">
            <v>FD</v>
          </cell>
          <cell r="CH635" t="e">
            <v>#N/A</v>
          </cell>
          <cell r="CI635" t="e">
            <v>#N/A</v>
          </cell>
          <cell r="CJ635" t="e">
            <v>#N/A</v>
          </cell>
        </row>
        <row r="636">
          <cell r="B636" t="str">
            <v>Ligne_198.3.2.91_PPD</v>
          </cell>
          <cell r="C636" t="str">
            <v>198.3.2.91</v>
          </cell>
          <cell r="E636" t="str">
            <v>Documentation des produits mécanique (DD?)</v>
          </cell>
          <cell r="G636" t="str">
            <v>ENSEMBLE FIXATION HAUTE PORTE TRUMEAU</v>
          </cell>
          <cell r="R636" t="str">
            <v>BT</v>
          </cell>
          <cell r="S636" t="str">
            <v>BT</v>
          </cell>
          <cell r="T636" t="str">
            <v>NA</v>
          </cell>
          <cell r="Z636" t="str">
            <v>RTS 193 JS2 EMC 07/09/2020</v>
          </cell>
          <cell r="AA636" t="str">
            <v>E</v>
          </cell>
          <cell r="AB636" t="str">
            <v>Mécanique</v>
          </cell>
          <cell r="AC636" t="str">
            <v>EMC</v>
          </cell>
          <cell r="AD636" t="str">
            <v>ST ET.4-10546</v>
          </cell>
          <cell r="AE636" t="str">
            <v>Documentation relative à l’étude et à la réalisation de systèmes mécaniques, électrotechniques, pneumatiques et hydrauliques</v>
          </cell>
          <cell r="AF636" t="str">
            <v>3.1.1.3</v>
          </cell>
          <cell r="AI636">
            <v>1</v>
          </cell>
          <cell r="AN636" t="str">
            <v>FP</v>
          </cell>
          <cell r="AP636" t="str">
            <v>FD</v>
          </cell>
          <cell r="CH636" t="e">
            <v>#N/A</v>
          </cell>
          <cell r="CI636" t="e">
            <v>#N/A</v>
          </cell>
          <cell r="CJ636" t="e">
            <v>#N/A</v>
          </cell>
        </row>
        <row r="637">
          <cell r="B637" t="str">
            <v>Ligne_198.3.2.92_PPD</v>
          </cell>
          <cell r="C637" t="str">
            <v>198.3.2.92</v>
          </cell>
          <cell r="E637" t="str">
            <v>Documentation des produits mécanique (DD?)</v>
          </cell>
          <cell r="G637" t="str">
            <v>ENSEMBLE LONGRINE BASSE</v>
          </cell>
          <cell r="R637" t="str">
            <v>BT</v>
          </cell>
          <cell r="S637" t="str">
            <v>BT</v>
          </cell>
          <cell r="T637" t="str">
            <v>NA</v>
          </cell>
          <cell r="Z637" t="str">
            <v>RTS 193 JS2 EMC 07/09/2020</v>
          </cell>
          <cell r="AA637" t="str">
            <v>E</v>
          </cell>
          <cell r="AB637" t="str">
            <v>Mécanique</v>
          </cell>
          <cell r="AC637" t="str">
            <v>EMC</v>
          </cell>
          <cell r="AD637" t="str">
            <v>ST ET.4-10546</v>
          </cell>
          <cell r="AE637" t="str">
            <v>Documentation relative à l’étude et à la réalisation de systèmes mécaniques, électrotechniques, pneumatiques et hydrauliques</v>
          </cell>
          <cell r="AF637" t="str">
            <v>3.1.1.3</v>
          </cell>
          <cell r="AI637">
            <v>1</v>
          </cell>
          <cell r="AN637" t="str">
            <v>FP</v>
          </cell>
          <cell r="AP637" t="str">
            <v>FD</v>
          </cell>
          <cell r="CH637" t="e">
            <v>#N/A</v>
          </cell>
          <cell r="CI637" t="e">
            <v>#N/A</v>
          </cell>
          <cell r="CJ637" t="e">
            <v>#N/A</v>
          </cell>
        </row>
        <row r="638">
          <cell r="B638" t="str">
            <v>Ligne_198.3.2.93_PPD</v>
          </cell>
          <cell r="C638" t="str">
            <v>198.3.2.93</v>
          </cell>
          <cell r="E638" t="str">
            <v>Documentation des produits mécanique (DD?)</v>
          </cell>
          <cell r="G638" t="str">
            <v>ENSEMBLE STRUCTURE PRIMAIRE FACE INTER</v>
          </cell>
          <cell r="R638" t="str">
            <v>BT</v>
          </cell>
          <cell r="S638" t="str">
            <v>BT</v>
          </cell>
          <cell r="T638" t="str">
            <v>NA</v>
          </cell>
          <cell r="Z638" t="str">
            <v>RTS 193 JS2 EMC 07/09/2020</v>
          </cell>
          <cell r="AA638" t="str">
            <v>E</v>
          </cell>
          <cell r="AB638" t="str">
            <v>Mécanique</v>
          </cell>
          <cell r="AC638" t="str">
            <v>EMC</v>
          </cell>
          <cell r="AD638" t="str">
            <v>ST ET.4-10546</v>
          </cell>
          <cell r="AE638" t="str">
            <v>Documentation relative à l’étude et à la réalisation de systèmes mécaniques, électrotechniques, pneumatiques et hydrauliques</v>
          </cell>
          <cell r="AF638" t="str">
            <v>3.1.1.3</v>
          </cell>
          <cell r="AI638">
            <v>1</v>
          </cell>
          <cell r="AN638" t="str">
            <v>FP</v>
          </cell>
          <cell r="AP638" t="str">
            <v>FD</v>
          </cell>
          <cell r="CH638" t="e">
            <v>#N/A</v>
          </cell>
          <cell r="CI638" t="e">
            <v>#N/A</v>
          </cell>
          <cell r="CJ638" t="e">
            <v>#N/A</v>
          </cell>
        </row>
        <row r="639">
          <cell r="B639" t="str">
            <v>Ligne_198.3.2.94_PPD</v>
          </cell>
          <cell r="C639" t="str">
            <v>198.3.2.94</v>
          </cell>
          <cell r="E639" t="str">
            <v>Documentation des produits mécanique (DD?)</v>
          </cell>
          <cell r="G639" t="str">
            <v>ENSEMBLE TOLAGE FACE INTER</v>
          </cell>
          <cell r="R639" t="str">
            <v>BT</v>
          </cell>
          <cell r="S639" t="str">
            <v>BT</v>
          </cell>
          <cell r="T639" t="str">
            <v>NA</v>
          </cell>
          <cell r="Z639" t="str">
            <v>RTS 193 JS2 EMC 07/09/2020</v>
          </cell>
          <cell r="AA639" t="str">
            <v>E</v>
          </cell>
          <cell r="AB639" t="str">
            <v>Mécanique</v>
          </cell>
          <cell r="AC639" t="str">
            <v>EMC</v>
          </cell>
          <cell r="AD639" t="str">
            <v>ST ET.4-10546</v>
          </cell>
          <cell r="AE639" t="str">
            <v>Documentation relative à l’étude et à la réalisation de systèmes mécaniques, électrotechniques, pneumatiques et hydrauliques</v>
          </cell>
          <cell r="AF639" t="str">
            <v>3.1.1.3</v>
          </cell>
          <cell r="AI639">
            <v>1</v>
          </cell>
          <cell r="AN639" t="str">
            <v>FP</v>
          </cell>
          <cell r="AP639" t="str">
            <v>FD</v>
          </cell>
          <cell r="CH639" t="e">
            <v>#N/A</v>
          </cell>
          <cell r="CI639" t="e">
            <v>#N/A</v>
          </cell>
          <cell r="CJ639" t="e">
            <v>#N/A</v>
          </cell>
        </row>
        <row r="640">
          <cell r="B640" t="str">
            <v>Ligne_198.3.2.95_PPD</v>
          </cell>
          <cell r="C640" t="str">
            <v>198.3.2.95</v>
          </cell>
          <cell r="E640" t="str">
            <v>Documentation des produits mécanique (DD?)</v>
          </cell>
          <cell r="G640" t="str">
            <v>ENSEMBLE OSSATURE FACE INTER</v>
          </cell>
          <cell r="R640" t="str">
            <v>BT</v>
          </cell>
          <cell r="S640" t="str">
            <v>BT</v>
          </cell>
          <cell r="T640" t="str">
            <v>NA</v>
          </cell>
          <cell r="Z640" t="str">
            <v>RTS 193 JS2 EMC 07/09/2020</v>
          </cell>
          <cell r="AA640" t="str">
            <v>E</v>
          </cell>
          <cell r="AB640" t="str">
            <v>Mécanique</v>
          </cell>
          <cell r="AC640" t="str">
            <v>EMC</v>
          </cell>
          <cell r="AD640" t="str">
            <v>ST ET.4-10546</v>
          </cell>
          <cell r="AE640" t="str">
            <v>Documentation relative à l’étude et à la réalisation de systèmes mécaniques, électrotechniques, pneumatiques et hydrauliques</v>
          </cell>
          <cell r="AF640" t="str">
            <v>3.1.1.3</v>
          </cell>
          <cell r="AI640">
            <v>1</v>
          </cell>
          <cell r="AN640" t="str">
            <v>FP</v>
          </cell>
          <cell r="AP640" t="str">
            <v>FD</v>
          </cell>
          <cell r="CH640" t="e">
            <v>#N/A</v>
          </cell>
          <cell r="CI640" t="e">
            <v>#N/A</v>
          </cell>
          <cell r="CJ640" t="e">
            <v>#N/A</v>
          </cell>
        </row>
        <row r="641">
          <cell r="B641" t="str">
            <v>Ligne_198.3.2.96_PPD</v>
          </cell>
          <cell r="C641" t="str">
            <v>198.3.2.96</v>
          </cell>
          <cell r="E641" t="str">
            <v>Documentation des produits mécanique (DD?)</v>
          </cell>
          <cell r="G641" t="str">
            <v>ENSEMBLE TRUMEAU FIXATION BOUT</v>
          </cell>
          <cell r="R641" t="str">
            <v>BT</v>
          </cell>
          <cell r="S641" t="str">
            <v>BT</v>
          </cell>
          <cell r="T641" t="str">
            <v>NA</v>
          </cell>
          <cell r="Z641" t="str">
            <v>RTS 193 JS2 EMC 07/09/2020</v>
          </cell>
          <cell r="AA641" t="str">
            <v>E</v>
          </cell>
          <cell r="AB641" t="str">
            <v>Mécanique</v>
          </cell>
          <cell r="AC641" t="str">
            <v>EMC</v>
          </cell>
          <cell r="AD641" t="str">
            <v>ST ET.4-10546</v>
          </cell>
          <cell r="AE641" t="str">
            <v>Documentation relative à l’étude et à la réalisation de systèmes mécaniques, électrotechniques, pneumatiques et hydrauliques</v>
          </cell>
          <cell r="AF641" t="str">
            <v>3.1.1.3</v>
          </cell>
          <cell r="AI641">
            <v>1</v>
          </cell>
          <cell r="AN641" t="str">
            <v>FP</v>
          </cell>
          <cell r="AP641" t="str">
            <v>FD</v>
          </cell>
          <cell r="CH641" t="e">
            <v>#N/A</v>
          </cell>
          <cell r="CI641" t="e">
            <v>#N/A</v>
          </cell>
          <cell r="CJ641" t="e">
            <v>#N/A</v>
          </cell>
        </row>
        <row r="642">
          <cell r="B642" t="str">
            <v>Ligne_198.3.2.97_PPD</v>
          </cell>
          <cell r="C642" t="str">
            <v>198.3.2.97</v>
          </cell>
          <cell r="E642" t="str">
            <v>Documentation des produits mécanique (DD?)</v>
          </cell>
          <cell r="G642" t="str">
            <v>ENSEMBLE FIXATION BASSE FACE INTER</v>
          </cell>
          <cell r="R642" t="str">
            <v>BT</v>
          </cell>
          <cell r="S642" t="str">
            <v>BT</v>
          </cell>
          <cell r="T642" t="str">
            <v>NA</v>
          </cell>
          <cell r="Z642" t="str">
            <v>RTS 193 JS2 EMC 07/09/2020</v>
          </cell>
          <cell r="AA642" t="str">
            <v>E</v>
          </cell>
          <cell r="AB642" t="str">
            <v>Mécanique</v>
          </cell>
          <cell r="AC642" t="str">
            <v>EMC</v>
          </cell>
          <cell r="AD642" t="str">
            <v>ST ET.4-10546</v>
          </cell>
          <cell r="AE642" t="str">
            <v>Documentation relative à l’étude et à la réalisation de systèmes mécaniques, électrotechniques, pneumatiques et hydrauliques</v>
          </cell>
          <cell r="AF642" t="str">
            <v>3.1.1.3</v>
          </cell>
          <cell r="AI642">
            <v>1</v>
          </cell>
          <cell r="AN642" t="str">
            <v>FP</v>
          </cell>
          <cell r="AP642" t="str">
            <v>FD</v>
          </cell>
          <cell r="CH642" t="e">
            <v>#N/A</v>
          </cell>
          <cell r="CI642" t="e">
            <v>#N/A</v>
          </cell>
          <cell r="CJ642" t="e">
            <v>#N/A</v>
          </cell>
        </row>
        <row r="643">
          <cell r="B643" t="str">
            <v>Ligne_198.3.2.98_PPD</v>
          </cell>
          <cell r="C643" t="str">
            <v>198.3.2.98</v>
          </cell>
          <cell r="E643" t="str">
            <v>Documentation des produits mécanique (DD?)</v>
          </cell>
          <cell r="G643" t="str">
            <v>ENSEMBLE TRUMEAU FACE</v>
          </cell>
          <cell r="R643" t="str">
            <v>BT</v>
          </cell>
          <cell r="S643" t="str">
            <v>BT</v>
          </cell>
          <cell r="T643" t="str">
            <v>NA</v>
          </cell>
          <cell r="Z643" t="str">
            <v>RTS 193 JS2 EMC 07/09/2020</v>
          </cell>
          <cell r="AA643" t="str">
            <v>E</v>
          </cell>
          <cell r="AB643" t="str">
            <v>Mécanique</v>
          </cell>
          <cell r="AC643" t="str">
            <v>EMC</v>
          </cell>
          <cell r="AD643" t="str">
            <v>ST ET.4-10546</v>
          </cell>
          <cell r="AE643" t="str">
            <v>Documentation relative à l’étude et à la réalisation de systèmes mécaniques, électrotechniques, pneumatiques et hydrauliques</v>
          </cell>
          <cell r="AF643" t="str">
            <v>3.1.1.3</v>
          </cell>
          <cell r="AI643">
            <v>1</v>
          </cell>
          <cell r="AN643" t="str">
            <v>FP</v>
          </cell>
          <cell r="AP643" t="str">
            <v>FD</v>
          </cell>
          <cell r="CH643" t="e">
            <v>#N/A</v>
          </cell>
          <cell r="CI643" t="e">
            <v>#N/A</v>
          </cell>
          <cell r="CJ643" t="e">
            <v>#N/A</v>
          </cell>
        </row>
        <row r="644">
          <cell r="B644" t="str">
            <v>Ligne_198.3.2.99_PPD</v>
          </cell>
          <cell r="C644" t="str">
            <v>198.3.2.99</v>
          </cell>
          <cell r="E644" t="str">
            <v>Documentation des produits mécanique (DD?)</v>
          </cell>
          <cell r="G644" t="str">
            <v>ENSEMBLE FIXATION HAUTE PORTE TRUMEAU</v>
          </cell>
          <cell r="R644" t="str">
            <v>BT</v>
          </cell>
          <cell r="S644" t="str">
            <v>BT</v>
          </cell>
          <cell r="T644" t="str">
            <v>NA</v>
          </cell>
          <cell r="Z644" t="str">
            <v>RTS 193 JS2 EMC 07/09/2020</v>
          </cell>
          <cell r="AA644" t="str">
            <v>E</v>
          </cell>
          <cell r="AB644" t="str">
            <v>Mécanique</v>
          </cell>
          <cell r="AC644" t="str">
            <v>EMC</v>
          </cell>
          <cell r="AD644" t="str">
            <v>ST ET.4-10546</v>
          </cell>
          <cell r="AE644" t="str">
            <v>Documentation relative à l’étude et à la réalisation de systèmes mécaniques, électrotechniques, pneumatiques et hydrauliques</v>
          </cell>
          <cell r="AF644" t="str">
            <v>3.1.1.3</v>
          </cell>
          <cell r="AI644">
            <v>1</v>
          </cell>
          <cell r="AN644" t="str">
            <v>FP</v>
          </cell>
          <cell r="AP644" t="str">
            <v>FD</v>
          </cell>
          <cell r="CH644" t="e">
            <v>#N/A</v>
          </cell>
          <cell r="CI644" t="e">
            <v>#N/A</v>
          </cell>
          <cell r="CJ644" t="e">
            <v>#N/A</v>
          </cell>
        </row>
        <row r="645">
          <cell r="B645" t="str">
            <v>Ligne_198.3.2.100_PPD</v>
          </cell>
          <cell r="C645" t="str">
            <v>198.3.2.100</v>
          </cell>
          <cell r="E645" t="str">
            <v>Documentation des produits mécanique (DD?)</v>
          </cell>
          <cell r="G645" t="str">
            <v>ENSEMBLE STRUCTURE PRIMAIRE FACE CAB</v>
          </cell>
          <cell r="R645" t="str">
            <v>BT</v>
          </cell>
          <cell r="S645" t="str">
            <v>BT</v>
          </cell>
          <cell r="T645" t="str">
            <v>NA</v>
          </cell>
          <cell r="Z645" t="str">
            <v>RTS 193 JS2 EMC 07/09/2020</v>
          </cell>
          <cell r="AA645" t="str">
            <v>E</v>
          </cell>
          <cell r="AB645" t="str">
            <v>Mécanique</v>
          </cell>
          <cell r="AC645" t="str">
            <v>EMC</v>
          </cell>
          <cell r="AD645" t="str">
            <v>ST ET.4-10546</v>
          </cell>
          <cell r="AE645" t="str">
            <v>Documentation relative à l’étude et à la réalisation de systèmes mécaniques, électrotechniques, pneumatiques et hydrauliques</v>
          </cell>
          <cell r="AF645" t="str">
            <v>3.1.1.3</v>
          </cell>
          <cell r="AI645">
            <v>1</v>
          </cell>
          <cell r="AN645" t="str">
            <v>FP</v>
          </cell>
          <cell r="AP645" t="str">
            <v>FD</v>
          </cell>
          <cell r="CH645" t="e">
            <v>#N/A</v>
          </cell>
          <cell r="CI645" t="e">
            <v>#N/A</v>
          </cell>
          <cell r="CJ645" t="e">
            <v>#N/A</v>
          </cell>
        </row>
        <row r="646">
          <cell r="B646" t="str">
            <v>Ligne_198.3.2.101_PPD</v>
          </cell>
          <cell r="C646" t="str">
            <v>198.3.2.101</v>
          </cell>
          <cell r="E646" t="str">
            <v>Documentation des produits mécanique (DD?)</v>
          </cell>
          <cell r="G646" t="str">
            <v>ENSEMBLE TOLAGE FACE CAB</v>
          </cell>
          <cell r="R646" t="str">
            <v>BT</v>
          </cell>
          <cell r="S646" t="str">
            <v>BT</v>
          </cell>
          <cell r="T646" t="str">
            <v>NA</v>
          </cell>
          <cell r="Z646" t="str">
            <v>RTS 193 JS2 EMC 07/09/2020</v>
          </cell>
          <cell r="AA646" t="str">
            <v>E</v>
          </cell>
          <cell r="AB646" t="str">
            <v>Mécanique</v>
          </cell>
          <cell r="AC646" t="str">
            <v>EMC</v>
          </cell>
          <cell r="AD646" t="str">
            <v>ST ET.4-10546</v>
          </cell>
          <cell r="AE646" t="str">
            <v>Documentation relative à l’étude et à la réalisation de systèmes mécaniques, électrotechniques, pneumatiques et hydrauliques</v>
          </cell>
          <cell r="AF646" t="str">
            <v>3.1.1.3</v>
          </cell>
          <cell r="AI646">
            <v>1</v>
          </cell>
          <cell r="AN646" t="str">
            <v>FP</v>
          </cell>
          <cell r="AP646" t="str">
            <v>FD</v>
          </cell>
          <cell r="CH646" t="e">
            <v>#N/A</v>
          </cell>
          <cell r="CI646" t="e">
            <v>#N/A</v>
          </cell>
          <cell r="CJ646" t="e">
            <v>#N/A</v>
          </cell>
        </row>
        <row r="647">
          <cell r="B647" t="str">
            <v>Ligne_198.3.2.102_PPD</v>
          </cell>
          <cell r="C647" t="str">
            <v>198.3.2.102</v>
          </cell>
          <cell r="E647" t="str">
            <v>Documentation des produits mécanique (DD?)</v>
          </cell>
          <cell r="G647" t="str">
            <v>ENSEMBLE OSSATURE FACE CAB</v>
          </cell>
          <cell r="R647" t="str">
            <v>BT</v>
          </cell>
          <cell r="S647" t="str">
            <v>BT</v>
          </cell>
          <cell r="T647" t="str">
            <v>NA</v>
          </cell>
          <cell r="Z647" t="str">
            <v>RTS 193 JS2 EMC 07/09/2020</v>
          </cell>
          <cell r="AA647" t="str">
            <v>E</v>
          </cell>
          <cell r="AB647" t="str">
            <v>Mécanique</v>
          </cell>
          <cell r="AC647" t="str">
            <v>EMC</v>
          </cell>
          <cell r="AD647" t="str">
            <v>ST ET.4-10546</v>
          </cell>
          <cell r="AE647" t="str">
            <v>Documentation relative à l’étude et à la réalisation de systèmes mécaniques, électrotechniques, pneumatiques et hydrauliques</v>
          </cell>
          <cell r="AF647" t="str">
            <v>3.1.1.3</v>
          </cell>
          <cell r="AI647">
            <v>1</v>
          </cell>
          <cell r="AN647" t="str">
            <v>FP</v>
          </cell>
          <cell r="AP647" t="str">
            <v>FD</v>
          </cell>
          <cell r="CH647" t="e">
            <v>#N/A</v>
          </cell>
          <cell r="CI647" t="e">
            <v>#N/A</v>
          </cell>
          <cell r="CJ647" t="e">
            <v>#N/A</v>
          </cell>
        </row>
        <row r="648">
          <cell r="B648" t="str">
            <v>Ligne_198.3.2.103_PPD</v>
          </cell>
          <cell r="C648" t="str">
            <v>198.3.2.103</v>
          </cell>
          <cell r="E648" t="str">
            <v>Documentation des produits mécanique (DD?)</v>
          </cell>
          <cell r="G648" t="str">
            <v>ENSEMBLE TRUMEAU FIXATION CAB</v>
          </cell>
          <cell r="R648" t="str">
            <v>BT</v>
          </cell>
          <cell r="S648" t="str">
            <v>BT</v>
          </cell>
          <cell r="T648" t="str">
            <v>NA</v>
          </cell>
          <cell r="Z648" t="str">
            <v>RTS 193 JS2 EMC 07/09/2020</v>
          </cell>
          <cell r="AA648" t="str">
            <v>E</v>
          </cell>
          <cell r="AB648" t="str">
            <v>Mécanique</v>
          </cell>
          <cell r="AC648" t="str">
            <v>EMC</v>
          </cell>
          <cell r="AD648" t="str">
            <v>ST ET.4-10546</v>
          </cell>
          <cell r="AE648" t="str">
            <v>Documentation relative à l’étude et à la réalisation de systèmes mécaniques, électrotechniques, pneumatiques et hydrauliques</v>
          </cell>
          <cell r="AF648" t="str">
            <v>3.1.1.3</v>
          </cell>
          <cell r="AI648">
            <v>1</v>
          </cell>
          <cell r="AN648" t="str">
            <v>FP</v>
          </cell>
          <cell r="AP648" t="str">
            <v>FD</v>
          </cell>
          <cell r="CH648" t="e">
            <v>#N/A</v>
          </cell>
          <cell r="CI648" t="e">
            <v>#N/A</v>
          </cell>
          <cell r="CJ648" t="e">
            <v>#N/A</v>
          </cell>
        </row>
        <row r="649">
          <cell r="B649" t="str">
            <v>Ligne_198.3.2.104_PPD</v>
          </cell>
          <cell r="C649" t="str">
            <v>198.3.2.104</v>
          </cell>
          <cell r="E649" t="str">
            <v>Documentation des produits mécanique (DD?)</v>
          </cell>
          <cell r="G649" t="str">
            <v>ENSEMBLE FIXATION BASSE FACE CAB</v>
          </cell>
          <cell r="R649" t="str">
            <v>BT</v>
          </cell>
          <cell r="S649" t="str">
            <v>BT</v>
          </cell>
          <cell r="T649" t="str">
            <v>NA</v>
          </cell>
          <cell r="Z649" t="str">
            <v>RTS 193 JS2 EMC 07/09/2020</v>
          </cell>
          <cell r="AA649" t="str">
            <v>E</v>
          </cell>
          <cell r="AB649" t="str">
            <v>Mécanique</v>
          </cell>
          <cell r="AC649" t="str">
            <v>EMC</v>
          </cell>
          <cell r="AD649" t="str">
            <v>ST ET.4-10546</v>
          </cell>
          <cell r="AE649" t="str">
            <v>Documentation relative à l’étude et à la réalisation de systèmes mécaniques, électrotechniques, pneumatiques et hydrauliques</v>
          </cell>
          <cell r="AF649" t="str">
            <v>3.1.1.3</v>
          </cell>
          <cell r="AI649">
            <v>1</v>
          </cell>
          <cell r="AN649" t="str">
            <v>FP</v>
          </cell>
          <cell r="AP649" t="str">
            <v>FD</v>
          </cell>
          <cell r="CH649" t="e">
            <v>#N/A</v>
          </cell>
          <cell r="CI649" t="e">
            <v>#N/A</v>
          </cell>
          <cell r="CJ649" t="e">
            <v>#N/A</v>
          </cell>
        </row>
        <row r="650">
          <cell r="B650" t="str">
            <v>Ligne_198.3.2.105_PPD</v>
          </cell>
          <cell r="C650" t="str">
            <v>198.3.2.105</v>
          </cell>
          <cell r="E650" t="str">
            <v>Documentation des produits mécanique (DD?)</v>
          </cell>
          <cell r="G650" t="str">
            <v>ENSEMBLE STRUCTURE PRIMAIRE FACE CAB</v>
          </cell>
          <cell r="R650" t="str">
            <v>BT</v>
          </cell>
          <cell r="S650" t="str">
            <v>BT</v>
          </cell>
          <cell r="T650" t="str">
            <v>NA</v>
          </cell>
          <cell r="Z650" t="str">
            <v>RTS 193 JS2 EMC 07/09/2020</v>
          </cell>
          <cell r="AA650" t="str">
            <v>E</v>
          </cell>
          <cell r="AB650" t="str">
            <v>Mécanique</v>
          </cell>
          <cell r="AC650" t="str">
            <v>EMC</v>
          </cell>
          <cell r="AD650" t="str">
            <v>ST ET.4-10546</v>
          </cell>
          <cell r="AE650" t="str">
            <v>Documentation relative à l’étude et à la réalisation de systèmes mécaniques, électrotechniques, pneumatiques et hydrauliques</v>
          </cell>
          <cell r="AF650" t="str">
            <v>3.1.1.3</v>
          </cell>
          <cell r="AI650">
            <v>1</v>
          </cell>
          <cell r="AN650" t="str">
            <v>FP</v>
          </cell>
          <cell r="AP650" t="str">
            <v>FD</v>
          </cell>
          <cell r="CH650" t="e">
            <v>#N/A</v>
          </cell>
          <cell r="CI650" t="e">
            <v>#N/A</v>
          </cell>
          <cell r="CJ650" t="e">
            <v>#N/A</v>
          </cell>
        </row>
        <row r="651">
          <cell r="B651" t="str">
            <v>Ligne_198.3.2.106_PPD</v>
          </cell>
          <cell r="C651" t="str">
            <v>198.3.2.106</v>
          </cell>
          <cell r="E651" t="str">
            <v>Documentation des produits mécanique (DD?)</v>
          </cell>
          <cell r="G651" t="str">
            <v>ENSEMBLE OSSATURE FACE CAB</v>
          </cell>
          <cell r="R651" t="str">
            <v>BT</v>
          </cell>
          <cell r="S651" t="str">
            <v>BT</v>
          </cell>
          <cell r="T651" t="str">
            <v>NA</v>
          </cell>
          <cell r="Z651" t="str">
            <v>RTS 193 JS2 EMC 07/09/2020</v>
          </cell>
          <cell r="AA651" t="str">
            <v>E</v>
          </cell>
          <cell r="AB651" t="str">
            <v>Mécanique</v>
          </cell>
          <cell r="AC651" t="str">
            <v>EMC</v>
          </cell>
          <cell r="AD651" t="str">
            <v>ST ET.4-10546</v>
          </cell>
          <cell r="AE651" t="str">
            <v>Documentation relative à l’étude et à la réalisation de systèmes mécaniques, électrotechniques, pneumatiques et hydrauliques</v>
          </cell>
          <cell r="AF651" t="str">
            <v>3.1.1.3</v>
          </cell>
          <cell r="AI651">
            <v>1</v>
          </cell>
          <cell r="AN651" t="str">
            <v>FP</v>
          </cell>
          <cell r="AP651" t="str">
            <v>FD</v>
          </cell>
          <cell r="CH651" t="e">
            <v>#N/A</v>
          </cell>
          <cell r="CI651" t="e">
            <v>#N/A</v>
          </cell>
          <cell r="CJ651" t="e">
            <v>#N/A</v>
          </cell>
        </row>
        <row r="652">
          <cell r="B652" t="str">
            <v>Ligne_198.3.2.107_PPD</v>
          </cell>
          <cell r="C652" t="str">
            <v>198.3.2.107</v>
          </cell>
          <cell r="E652" t="str">
            <v>Documentation des produits mécanique (DD?)</v>
          </cell>
          <cell r="G652" t="str">
            <v>ENSEMBLE TRUMEAU FIXATION CAB</v>
          </cell>
          <cell r="R652" t="str">
            <v>BT</v>
          </cell>
          <cell r="S652" t="str">
            <v>BT</v>
          </cell>
          <cell r="T652" t="str">
            <v>NA</v>
          </cell>
          <cell r="Z652" t="str">
            <v>RTS 193 JS2 EMC 07/09/2020</v>
          </cell>
          <cell r="AA652" t="str">
            <v>E</v>
          </cell>
          <cell r="AB652" t="str">
            <v>Mécanique</v>
          </cell>
          <cell r="AC652" t="str">
            <v>EMC</v>
          </cell>
          <cell r="AD652" t="str">
            <v>ST ET.4-10546</v>
          </cell>
          <cell r="AE652" t="str">
            <v>Documentation relative à l’étude et à la réalisation de systèmes mécaniques, électrotechniques, pneumatiques et hydrauliques</v>
          </cell>
          <cell r="AF652" t="str">
            <v>3.1.1.3</v>
          </cell>
          <cell r="AI652">
            <v>1</v>
          </cell>
          <cell r="AN652" t="str">
            <v>FP</v>
          </cell>
          <cell r="AP652" t="str">
            <v>FD</v>
          </cell>
          <cell r="CH652" t="e">
            <v>#N/A</v>
          </cell>
          <cell r="CI652" t="e">
            <v>#N/A</v>
          </cell>
          <cell r="CJ652" t="e">
            <v>#N/A</v>
          </cell>
        </row>
        <row r="653">
          <cell r="B653" t="str">
            <v>Ligne_198.3.2.108_PPD</v>
          </cell>
          <cell r="C653" t="str">
            <v>198.3.2.108</v>
          </cell>
          <cell r="E653" t="str">
            <v>Documentation des produits mécanique (DD?)</v>
          </cell>
          <cell r="G653" t="str">
            <v>ENSEMBLE FIXATION BASSE FACE CAB</v>
          </cell>
          <cell r="R653" t="str">
            <v>BT</v>
          </cell>
          <cell r="S653" t="str">
            <v>BT</v>
          </cell>
          <cell r="T653" t="str">
            <v>NA</v>
          </cell>
          <cell r="Z653" t="str">
            <v>RTS 193 JS2 EMC 07/09/2020</v>
          </cell>
          <cell r="AA653" t="str">
            <v>E</v>
          </cell>
          <cell r="AB653" t="str">
            <v>Mécanique</v>
          </cell>
          <cell r="AC653" t="str">
            <v>EMC</v>
          </cell>
          <cell r="AD653" t="str">
            <v>ST ET.4-10546</v>
          </cell>
          <cell r="AE653" t="str">
            <v>Documentation relative à l’étude et à la réalisation de systèmes mécaniques, électrotechniques, pneumatiques et hydrauliques</v>
          </cell>
          <cell r="AF653" t="str">
            <v>3.1.1.3</v>
          </cell>
          <cell r="AI653">
            <v>1</v>
          </cell>
          <cell r="AN653" t="str">
            <v>FP</v>
          </cell>
          <cell r="AP653" t="str">
            <v>FD</v>
          </cell>
          <cell r="CH653" t="e">
            <v>#N/A</v>
          </cell>
          <cell r="CI653" t="e">
            <v>#N/A</v>
          </cell>
          <cell r="CJ653" t="e">
            <v>#N/A</v>
          </cell>
        </row>
        <row r="654">
          <cell r="B654" t="str">
            <v>Ligne_198.3.2.109_PPD</v>
          </cell>
          <cell r="C654" t="str">
            <v>198.3.2.109</v>
          </cell>
          <cell r="E654" t="str">
            <v>Documentation des produits mécanique (DD?)</v>
          </cell>
          <cell r="G654" t="str">
            <v>ENSEMBLE TOLAGE FACE CAB</v>
          </cell>
          <cell r="R654" t="str">
            <v>BT</v>
          </cell>
          <cell r="S654" t="str">
            <v>BT</v>
          </cell>
          <cell r="T654" t="str">
            <v>NA</v>
          </cell>
          <cell r="Z654" t="str">
            <v>RTS 193 JS2 EMC 07/09/2020</v>
          </cell>
          <cell r="AA654" t="str">
            <v>E</v>
          </cell>
          <cell r="AB654" t="str">
            <v>Mécanique</v>
          </cell>
          <cell r="AC654" t="str">
            <v>EMC</v>
          </cell>
          <cell r="AD654" t="str">
            <v>ST ET.4-10546</v>
          </cell>
          <cell r="AE654" t="str">
            <v>Documentation relative à l’étude et à la réalisation de systèmes mécaniques, électrotechniques, pneumatiques et hydrauliques</v>
          </cell>
          <cell r="AF654" t="str">
            <v>3.1.1.3</v>
          </cell>
          <cell r="AI654">
            <v>1</v>
          </cell>
          <cell r="AN654" t="str">
            <v>FP</v>
          </cell>
          <cell r="AP654" t="str">
            <v>FD</v>
          </cell>
          <cell r="CH654" t="e">
            <v>#N/A</v>
          </cell>
          <cell r="CI654" t="e">
            <v>#N/A</v>
          </cell>
          <cell r="CJ654" t="e">
            <v>#N/A</v>
          </cell>
        </row>
        <row r="655">
          <cell r="B655" t="str">
            <v>Ligne_198.3.2.110_PPD</v>
          </cell>
          <cell r="C655" t="str">
            <v>198.3.2.110</v>
          </cell>
          <cell r="E655" t="str">
            <v>Documentation des produits mécanique (DD?)</v>
          </cell>
          <cell r="G655" t="str">
            <v>ENS STRUCTURE PRIMAIRE FACE CENTRALE</v>
          </cell>
          <cell r="R655" t="str">
            <v>BT</v>
          </cell>
          <cell r="S655" t="str">
            <v>BT</v>
          </cell>
          <cell r="T655" t="str">
            <v>NA</v>
          </cell>
          <cell r="Z655" t="str">
            <v>RTS 193 JS2 EMC 07/09/2020</v>
          </cell>
          <cell r="AA655" t="str">
            <v>E</v>
          </cell>
          <cell r="AB655" t="str">
            <v>Mécanique</v>
          </cell>
          <cell r="AC655" t="str">
            <v>EMC</v>
          </cell>
          <cell r="AD655" t="str">
            <v>ST ET.4-10546</v>
          </cell>
          <cell r="AE655" t="str">
            <v>Documentation relative à l’étude et à la réalisation de systèmes mécaniques, électrotechniques, pneumatiques et hydrauliques</v>
          </cell>
          <cell r="AF655" t="str">
            <v>3.1.1.3</v>
          </cell>
          <cell r="AI655">
            <v>1</v>
          </cell>
          <cell r="AN655" t="str">
            <v>FP</v>
          </cell>
          <cell r="AP655" t="str">
            <v>FD</v>
          </cell>
          <cell r="CH655" t="e">
            <v>#N/A</v>
          </cell>
          <cell r="CI655" t="e">
            <v>#N/A</v>
          </cell>
          <cell r="CJ655" t="e">
            <v>#N/A</v>
          </cell>
        </row>
        <row r="656">
          <cell r="B656" t="str">
            <v>Ligne_198.3.2.111_PPD</v>
          </cell>
          <cell r="C656" t="str">
            <v>198.3.2.111</v>
          </cell>
          <cell r="E656" t="str">
            <v>Documentation des produits mécanique (DD?)</v>
          </cell>
          <cell r="G656" t="str">
            <v>ENSEMBLE TOLAGE FACE CENTRALE</v>
          </cell>
          <cell r="R656" t="str">
            <v>BT</v>
          </cell>
          <cell r="S656" t="str">
            <v>BT</v>
          </cell>
          <cell r="T656" t="str">
            <v>NA</v>
          </cell>
          <cell r="Z656" t="str">
            <v>RTS 193 JS2 EMC 07/09/2020</v>
          </cell>
          <cell r="AA656" t="str">
            <v>E</v>
          </cell>
          <cell r="AB656" t="str">
            <v>Mécanique</v>
          </cell>
          <cell r="AC656" t="str">
            <v>EMC</v>
          </cell>
          <cell r="AD656" t="str">
            <v>ST ET.4-10546</v>
          </cell>
          <cell r="AE656" t="str">
            <v>Documentation relative à l’étude et à la réalisation de systèmes mécaniques, électrotechniques, pneumatiques et hydrauliques</v>
          </cell>
          <cell r="AF656" t="str">
            <v>3.1.1.3</v>
          </cell>
          <cell r="AI656">
            <v>1</v>
          </cell>
          <cell r="AN656" t="str">
            <v>FP</v>
          </cell>
          <cell r="AP656" t="str">
            <v>FD</v>
          </cell>
          <cell r="CH656" t="e">
            <v>#N/A</v>
          </cell>
          <cell r="CI656" t="e">
            <v>#N/A</v>
          </cell>
          <cell r="CJ656" t="e">
            <v>#N/A</v>
          </cell>
        </row>
        <row r="657">
          <cell r="B657" t="str">
            <v>Ligne_198.3.2.112_PPD</v>
          </cell>
          <cell r="C657" t="str">
            <v>198.3.2.112</v>
          </cell>
          <cell r="E657" t="str">
            <v>Documentation des produits mécanique (DD?)</v>
          </cell>
          <cell r="G657" t="str">
            <v>ENSEMBLE OSSATURE FACE CENTRALE</v>
          </cell>
          <cell r="R657" t="str">
            <v>BT</v>
          </cell>
          <cell r="S657" t="str">
            <v>BT</v>
          </cell>
          <cell r="T657" t="str">
            <v>NA</v>
          </cell>
          <cell r="Z657" t="str">
            <v>RTS 193 JS2 EMC 07/09/2020</v>
          </cell>
          <cell r="AA657" t="str">
            <v>E</v>
          </cell>
          <cell r="AB657" t="str">
            <v>Mécanique</v>
          </cell>
          <cell r="AC657" t="str">
            <v>EMC</v>
          </cell>
          <cell r="AD657" t="str">
            <v>ST ET.4-10546</v>
          </cell>
          <cell r="AE657" t="str">
            <v>Documentation relative à l’étude et à la réalisation de systèmes mécaniques, électrotechniques, pneumatiques et hydrauliques</v>
          </cell>
          <cell r="AF657" t="str">
            <v>3.1.1.3</v>
          </cell>
          <cell r="AI657">
            <v>1</v>
          </cell>
          <cell r="AN657" t="str">
            <v>FP</v>
          </cell>
          <cell r="AP657" t="str">
            <v>FD</v>
          </cell>
          <cell r="CH657" t="e">
            <v>#N/A</v>
          </cell>
          <cell r="CI657" t="e">
            <v>#N/A</v>
          </cell>
          <cell r="CJ657" t="e">
            <v>#N/A</v>
          </cell>
        </row>
        <row r="658">
          <cell r="B658" t="str">
            <v>Ligne_198.3.2.113_PPD</v>
          </cell>
          <cell r="C658" t="str">
            <v>198.3.2.113</v>
          </cell>
          <cell r="E658" t="str">
            <v>Documentation des produits mécanique (DD?)</v>
          </cell>
          <cell r="G658" t="str">
            <v>ENSEMBLE TRUMEAU FACE</v>
          </cell>
          <cell r="R658" t="str">
            <v>BT</v>
          </cell>
          <cell r="S658" t="str">
            <v>BT</v>
          </cell>
          <cell r="T658" t="str">
            <v>NA</v>
          </cell>
          <cell r="Z658" t="str">
            <v>RTS 193 JS2 EMC 07/09/2020</v>
          </cell>
          <cell r="AA658" t="str">
            <v>E</v>
          </cell>
          <cell r="AB658" t="str">
            <v>Mécanique</v>
          </cell>
          <cell r="AC658" t="str">
            <v>EMC</v>
          </cell>
          <cell r="AD658" t="str">
            <v>ST ET.4-10546</v>
          </cell>
          <cell r="AE658" t="str">
            <v>Documentation relative à l’étude et à la réalisation de systèmes mécaniques, électrotechniques, pneumatiques et hydrauliques</v>
          </cell>
          <cell r="AF658" t="str">
            <v>3.1.1.3</v>
          </cell>
          <cell r="AI658">
            <v>1</v>
          </cell>
          <cell r="AN658" t="str">
            <v>FP</v>
          </cell>
          <cell r="AP658" t="str">
            <v>FD</v>
          </cell>
          <cell r="CH658" t="e">
            <v>#N/A</v>
          </cell>
          <cell r="CI658" t="e">
            <v>#N/A</v>
          </cell>
          <cell r="CJ658" t="e">
            <v>#N/A</v>
          </cell>
        </row>
        <row r="659">
          <cell r="B659" t="str">
            <v>Ligne_198.3.2.114_PPD</v>
          </cell>
          <cell r="C659" t="str">
            <v>198.3.2.114</v>
          </cell>
          <cell r="E659" t="str">
            <v>Documentation des produits mécanique (DD?)</v>
          </cell>
          <cell r="G659" t="str">
            <v>ENSEMBLE FACE EVACUATION EAU</v>
          </cell>
          <cell r="R659" t="str">
            <v>BT</v>
          </cell>
          <cell r="S659" t="str">
            <v>BT</v>
          </cell>
          <cell r="T659" t="str">
            <v>NA</v>
          </cell>
          <cell r="Z659" t="str">
            <v>RTS 193 JS2 EMC 07/09/2020</v>
          </cell>
          <cell r="AA659" t="str">
            <v>E</v>
          </cell>
          <cell r="AB659" t="str">
            <v>Mécanique</v>
          </cell>
          <cell r="AC659" t="str">
            <v>EMC</v>
          </cell>
          <cell r="AD659" t="str">
            <v>ST ET.4-10546</v>
          </cell>
          <cell r="AE659" t="str">
            <v>Documentation relative à l’étude et à la réalisation de systèmes mécaniques, électrotechniques, pneumatiques et hydrauliques</v>
          </cell>
          <cell r="AF659" t="str">
            <v>3.1.1.3</v>
          </cell>
          <cell r="AI659">
            <v>1</v>
          </cell>
          <cell r="AN659" t="str">
            <v>FP</v>
          </cell>
          <cell r="AP659" t="str">
            <v>FD</v>
          </cell>
          <cell r="CH659" t="e">
            <v>#N/A</v>
          </cell>
          <cell r="CI659" t="e">
            <v>#N/A</v>
          </cell>
          <cell r="CJ659" t="e">
            <v>#N/A</v>
          </cell>
        </row>
        <row r="660">
          <cell r="B660" t="str">
            <v>Ligne_198.3.2.115_PPD</v>
          </cell>
          <cell r="C660" t="str">
            <v>198.3.2.115</v>
          </cell>
          <cell r="E660" t="str">
            <v>Documentation des produits mécanique (DD?)</v>
          </cell>
          <cell r="G660" t="str">
            <v>ENSEMBLE LONGRINE BASSE</v>
          </cell>
          <cell r="R660" t="str">
            <v>BT</v>
          </cell>
          <cell r="S660" t="str">
            <v>BT</v>
          </cell>
          <cell r="T660" t="str">
            <v>NA</v>
          </cell>
          <cell r="Z660" t="str">
            <v>RTS 193 JS2 EMC 07/09/2020</v>
          </cell>
          <cell r="AA660" t="str">
            <v>E</v>
          </cell>
          <cell r="AB660" t="str">
            <v>Mécanique</v>
          </cell>
          <cell r="AC660" t="str">
            <v>EMC</v>
          </cell>
          <cell r="AD660" t="str">
            <v>ST ET.4-10546</v>
          </cell>
          <cell r="AE660" t="str">
            <v>Documentation relative à l’étude et à la réalisation de systèmes mécaniques, électrotechniques, pneumatiques et hydrauliques</v>
          </cell>
          <cell r="AF660" t="str">
            <v>3.1.1.3</v>
          </cell>
          <cell r="AI660">
            <v>1</v>
          </cell>
          <cell r="AN660" t="str">
            <v>FP</v>
          </cell>
          <cell r="AP660" t="str">
            <v>FD</v>
          </cell>
          <cell r="CH660" t="e">
            <v>#N/A</v>
          </cell>
          <cell r="CI660" t="e">
            <v>#N/A</v>
          </cell>
          <cell r="CJ660" t="e">
            <v>#N/A</v>
          </cell>
        </row>
        <row r="661">
          <cell r="B661" t="str">
            <v>Ligne_198.3.2.116_PPD</v>
          </cell>
          <cell r="C661" t="str">
            <v>198.3.2.116</v>
          </cell>
          <cell r="E661" t="str">
            <v>Documentation des produits mécanique (DD?)</v>
          </cell>
          <cell r="G661" t="str">
            <v>ENSEMBLE POTELET CANTILEVER</v>
          </cell>
          <cell r="R661" t="str">
            <v>BT</v>
          </cell>
          <cell r="S661" t="str">
            <v>BT</v>
          </cell>
          <cell r="T661" t="str">
            <v>NA</v>
          </cell>
          <cell r="Z661" t="str">
            <v>RTS 193 JS2 EMC 07/09/2020</v>
          </cell>
          <cell r="AA661" t="str">
            <v>E</v>
          </cell>
          <cell r="AB661" t="str">
            <v>Mécanique</v>
          </cell>
          <cell r="AC661" t="str">
            <v>EMC</v>
          </cell>
          <cell r="AD661" t="str">
            <v>ST ET.4-10546</v>
          </cell>
          <cell r="AE661" t="str">
            <v>Documentation relative à l’étude et à la réalisation de systèmes mécaniques, électrotechniques, pneumatiques et hydrauliques</v>
          </cell>
          <cell r="AF661" t="str">
            <v>3.1.1.3</v>
          </cell>
          <cell r="AI661">
            <v>1</v>
          </cell>
          <cell r="AN661" t="str">
            <v>FP</v>
          </cell>
          <cell r="AP661" t="str">
            <v>FD</v>
          </cell>
          <cell r="CH661" t="e">
            <v>#N/A</v>
          </cell>
          <cell r="CI661" t="e">
            <v>#N/A</v>
          </cell>
          <cell r="CJ661" t="e">
            <v>#N/A</v>
          </cell>
        </row>
        <row r="662">
          <cell r="B662" t="str">
            <v>Ligne_198.3.2.117_PPD</v>
          </cell>
          <cell r="C662" t="str">
            <v>198.3.2.117</v>
          </cell>
          <cell r="E662" t="str">
            <v>Documentation des produits mécanique (DD?)</v>
          </cell>
          <cell r="G662" t="str">
            <v>ENSEMBLE POTELET</v>
          </cell>
          <cell r="R662" t="str">
            <v>BT</v>
          </cell>
          <cell r="S662" t="str">
            <v>BT</v>
          </cell>
          <cell r="T662" t="str">
            <v>NA</v>
          </cell>
          <cell r="Z662" t="str">
            <v>RTS 193 JS2 EMC 07/09/2020</v>
          </cell>
          <cell r="AA662" t="str">
            <v>E</v>
          </cell>
          <cell r="AB662" t="str">
            <v>Mécanique</v>
          </cell>
          <cell r="AC662" t="str">
            <v>EMC</v>
          </cell>
          <cell r="AD662" t="str">
            <v>ST ET.4-10546</v>
          </cell>
          <cell r="AE662" t="str">
            <v>Documentation relative à l’étude et à la réalisation de systèmes mécaniques, électrotechniques, pneumatiques et hydrauliques</v>
          </cell>
          <cell r="AF662" t="str">
            <v>3.1.1.3</v>
          </cell>
          <cell r="AI662">
            <v>1</v>
          </cell>
          <cell r="AN662" t="str">
            <v>FP</v>
          </cell>
          <cell r="AP662" t="str">
            <v>FD</v>
          </cell>
          <cell r="CH662" t="e">
            <v>#N/A</v>
          </cell>
          <cell r="CI662" t="e">
            <v>#N/A</v>
          </cell>
          <cell r="CJ662" t="e">
            <v>#N/A</v>
          </cell>
        </row>
        <row r="663">
          <cell r="B663" t="str">
            <v>Ligne_198.3.2.118_PPD</v>
          </cell>
          <cell r="C663" t="str">
            <v>198.3.2.118</v>
          </cell>
          <cell r="E663" t="str">
            <v>Documentation des produits mécanique (DD?)</v>
          </cell>
          <cell r="G663" t="str">
            <v>ENSEMBLE PIED FIXATION FACE CENTRALE</v>
          </cell>
          <cell r="R663" t="str">
            <v>BT</v>
          </cell>
          <cell r="S663" t="str">
            <v>BT</v>
          </cell>
          <cell r="T663" t="str">
            <v>NA</v>
          </cell>
          <cell r="Z663" t="str">
            <v>RTS 193 JS2 EMC 07/09/2020</v>
          </cell>
          <cell r="AA663" t="str">
            <v>E</v>
          </cell>
          <cell r="AB663" t="str">
            <v>Mécanique</v>
          </cell>
          <cell r="AC663" t="str">
            <v>EMC</v>
          </cell>
          <cell r="AD663" t="str">
            <v>ST ET.4-10546</v>
          </cell>
          <cell r="AE663" t="str">
            <v>Documentation relative à l’étude et à la réalisation de systèmes mécaniques, électrotechniques, pneumatiques et hydrauliques</v>
          </cell>
          <cell r="AF663" t="str">
            <v>3.1.1.3</v>
          </cell>
          <cell r="AI663">
            <v>1</v>
          </cell>
          <cell r="AN663" t="str">
            <v>FP</v>
          </cell>
          <cell r="AP663" t="str">
            <v>FD</v>
          </cell>
          <cell r="CH663" t="e">
            <v>#N/A</v>
          </cell>
          <cell r="CI663" t="e">
            <v>#N/A</v>
          </cell>
          <cell r="CJ663" t="e">
            <v>#N/A</v>
          </cell>
        </row>
        <row r="664">
          <cell r="B664" t="str">
            <v>Ligne_198.3.2.119_PPD</v>
          </cell>
          <cell r="C664" t="str">
            <v>198.3.2.119</v>
          </cell>
          <cell r="E664" t="str">
            <v>Documentation des produits mécanique (DD?)</v>
          </cell>
          <cell r="G664" t="str">
            <v>ENSEMBLE TRUMEAU FACE</v>
          </cell>
          <cell r="R664" t="str">
            <v>BT</v>
          </cell>
          <cell r="S664" t="str">
            <v>BT</v>
          </cell>
          <cell r="T664" t="str">
            <v>NA</v>
          </cell>
          <cell r="Z664" t="str">
            <v>RTS 193 JS2 EMC 07/09/2020</v>
          </cell>
          <cell r="AA664" t="str">
            <v>E</v>
          </cell>
          <cell r="AB664" t="str">
            <v>Mécanique</v>
          </cell>
          <cell r="AC664" t="str">
            <v>EMC</v>
          </cell>
          <cell r="AD664" t="str">
            <v>ST ET.4-10546</v>
          </cell>
          <cell r="AE664" t="str">
            <v>Documentation relative à l’étude et à la réalisation de systèmes mécaniques, électrotechniques, pneumatiques et hydrauliques</v>
          </cell>
          <cell r="AF664" t="str">
            <v>3.1.1.3</v>
          </cell>
          <cell r="AI664">
            <v>1</v>
          </cell>
          <cell r="AN664" t="str">
            <v>FP</v>
          </cell>
          <cell r="AP664" t="str">
            <v>FD</v>
          </cell>
          <cell r="CH664" t="e">
            <v>#N/A</v>
          </cell>
          <cell r="CI664" t="e">
            <v>#N/A</v>
          </cell>
          <cell r="CJ664" t="e">
            <v>#N/A</v>
          </cell>
        </row>
        <row r="665">
          <cell r="B665" t="str">
            <v>Ligne_198.3.2.120_PPD</v>
          </cell>
          <cell r="C665" t="str">
            <v>198.3.2.120</v>
          </cell>
          <cell r="E665" t="str">
            <v>Documentation des produits mécanique (DD?)</v>
          </cell>
          <cell r="G665" t="str">
            <v>ENSEMBLE POTELET CANTILEVER</v>
          </cell>
          <cell r="R665" t="str">
            <v>BT</v>
          </cell>
          <cell r="S665" t="str">
            <v>BT</v>
          </cell>
          <cell r="T665" t="str">
            <v>NA</v>
          </cell>
          <cell r="Z665" t="str">
            <v>RTS 193 JS2 EMC 07/09/2020</v>
          </cell>
          <cell r="AA665" t="str">
            <v>E</v>
          </cell>
          <cell r="AB665" t="str">
            <v>Mécanique</v>
          </cell>
          <cell r="AC665" t="str">
            <v>EMC</v>
          </cell>
          <cell r="AD665" t="str">
            <v>ST ET.4-10546</v>
          </cell>
          <cell r="AE665" t="str">
            <v>Documentation relative à l’étude et à la réalisation de systèmes mécaniques, électrotechniques, pneumatiques et hydrauliques</v>
          </cell>
          <cell r="AF665" t="str">
            <v>3.1.1.3</v>
          </cell>
          <cell r="AI665">
            <v>1</v>
          </cell>
          <cell r="AN665" t="str">
            <v>FP</v>
          </cell>
          <cell r="AP665" t="str">
            <v>FD</v>
          </cell>
          <cell r="CH665" t="e">
            <v>#N/A</v>
          </cell>
          <cell r="CI665" t="e">
            <v>#N/A</v>
          </cell>
          <cell r="CJ665" t="e">
            <v>#N/A</v>
          </cell>
        </row>
        <row r="666">
          <cell r="B666" t="str">
            <v>Ligne_198.3.2.121_PPD</v>
          </cell>
          <cell r="C666" t="str">
            <v>198.3.2.121</v>
          </cell>
          <cell r="E666" t="str">
            <v>Documentation des produits mécanique (DD?)</v>
          </cell>
          <cell r="G666" t="str">
            <v>ENSEMBLE FIXATION BASSE FACE CENTRALE</v>
          </cell>
          <cell r="R666" t="str">
            <v>BT</v>
          </cell>
          <cell r="S666" t="str">
            <v>BT</v>
          </cell>
          <cell r="T666" t="str">
            <v>NA</v>
          </cell>
          <cell r="Z666" t="str">
            <v>RTS 193 JS2 EMC 07/09/2020</v>
          </cell>
          <cell r="AA666" t="str">
            <v>E</v>
          </cell>
          <cell r="AB666" t="str">
            <v>Mécanique</v>
          </cell>
          <cell r="AC666" t="str">
            <v>EMC</v>
          </cell>
          <cell r="AD666" t="str">
            <v>ST ET.4-10546</v>
          </cell>
          <cell r="AE666" t="str">
            <v>Documentation relative à l’étude et à la réalisation de systèmes mécaniques, électrotechniques, pneumatiques et hydrauliques</v>
          </cell>
          <cell r="AF666" t="str">
            <v>3.1.1.3</v>
          </cell>
          <cell r="AI666">
            <v>1</v>
          </cell>
          <cell r="AN666" t="str">
            <v>FP</v>
          </cell>
          <cell r="AP666" t="str">
            <v>FD</v>
          </cell>
          <cell r="CH666" t="e">
            <v>#N/A</v>
          </cell>
          <cell r="CI666" t="e">
            <v>#N/A</v>
          </cell>
          <cell r="CJ666" t="e">
            <v>#N/A</v>
          </cell>
        </row>
        <row r="667">
          <cell r="B667" t="str">
            <v>Ligne_198.3.2.122_PPD</v>
          </cell>
          <cell r="C667" t="str">
            <v>198.3.2.122</v>
          </cell>
          <cell r="E667" t="str">
            <v>Documentation des produits mécanique (DD?)</v>
          </cell>
          <cell r="G667" t="str">
            <v>ENSEMBLE PIED FIXATION FACE CENTRALE</v>
          </cell>
          <cell r="R667" t="str">
            <v>BT</v>
          </cell>
          <cell r="S667" t="str">
            <v>BT</v>
          </cell>
          <cell r="T667" t="str">
            <v>NA</v>
          </cell>
          <cell r="Z667" t="str">
            <v>RTS 193 JS2 EMC 07/09/2020</v>
          </cell>
          <cell r="AA667" t="str">
            <v>E</v>
          </cell>
          <cell r="AB667" t="str">
            <v>Mécanique</v>
          </cell>
          <cell r="AC667" t="str">
            <v>EMC</v>
          </cell>
          <cell r="AD667" t="str">
            <v>ST ET.4-10546</v>
          </cell>
          <cell r="AE667" t="str">
            <v>Documentation relative à l’étude et à la réalisation de systèmes mécaniques, électrotechniques, pneumatiques et hydrauliques</v>
          </cell>
          <cell r="AF667" t="str">
            <v>3.1.1.3</v>
          </cell>
          <cell r="AI667">
            <v>1</v>
          </cell>
          <cell r="AN667" t="str">
            <v>FP</v>
          </cell>
          <cell r="AP667" t="str">
            <v>FD</v>
          </cell>
          <cell r="CH667" t="e">
            <v>#N/A</v>
          </cell>
          <cell r="CI667" t="e">
            <v>#N/A</v>
          </cell>
          <cell r="CJ667" t="e">
            <v>#N/A</v>
          </cell>
        </row>
        <row r="668">
          <cell r="B668" t="str">
            <v>Ligne_198.3.2.123_PPD</v>
          </cell>
          <cell r="C668" t="str">
            <v>198.3.2.123</v>
          </cell>
          <cell r="E668" t="str">
            <v>Documentation des produits mécanique (DD?)</v>
          </cell>
          <cell r="G668" t="str">
            <v>ENSEMBLE POTELET</v>
          </cell>
          <cell r="R668" t="str">
            <v>BT</v>
          </cell>
          <cell r="S668" t="str">
            <v>BT</v>
          </cell>
          <cell r="T668" t="str">
            <v>NA</v>
          </cell>
          <cell r="Z668" t="str">
            <v>RTS 193 JS2 EMC 07/09/2020</v>
          </cell>
          <cell r="AA668" t="str">
            <v>E</v>
          </cell>
          <cell r="AB668" t="str">
            <v>Mécanique</v>
          </cell>
          <cell r="AC668" t="str">
            <v>EMC</v>
          </cell>
          <cell r="AD668" t="str">
            <v>ST ET.4-10546</v>
          </cell>
          <cell r="AE668" t="str">
            <v>Documentation relative à l’étude et à la réalisation de systèmes mécaniques, électrotechniques, pneumatiques et hydrauliques</v>
          </cell>
          <cell r="AF668" t="str">
            <v>3.1.1.3</v>
          </cell>
          <cell r="AI668">
            <v>1</v>
          </cell>
          <cell r="AN668" t="str">
            <v>FP</v>
          </cell>
          <cell r="AP668" t="str">
            <v>FD</v>
          </cell>
          <cell r="CH668" t="e">
            <v>#N/A</v>
          </cell>
          <cell r="CI668" t="e">
            <v>#N/A</v>
          </cell>
          <cell r="CJ668" t="e">
            <v>#N/A</v>
          </cell>
        </row>
        <row r="669">
          <cell r="B669" t="str">
            <v>Ligne_198.3.2.124_PPD</v>
          </cell>
          <cell r="C669" t="str">
            <v>198.3.2.124</v>
          </cell>
          <cell r="E669" t="str">
            <v>Documentation des produits mécanique (DD?)</v>
          </cell>
          <cell r="G669" t="str">
            <v>ENSEMBLE CANTILEVER FACE CENTRALE</v>
          </cell>
          <cell r="R669" t="str">
            <v>BT</v>
          </cell>
          <cell r="S669" t="str">
            <v>BT</v>
          </cell>
          <cell r="T669" t="str">
            <v>NA</v>
          </cell>
          <cell r="Z669" t="str">
            <v>RTS 193 JS2 EMC 07/09/2020</v>
          </cell>
          <cell r="AA669" t="str">
            <v>E</v>
          </cell>
          <cell r="AB669" t="str">
            <v>Mécanique</v>
          </cell>
          <cell r="AC669" t="str">
            <v>EMC</v>
          </cell>
          <cell r="AD669" t="str">
            <v>ST ET.4-10546</v>
          </cell>
          <cell r="AE669" t="str">
            <v>Documentation relative à l’étude et à la réalisation de systèmes mécaniques, électrotechniques, pneumatiques et hydrauliques</v>
          </cell>
          <cell r="AF669" t="str">
            <v>3.1.1.3</v>
          </cell>
          <cell r="AI669">
            <v>1</v>
          </cell>
          <cell r="AN669" t="str">
            <v>FP</v>
          </cell>
          <cell r="AP669" t="str">
            <v>FD</v>
          </cell>
          <cell r="CH669" t="e">
            <v>#N/A</v>
          </cell>
          <cell r="CI669" t="e">
            <v>#N/A</v>
          </cell>
          <cell r="CJ669" t="e">
            <v>#N/A</v>
          </cell>
        </row>
        <row r="670">
          <cell r="B670" t="str">
            <v>Ligne_198.3.2.125_PPD</v>
          </cell>
          <cell r="C670" t="str">
            <v>198.3.2.125</v>
          </cell>
          <cell r="E670" t="str">
            <v>Documentation des produits mécanique (DD?)</v>
          </cell>
          <cell r="G670" t="str">
            <v>TRAVERSE CANTILEVER FACE CENTRALE</v>
          </cell>
          <cell r="R670" t="str">
            <v>BT</v>
          </cell>
          <cell r="S670" t="str">
            <v>BT</v>
          </cell>
          <cell r="T670" t="str">
            <v>NA</v>
          </cell>
          <cell r="Z670" t="str">
            <v>RTS 193 JS2 EMC 07/09/2020</v>
          </cell>
          <cell r="AA670" t="str">
            <v>E</v>
          </cell>
          <cell r="AB670" t="str">
            <v>Mécanique</v>
          </cell>
          <cell r="AC670" t="str">
            <v>EMC</v>
          </cell>
          <cell r="AD670" t="str">
            <v>ST ET.4-10546</v>
          </cell>
          <cell r="AE670" t="str">
            <v>Documentation relative à l’étude et à la réalisation de systèmes mécaniques, électrotechniques, pneumatiques et hydrauliques</v>
          </cell>
          <cell r="AF670" t="str">
            <v>3.1.1.3</v>
          </cell>
          <cell r="AI670">
            <v>1</v>
          </cell>
          <cell r="AN670" t="str">
            <v>FP</v>
          </cell>
          <cell r="AP670" t="str">
            <v>FD</v>
          </cell>
          <cell r="CH670" t="e">
            <v>#N/A</v>
          </cell>
          <cell r="CI670" t="e">
            <v>#N/A</v>
          </cell>
          <cell r="CJ670" t="e">
            <v>#N/A</v>
          </cell>
        </row>
        <row r="671">
          <cell r="B671" t="str">
            <v>Ligne_198.3.2.126_PPD</v>
          </cell>
          <cell r="C671" t="str">
            <v>198.3.2.126</v>
          </cell>
          <cell r="E671" t="str">
            <v>Documentation des produits mécanique (DD?)</v>
          </cell>
          <cell r="G671" t="str">
            <v>FIXATION CANTILEVER FACE CENTRALE</v>
          </cell>
          <cell r="R671" t="str">
            <v>BT</v>
          </cell>
          <cell r="S671" t="str">
            <v>BT</v>
          </cell>
          <cell r="T671" t="str">
            <v>NA</v>
          </cell>
          <cell r="Z671" t="str">
            <v>RTS 193 JS2 EMC 07/09/2020</v>
          </cell>
          <cell r="AA671" t="str">
            <v>E</v>
          </cell>
          <cell r="AB671" t="str">
            <v>Mécanique</v>
          </cell>
          <cell r="AC671" t="str">
            <v>EMC</v>
          </cell>
          <cell r="AD671" t="str">
            <v>ST ET.4-10546</v>
          </cell>
          <cell r="AE671" t="str">
            <v>Documentation relative à l’étude et à la réalisation de systèmes mécaniques, électrotechniques, pneumatiques et hydrauliques</v>
          </cell>
          <cell r="AF671" t="str">
            <v>3.1.1.3</v>
          </cell>
          <cell r="AI671">
            <v>1</v>
          </cell>
          <cell r="AN671" t="str">
            <v>FP</v>
          </cell>
          <cell r="AP671" t="str">
            <v>FD</v>
          </cell>
          <cell r="CH671" t="e">
            <v>#N/A</v>
          </cell>
          <cell r="CI671" t="e">
            <v>#N/A</v>
          </cell>
          <cell r="CJ671" t="e">
            <v>#N/A</v>
          </cell>
        </row>
        <row r="672">
          <cell r="B672" t="str">
            <v>Ligne_198.3.2.127_PPD</v>
          </cell>
          <cell r="C672" t="str">
            <v>198.3.2.127</v>
          </cell>
          <cell r="E672" t="str">
            <v>Documentation des produits mécanique (DD?)</v>
          </cell>
          <cell r="G672" t="str">
            <v>ENSEMBLE CANTILEVER FACE CENTRALE</v>
          </cell>
          <cell r="R672" t="str">
            <v>BT</v>
          </cell>
          <cell r="S672" t="str">
            <v>BT</v>
          </cell>
          <cell r="T672" t="str">
            <v>NA</v>
          </cell>
          <cell r="Z672" t="str">
            <v>RTS 193 JS2 EMC 07/09/2020</v>
          </cell>
          <cell r="AA672" t="str">
            <v>E</v>
          </cell>
          <cell r="AB672" t="str">
            <v>Mécanique</v>
          </cell>
          <cell r="AC672" t="str">
            <v>EMC</v>
          </cell>
          <cell r="AD672" t="str">
            <v>ST ET.4-10546</v>
          </cell>
          <cell r="AE672" t="str">
            <v>Documentation relative à l’étude et à la réalisation de systèmes mécaniques, électrotechniques, pneumatiques et hydrauliques</v>
          </cell>
          <cell r="AF672" t="str">
            <v>3.1.1.3</v>
          </cell>
          <cell r="AI672">
            <v>1</v>
          </cell>
          <cell r="AN672" t="str">
            <v>FP</v>
          </cell>
          <cell r="AP672" t="str">
            <v>FD</v>
          </cell>
          <cell r="CH672" t="e">
            <v>#N/A</v>
          </cell>
          <cell r="CI672" t="e">
            <v>#N/A</v>
          </cell>
          <cell r="CJ672" t="e">
            <v>#N/A</v>
          </cell>
        </row>
        <row r="673">
          <cell r="B673" t="str">
            <v>Ligne_198.3.2.128_PPD</v>
          </cell>
          <cell r="C673" t="str">
            <v>198.3.2.128</v>
          </cell>
          <cell r="E673" t="str">
            <v>Documentation des produits mécanique (DD?)</v>
          </cell>
          <cell r="G673" t="str">
            <v>TRAVERSE CANTILEVER FACE CENTRALE</v>
          </cell>
          <cell r="R673" t="str">
            <v>BT</v>
          </cell>
          <cell r="S673" t="str">
            <v>BT</v>
          </cell>
          <cell r="T673" t="str">
            <v>NA</v>
          </cell>
          <cell r="Z673" t="str">
            <v>RTS 193 JS2 EMC 07/09/2020</v>
          </cell>
          <cell r="AA673" t="str">
            <v>E</v>
          </cell>
          <cell r="AB673" t="str">
            <v>Mécanique</v>
          </cell>
          <cell r="AC673" t="str">
            <v>EMC</v>
          </cell>
          <cell r="AD673" t="str">
            <v>ST ET.4-10546</v>
          </cell>
          <cell r="AE673" t="str">
            <v>Documentation relative à l’étude et à la réalisation de systèmes mécaniques, électrotechniques, pneumatiques et hydrauliques</v>
          </cell>
          <cell r="AF673" t="str">
            <v>3.1.1.3</v>
          </cell>
          <cell r="AI673">
            <v>1</v>
          </cell>
          <cell r="AN673" t="str">
            <v>FP</v>
          </cell>
          <cell r="AP673" t="str">
            <v>FD</v>
          </cell>
          <cell r="CH673" t="e">
            <v>#N/A</v>
          </cell>
          <cell r="CI673" t="e">
            <v>#N/A</v>
          </cell>
          <cell r="CJ673" t="e">
            <v>#N/A</v>
          </cell>
        </row>
        <row r="674">
          <cell r="B674" t="str">
            <v>Ligne_198.3.2.129_PPD</v>
          </cell>
          <cell r="C674" t="str">
            <v>198.3.2.129</v>
          </cell>
          <cell r="E674" t="str">
            <v>Documentation des produits mécanique (DD?)</v>
          </cell>
          <cell r="G674" t="str">
            <v>ENSEMBLE STRUCTURE PRIMAIRE BOUT</v>
          </cell>
          <cell r="R674" t="str">
            <v>BT</v>
          </cell>
          <cell r="S674" t="str">
            <v>BT</v>
          </cell>
          <cell r="T674" t="str">
            <v>NA</v>
          </cell>
          <cell r="Z674" t="str">
            <v>RTS 193 JS2 EMC 07/09/2020</v>
          </cell>
          <cell r="AA674" t="str">
            <v>E</v>
          </cell>
          <cell r="AB674" t="str">
            <v>Mécanique</v>
          </cell>
          <cell r="AC674" t="str">
            <v>EMC</v>
          </cell>
          <cell r="AD674" t="str">
            <v>ST ET.4-10546</v>
          </cell>
          <cell r="AE674" t="str">
            <v>Documentation relative à l’étude et à la réalisation de systèmes mécaniques, électrotechniques, pneumatiques et hydrauliques</v>
          </cell>
          <cell r="AF674" t="str">
            <v>3.1.1.3</v>
          </cell>
          <cell r="AI674">
            <v>1</v>
          </cell>
          <cell r="AN674" t="str">
            <v>FP</v>
          </cell>
          <cell r="AP674" t="str">
            <v>FD</v>
          </cell>
          <cell r="CH674" t="e">
            <v>#N/A</v>
          </cell>
          <cell r="CI674" t="e">
            <v>#N/A</v>
          </cell>
          <cell r="CJ674" t="e">
            <v>#N/A</v>
          </cell>
        </row>
        <row r="675">
          <cell r="B675" t="str">
            <v>Ligne_198.3.2.130_PPD</v>
          </cell>
          <cell r="C675" t="str">
            <v>198.3.2.130</v>
          </cell>
          <cell r="E675" t="str">
            <v>Documentation des produits mécanique (DD?)</v>
          </cell>
          <cell r="G675" t="str">
            <v>POTEAU DROIT BOUT</v>
          </cell>
          <cell r="R675" t="str">
            <v>BT</v>
          </cell>
          <cell r="S675" t="str">
            <v>BT</v>
          </cell>
          <cell r="T675" t="str">
            <v>NA</v>
          </cell>
          <cell r="Z675" t="str">
            <v>RTS 193 JS2 EMC 07/09/2020</v>
          </cell>
          <cell r="AA675" t="str">
            <v>E</v>
          </cell>
          <cell r="AB675" t="str">
            <v>Mécanique</v>
          </cell>
          <cell r="AC675" t="str">
            <v>EMC</v>
          </cell>
          <cell r="AD675" t="str">
            <v>ST ET.4-10546</v>
          </cell>
          <cell r="AE675" t="str">
            <v>Documentation relative à l’étude et à la réalisation de systèmes mécaniques, électrotechniques, pneumatiques et hydrauliques</v>
          </cell>
          <cell r="AF675" t="str">
            <v>3.1.1.3</v>
          </cell>
          <cell r="AI675">
            <v>1</v>
          </cell>
          <cell r="AN675" t="str">
            <v>FP</v>
          </cell>
          <cell r="AP675" t="str">
            <v>FD</v>
          </cell>
          <cell r="CH675" t="e">
            <v>#N/A</v>
          </cell>
          <cell r="CI675" t="e">
            <v>#N/A</v>
          </cell>
          <cell r="CJ675" t="e">
            <v>#N/A</v>
          </cell>
        </row>
        <row r="676">
          <cell r="B676" t="str">
            <v>Ligne_198.3.2.131_PPD</v>
          </cell>
          <cell r="C676" t="str">
            <v>198.3.2.131</v>
          </cell>
          <cell r="E676" t="str">
            <v>Documentation des produits mécanique (DD?)</v>
          </cell>
          <cell r="G676" t="str">
            <v>POTEAU GAUCHE BOUT</v>
          </cell>
          <cell r="R676" t="str">
            <v>BT</v>
          </cell>
          <cell r="S676" t="str">
            <v>BT</v>
          </cell>
          <cell r="T676" t="str">
            <v>NA</v>
          </cell>
          <cell r="Z676" t="str">
            <v>RTS 193 JS2 EMC 07/09/2020</v>
          </cell>
          <cell r="AA676" t="str">
            <v>E</v>
          </cell>
          <cell r="AB676" t="str">
            <v>Mécanique</v>
          </cell>
          <cell r="AC676" t="str">
            <v>EMC</v>
          </cell>
          <cell r="AD676" t="str">
            <v>ST ET.4-10546</v>
          </cell>
          <cell r="AE676" t="str">
            <v>Documentation relative à l’étude et à la réalisation de systèmes mécaniques, électrotechniques, pneumatiques et hydrauliques</v>
          </cell>
          <cell r="AF676" t="str">
            <v>3.1.1.3</v>
          </cell>
          <cell r="AI676">
            <v>1</v>
          </cell>
          <cell r="AN676" t="str">
            <v>FP</v>
          </cell>
          <cell r="AP676" t="str">
            <v>FD</v>
          </cell>
          <cell r="CH676" t="e">
            <v>#N/A</v>
          </cell>
          <cell r="CI676" t="e">
            <v>#N/A</v>
          </cell>
          <cell r="CJ676" t="e">
            <v>#N/A</v>
          </cell>
        </row>
        <row r="677">
          <cell r="B677" t="str">
            <v>Ligne_198.3.2.132_PPD</v>
          </cell>
          <cell r="C677" t="str">
            <v>198.3.2.132</v>
          </cell>
          <cell r="E677" t="str">
            <v>Documentation des produits mécanique (DD?)</v>
          </cell>
          <cell r="G677" t="str">
            <v>BOULONNERIE DE LIAISON CAISSE/BOUT</v>
          </cell>
          <cell r="R677" t="str">
            <v>BT</v>
          </cell>
          <cell r="S677" t="str">
            <v>BT</v>
          </cell>
          <cell r="T677" t="str">
            <v>NA</v>
          </cell>
          <cell r="Z677" t="str">
            <v>RTS 193 JS2 EMC 07/09/2020</v>
          </cell>
          <cell r="AA677" t="str">
            <v>E</v>
          </cell>
          <cell r="AB677" t="str">
            <v>Mécanique</v>
          </cell>
          <cell r="AC677" t="str">
            <v>EMC</v>
          </cell>
          <cell r="AD677" t="str">
            <v>ST ET.4-10546</v>
          </cell>
          <cell r="AE677" t="str">
            <v>Documentation relative à l’étude et à la réalisation de systèmes mécaniques, électrotechniques, pneumatiques et hydrauliques</v>
          </cell>
          <cell r="AF677" t="str">
            <v>3.1.1.3</v>
          </cell>
          <cell r="AI677">
            <v>1</v>
          </cell>
          <cell r="AN677" t="str">
            <v>FP</v>
          </cell>
          <cell r="AP677" t="str">
            <v>FD</v>
          </cell>
          <cell r="CH677" t="e">
            <v>#N/A</v>
          </cell>
          <cell r="CI677" t="e">
            <v>#N/A</v>
          </cell>
          <cell r="CJ677" t="e">
            <v>#N/A</v>
          </cell>
        </row>
        <row r="678">
          <cell r="B678" t="str">
            <v>Ligne_198.3.2.133_PPD</v>
          </cell>
          <cell r="C678" t="str">
            <v>198.3.2.133</v>
          </cell>
          <cell r="E678" t="str">
            <v>Documentation des produits mécanique (DD?)</v>
          </cell>
          <cell r="G678" t="str">
            <v>ENSEMBLE ENTRETOISE CHAUDRON/BOUT</v>
          </cell>
          <cell r="R678" t="str">
            <v>BT</v>
          </cell>
          <cell r="S678" t="str">
            <v>BT</v>
          </cell>
          <cell r="T678" t="str">
            <v>NA</v>
          </cell>
          <cell r="Z678" t="str">
            <v>RTS 193 JS2 EMC 07/09/2020</v>
          </cell>
          <cell r="AA678" t="str">
            <v>E</v>
          </cell>
          <cell r="AB678" t="str">
            <v>Mécanique</v>
          </cell>
          <cell r="AC678" t="str">
            <v>EMC</v>
          </cell>
          <cell r="AD678" t="str">
            <v>ST ET.4-10546</v>
          </cell>
          <cell r="AE678" t="str">
            <v>Documentation relative à l’étude et à la réalisation de systèmes mécaniques, électrotechniques, pneumatiques et hydrauliques</v>
          </cell>
          <cell r="AF678" t="str">
            <v>3.1.1.3</v>
          </cell>
          <cell r="AI678">
            <v>1</v>
          </cell>
          <cell r="AN678" t="str">
            <v>FP</v>
          </cell>
          <cell r="AP678" t="str">
            <v>FD</v>
          </cell>
          <cell r="CH678" t="e">
            <v>#N/A</v>
          </cell>
          <cell r="CI678" t="e">
            <v>#N/A</v>
          </cell>
          <cell r="CJ678" t="e">
            <v>#N/A</v>
          </cell>
        </row>
        <row r="679">
          <cell r="B679" t="str">
            <v>Ligne_198.3.2.134_PPD</v>
          </cell>
          <cell r="C679" t="str">
            <v>198.3.2.134</v>
          </cell>
          <cell r="E679" t="str">
            <v>Documentation des produits mécanique (DD?)</v>
          </cell>
          <cell r="G679" t="str">
            <v>CALAGE POUR ASSEMBLAGE CHAUDRON/BOUT</v>
          </cell>
          <cell r="R679" t="str">
            <v>BT</v>
          </cell>
          <cell r="S679" t="str">
            <v>BT</v>
          </cell>
          <cell r="T679" t="str">
            <v>NA</v>
          </cell>
          <cell r="Z679" t="str">
            <v>RTS 193 JS2 EMC 07/09/2020</v>
          </cell>
          <cell r="AA679" t="str">
            <v>E</v>
          </cell>
          <cell r="AB679" t="str">
            <v>Mécanique</v>
          </cell>
          <cell r="AC679" t="str">
            <v>EMC</v>
          </cell>
          <cell r="AD679" t="str">
            <v>ST ET.4-10546</v>
          </cell>
          <cell r="AE679" t="str">
            <v>Documentation relative à l’étude et à la réalisation de systèmes mécaniques, électrotechniques, pneumatiques et hydrauliques</v>
          </cell>
          <cell r="AF679" t="str">
            <v>3.1.1.3</v>
          </cell>
          <cell r="AI679">
            <v>1</v>
          </cell>
          <cell r="AN679" t="str">
            <v>FP</v>
          </cell>
          <cell r="AP679" t="str">
            <v>FD</v>
          </cell>
          <cell r="CH679" t="e">
            <v>#N/A</v>
          </cell>
          <cell r="CI679" t="e">
            <v>#N/A</v>
          </cell>
          <cell r="CJ679" t="e">
            <v>#N/A</v>
          </cell>
        </row>
        <row r="680">
          <cell r="B680" t="str">
            <v>Ligne_198.3.2.135_PPD</v>
          </cell>
          <cell r="C680" t="str">
            <v>198.3.2.135</v>
          </cell>
          <cell r="E680" t="str">
            <v>Documentation des produits mécanique (DD?)</v>
          </cell>
          <cell r="G680" t="str">
            <v>STRUCTURE PAVILLON NU</v>
          </cell>
          <cell r="R680" t="str">
            <v>BT</v>
          </cell>
          <cell r="S680" t="str">
            <v>BT</v>
          </cell>
          <cell r="T680" t="str">
            <v>NA</v>
          </cell>
          <cell r="Z680" t="str">
            <v>RTS 193 JS2 EMC 07/09/2020</v>
          </cell>
          <cell r="AA680" t="str">
            <v>E</v>
          </cell>
          <cell r="AB680" t="str">
            <v>Mécanique</v>
          </cell>
          <cell r="AC680" t="str">
            <v>EMC</v>
          </cell>
          <cell r="AD680" t="str">
            <v>ST ET.4-10546</v>
          </cell>
          <cell r="AE680" t="str">
            <v>Documentation relative à l’étude et à la réalisation de systèmes mécaniques, électrotechniques, pneumatiques et hydrauliques</v>
          </cell>
          <cell r="AF680" t="str">
            <v>3.1.1.3</v>
          </cell>
          <cell r="AI680">
            <v>1</v>
          </cell>
          <cell r="AN680" t="str">
            <v>FP</v>
          </cell>
          <cell r="AP680" t="str">
            <v>FD</v>
          </cell>
          <cell r="CH680" t="e">
            <v>#N/A</v>
          </cell>
          <cell r="CI680" t="e">
            <v>#N/A</v>
          </cell>
          <cell r="CJ680" t="e">
            <v>#N/A</v>
          </cell>
        </row>
        <row r="681">
          <cell r="B681" t="str">
            <v>Ligne_198.3.2.136_PPD</v>
          </cell>
          <cell r="C681" t="str">
            <v>198.3.2.136</v>
          </cell>
          <cell r="E681" t="str">
            <v>Documentation des produits mécanique (DD?)</v>
          </cell>
          <cell r="G681" t="str">
            <v>ENS BATTANT GAUCHE VEHI N</v>
          </cell>
          <cell r="R681" t="str">
            <v>BT</v>
          </cell>
          <cell r="S681" t="str">
            <v>BT</v>
          </cell>
          <cell r="T681" t="str">
            <v>NA</v>
          </cell>
          <cell r="Z681" t="str">
            <v>RTS 193 JS2 EMC 07/09/2020</v>
          </cell>
          <cell r="AA681" t="str">
            <v>E</v>
          </cell>
          <cell r="AB681" t="str">
            <v>Mécanique</v>
          </cell>
          <cell r="AC681" t="str">
            <v>EMC</v>
          </cell>
          <cell r="AD681" t="str">
            <v>ST ET.4-10546</v>
          </cell>
          <cell r="AE681" t="str">
            <v>Documentation relative à l’étude et à la réalisation de systèmes mécaniques, électrotechniques, pneumatiques et hydrauliques</v>
          </cell>
          <cell r="AF681" t="str">
            <v>3.1.1.3</v>
          </cell>
          <cell r="AI681">
            <v>1</v>
          </cell>
          <cell r="AN681" t="str">
            <v>FP</v>
          </cell>
          <cell r="AP681" t="str">
            <v>FD</v>
          </cell>
          <cell r="CH681" t="e">
            <v>#N/A</v>
          </cell>
          <cell r="CI681" t="e">
            <v>#N/A</v>
          </cell>
          <cell r="CJ681" t="e">
            <v>#N/A</v>
          </cell>
        </row>
        <row r="682">
          <cell r="B682" t="str">
            <v>Ligne_198.3.2.137_PPD</v>
          </cell>
          <cell r="C682" t="str">
            <v>198.3.2.137</v>
          </cell>
          <cell r="E682" t="str">
            <v>Documentation des produits mécanique (DD?)</v>
          </cell>
          <cell r="G682" t="str">
            <v>ENG PLIE GAUCHE V N</v>
          </cell>
          <cell r="R682" t="str">
            <v>BT</v>
          </cell>
          <cell r="S682" t="str">
            <v>BT</v>
          </cell>
          <cell r="T682" t="str">
            <v>NA</v>
          </cell>
          <cell r="Z682" t="str">
            <v>RTS 193 JS2 EMC 07/09/2020</v>
          </cell>
          <cell r="AA682" t="str">
            <v>E</v>
          </cell>
          <cell r="AB682" t="str">
            <v>Mécanique</v>
          </cell>
          <cell r="AC682" t="str">
            <v>EMC</v>
          </cell>
          <cell r="AD682" t="str">
            <v>ST ET.4-10546</v>
          </cell>
          <cell r="AE682" t="str">
            <v>Documentation relative à l’étude et à la réalisation de systèmes mécaniques, électrotechniques, pneumatiques et hydrauliques</v>
          </cell>
          <cell r="AF682" t="str">
            <v>3.1.1.3</v>
          </cell>
          <cell r="AI682">
            <v>1</v>
          </cell>
          <cell r="AN682" t="str">
            <v>FP</v>
          </cell>
          <cell r="AP682" t="str">
            <v>FD</v>
          </cell>
          <cell r="CH682" t="e">
            <v>#N/A</v>
          </cell>
          <cell r="CI682" t="e">
            <v>#N/A</v>
          </cell>
          <cell r="CJ682" t="e">
            <v>#N/A</v>
          </cell>
        </row>
        <row r="683">
          <cell r="B683" t="str">
            <v>Ligne_198.3.2.138_PPD</v>
          </cell>
          <cell r="C683" t="str">
            <v>198.3.2.138</v>
          </cell>
          <cell r="E683" t="str">
            <v>Documentation des produits mécanique (DD?)</v>
          </cell>
          <cell r="G683" t="str">
            <v>ENS BATTANT DROIT VEHI N</v>
          </cell>
          <cell r="R683" t="str">
            <v>BT</v>
          </cell>
          <cell r="S683" t="str">
            <v>BT</v>
          </cell>
          <cell r="T683" t="str">
            <v>NA</v>
          </cell>
          <cell r="Z683" t="str">
            <v>RTS 193 JS2 EMC 07/09/2020</v>
          </cell>
          <cell r="AA683" t="str">
            <v>E</v>
          </cell>
          <cell r="AB683" t="str">
            <v>Mécanique</v>
          </cell>
          <cell r="AC683" t="str">
            <v>EMC</v>
          </cell>
          <cell r="AD683" t="str">
            <v>ST ET.4-10546</v>
          </cell>
          <cell r="AE683" t="str">
            <v>Documentation relative à l’étude et à la réalisation de systèmes mécaniques, électrotechniques, pneumatiques et hydrauliques</v>
          </cell>
          <cell r="AF683" t="str">
            <v>3.1.1.3</v>
          </cell>
          <cell r="AI683">
            <v>1</v>
          </cell>
          <cell r="AN683" t="str">
            <v>FP</v>
          </cell>
          <cell r="AP683" t="str">
            <v>FD</v>
          </cell>
          <cell r="CH683" t="e">
            <v>#N/A</v>
          </cell>
          <cell r="CI683" t="e">
            <v>#N/A</v>
          </cell>
          <cell r="CJ683" t="e">
            <v>#N/A</v>
          </cell>
        </row>
        <row r="684">
          <cell r="B684" t="str">
            <v>Ligne_198.3.2.139_PPD</v>
          </cell>
          <cell r="C684" t="str">
            <v>198.3.2.139</v>
          </cell>
          <cell r="E684" t="str">
            <v>Documentation des produits mécanique (DD?)</v>
          </cell>
          <cell r="G684" t="str">
            <v>PLIE DROIT V N</v>
          </cell>
          <cell r="R684" t="str">
            <v>BT</v>
          </cell>
          <cell r="S684" t="str">
            <v>BT</v>
          </cell>
          <cell r="T684" t="str">
            <v>NA</v>
          </cell>
          <cell r="Z684" t="str">
            <v>RTS 193 JS2 EMC 07/09/2020</v>
          </cell>
          <cell r="AA684" t="str">
            <v>E</v>
          </cell>
          <cell r="AB684" t="str">
            <v>Mécanique</v>
          </cell>
          <cell r="AC684" t="str">
            <v>EMC</v>
          </cell>
          <cell r="AD684" t="str">
            <v>ST ET.4-10546</v>
          </cell>
          <cell r="AE684" t="str">
            <v>Documentation relative à l’étude et à la réalisation de systèmes mécaniques, électrotechniques, pneumatiques et hydrauliques</v>
          </cell>
          <cell r="AF684" t="str">
            <v>3.1.1.3</v>
          </cell>
          <cell r="AI684">
            <v>1</v>
          </cell>
          <cell r="AN684" t="str">
            <v>FP</v>
          </cell>
          <cell r="AP684" t="str">
            <v>FD</v>
          </cell>
          <cell r="CH684" t="e">
            <v>#N/A</v>
          </cell>
          <cell r="CI684" t="e">
            <v>#N/A</v>
          </cell>
          <cell r="CJ684" t="e">
            <v>#N/A</v>
          </cell>
        </row>
        <row r="685">
          <cell r="B685" t="str">
            <v>Ligne_198.3.2.140_PPD</v>
          </cell>
          <cell r="C685" t="str">
            <v>198.3.2.140</v>
          </cell>
          <cell r="E685" t="str">
            <v>Documentation des produits mécanique (DD?)</v>
          </cell>
          <cell r="G685" t="str">
            <v>STRUCTURE CHASSIS NU</v>
          </cell>
          <cell r="R685" t="str">
            <v>BT</v>
          </cell>
          <cell r="S685" t="str">
            <v>BT</v>
          </cell>
          <cell r="T685" t="str">
            <v>NA</v>
          </cell>
          <cell r="Z685" t="str">
            <v>RTS 193 JS2 EMC 07/09/2020</v>
          </cell>
          <cell r="AA685" t="str">
            <v>E</v>
          </cell>
          <cell r="AB685" t="str">
            <v>Mécanique</v>
          </cell>
          <cell r="AC685" t="str">
            <v>EMC</v>
          </cell>
          <cell r="AD685" t="str">
            <v>ST ET.4-10546</v>
          </cell>
          <cell r="AE685" t="str">
            <v>Documentation relative à l’étude et à la réalisation de systèmes mécaniques, électrotechniques, pneumatiques et hydrauliques</v>
          </cell>
          <cell r="AF685" t="str">
            <v>3.1.1.3</v>
          </cell>
          <cell r="AI685">
            <v>1</v>
          </cell>
          <cell r="AN685" t="str">
            <v>FP</v>
          </cell>
          <cell r="AP685" t="str">
            <v>FD</v>
          </cell>
          <cell r="CH685" t="e">
            <v>#N/A</v>
          </cell>
          <cell r="CI685" t="e">
            <v>#N/A</v>
          </cell>
          <cell r="CJ685" t="e">
            <v>#N/A</v>
          </cell>
        </row>
        <row r="686">
          <cell r="B686" t="str">
            <v>Ligne_198.3.2.141_PPD</v>
          </cell>
          <cell r="C686" t="str">
            <v>198.3.2.141</v>
          </cell>
          <cell r="E686" t="str">
            <v>Documentation des produits mécanique (DD?)</v>
          </cell>
          <cell r="G686" t="str">
            <v>UNDERFRAME_CENTRAL_PART</v>
          </cell>
          <cell r="R686" t="str">
            <v>BT</v>
          </cell>
          <cell r="S686" t="str">
            <v>BT</v>
          </cell>
          <cell r="T686" t="str">
            <v>NA</v>
          </cell>
          <cell r="Z686" t="str">
            <v>RTS 193 JS2 EMC 07/09/2020</v>
          </cell>
          <cell r="AA686" t="str">
            <v>E</v>
          </cell>
          <cell r="AB686" t="str">
            <v>Mécanique</v>
          </cell>
          <cell r="AC686" t="str">
            <v>EMC</v>
          </cell>
          <cell r="AD686" t="str">
            <v>ST ET.4-10546</v>
          </cell>
          <cell r="AE686" t="str">
            <v>Documentation relative à l’étude et à la réalisation de systèmes mécaniques, électrotechniques, pneumatiques et hydrauliques</v>
          </cell>
          <cell r="AF686" t="str">
            <v>3.1.1.3</v>
          </cell>
          <cell r="AI686">
            <v>1</v>
          </cell>
          <cell r="AN686" t="str">
            <v>FP</v>
          </cell>
          <cell r="AP686" t="str">
            <v>FD</v>
          </cell>
          <cell r="CH686" t="e">
            <v>#N/A</v>
          </cell>
          <cell r="CI686" t="e">
            <v>#N/A</v>
          </cell>
          <cell r="CJ686" t="e">
            <v>#N/A</v>
          </cell>
        </row>
        <row r="687">
          <cell r="B687" t="str">
            <v>Ligne_198.3.2.142_PPD</v>
          </cell>
          <cell r="C687" t="str">
            <v>198.3.2.142</v>
          </cell>
          <cell r="E687" t="str">
            <v>Documentation des produits mécanique (DD?)</v>
          </cell>
          <cell r="G687" t="str">
            <v>ENS TRAVERSE</v>
          </cell>
          <cell r="R687" t="str">
            <v>BT</v>
          </cell>
          <cell r="S687" t="str">
            <v>BT</v>
          </cell>
          <cell r="T687" t="str">
            <v>NA</v>
          </cell>
          <cell r="Z687" t="str">
            <v>RTS 193 JS2 EMC 07/09/2020</v>
          </cell>
          <cell r="AA687" t="str">
            <v>E</v>
          </cell>
          <cell r="AB687" t="str">
            <v>Mécanique</v>
          </cell>
          <cell r="AC687" t="str">
            <v>EMC</v>
          </cell>
          <cell r="AD687" t="str">
            <v>ST ET.4-10546</v>
          </cell>
          <cell r="AE687" t="str">
            <v>Documentation relative à l’étude et à la réalisation de systèmes mécaniques, électrotechniques, pneumatiques et hydrauliques</v>
          </cell>
          <cell r="AF687" t="str">
            <v>3.1.1.3</v>
          </cell>
          <cell r="AI687">
            <v>1</v>
          </cell>
          <cell r="AN687" t="str">
            <v>FP</v>
          </cell>
          <cell r="AP687" t="str">
            <v>FD</v>
          </cell>
          <cell r="CH687" t="e">
            <v>#N/A</v>
          </cell>
          <cell r="CI687" t="e">
            <v>#N/A</v>
          </cell>
          <cell r="CJ687" t="e">
            <v>#N/A</v>
          </cell>
        </row>
        <row r="688">
          <cell r="B688" t="str">
            <v>Ligne_198.3.2.143_PPD</v>
          </cell>
          <cell r="C688" t="str">
            <v>198.3.2.143</v>
          </cell>
          <cell r="E688" t="str">
            <v>Documentation des produits mécanique (DD?)</v>
          </cell>
          <cell r="G688" t="str">
            <v>ENS TRAVERSE</v>
          </cell>
          <cell r="R688" t="str">
            <v>BT</v>
          </cell>
          <cell r="S688" t="str">
            <v>BT</v>
          </cell>
          <cell r="T688" t="str">
            <v>NA</v>
          </cell>
          <cell r="Z688" t="str">
            <v>RTS 193 JS2 EMC 07/09/2020</v>
          </cell>
          <cell r="AA688" t="str">
            <v>E</v>
          </cell>
          <cell r="AB688" t="str">
            <v>Mécanique</v>
          </cell>
          <cell r="AC688" t="str">
            <v>EMC</v>
          </cell>
          <cell r="AD688" t="str">
            <v>ST ET.4-10546</v>
          </cell>
          <cell r="AE688" t="str">
            <v>Documentation relative à l’étude et à la réalisation de systèmes mécaniques, électrotechniques, pneumatiques et hydrauliques</v>
          </cell>
          <cell r="AF688" t="str">
            <v>3.1.1.3</v>
          </cell>
          <cell r="AI688">
            <v>1</v>
          </cell>
          <cell r="AN688" t="str">
            <v>FP</v>
          </cell>
          <cell r="AP688" t="str">
            <v>FD</v>
          </cell>
          <cell r="CH688" t="e">
            <v>#N/A</v>
          </cell>
          <cell r="CI688" t="e">
            <v>#N/A</v>
          </cell>
          <cell r="CJ688" t="e">
            <v>#N/A</v>
          </cell>
        </row>
        <row r="689">
          <cell r="B689" t="str">
            <v>Ligne_198.3.2.144_PPD</v>
          </cell>
          <cell r="C689" t="str">
            <v>198.3.2.144</v>
          </cell>
          <cell r="E689" t="str">
            <v>Documentation des produits mécanique (DD?)</v>
          </cell>
          <cell r="G689" t="str">
            <v>ENS TRAVERSE LARGE</v>
          </cell>
          <cell r="R689" t="str">
            <v>BT</v>
          </cell>
          <cell r="S689" t="str">
            <v>BT</v>
          </cell>
          <cell r="T689" t="str">
            <v>NA</v>
          </cell>
          <cell r="Z689" t="str">
            <v>RTS 193 JS2 EMC 07/09/2020</v>
          </cell>
          <cell r="AA689" t="str">
            <v>E</v>
          </cell>
          <cell r="AB689" t="str">
            <v>Mécanique</v>
          </cell>
          <cell r="AC689" t="str">
            <v>EMC</v>
          </cell>
          <cell r="AD689" t="str">
            <v>ST ET.4-10546</v>
          </cell>
          <cell r="AE689" t="str">
            <v>Documentation relative à l’étude et à la réalisation de systèmes mécaniques, électrotechniques, pneumatiques et hydrauliques</v>
          </cell>
          <cell r="AF689" t="str">
            <v>3.1.1.3</v>
          </cell>
          <cell r="AI689">
            <v>1</v>
          </cell>
          <cell r="AN689" t="str">
            <v>FP</v>
          </cell>
          <cell r="AP689" t="str">
            <v>FD</v>
          </cell>
          <cell r="CH689" t="e">
            <v>#N/A</v>
          </cell>
          <cell r="CI689" t="e">
            <v>#N/A</v>
          </cell>
          <cell r="CJ689" t="e">
            <v>#N/A</v>
          </cell>
        </row>
        <row r="690">
          <cell r="B690" t="str">
            <v>Ligne_198.3.2.145_PPD</v>
          </cell>
          <cell r="C690" t="str">
            <v>198.3.2.145</v>
          </cell>
          <cell r="E690" t="str">
            <v>Documentation des produits mécanique (DD?)</v>
          </cell>
          <cell r="G690" t="str">
            <v>ENSEMBLE PLATELAGE CHASSIS</v>
          </cell>
          <cell r="R690" t="str">
            <v>BT</v>
          </cell>
          <cell r="S690" t="str">
            <v>BT</v>
          </cell>
          <cell r="T690" t="str">
            <v>NA</v>
          </cell>
          <cell r="Z690" t="str">
            <v>RTS 193 JS2 EMC 07/09/2020</v>
          </cell>
          <cell r="AA690" t="str">
            <v>E</v>
          </cell>
          <cell r="AB690" t="str">
            <v>Mécanique</v>
          </cell>
          <cell r="AC690" t="str">
            <v>EMC</v>
          </cell>
          <cell r="AD690" t="str">
            <v>ST ET.4-10546</v>
          </cell>
          <cell r="AE690" t="str">
            <v>Documentation relative à l’étude et à la réalisation de systèmes mécaniques, électrotechniques, pneumatiques et hydrauliques</v>
          </cell>
          <cell r="AF690" t="str">
            <v>3.1.1.3</v>
          </cell>
          <cell r="AI690">
            <v>1</v>
          </cell>
          <cell r="AN690" t="str">
            <v>FP</v>
          </cell>
          <cell r="AP690" t="str">
            <v>FD</v>
          </cell>
          <cell r="CH690" t="e">
            <v>#N/A</v>
          </cell>
          <cell r="CI690" t="e">
            <v>#N/A</v>
          </cell>
          <cell r="CJ690" t="e">
            <v>#N/A</v>
          </cell>
        </row>
        <row r="691">
          <cell r="B691" t="str">
            <v>Ligne_198.3.2.146_PPD</v>
          </cell>
          <cell r="C691" t="str">
            <v>198.3.2.146</v>
          </cell>
          <cell r="E691" t="str">
            <v>Documentation des produits mécanique (DD?)</v>
          </cell>
          <cell r="G691" t="str">
            <v>ENSEMBLE PLATELAGE CHASSIS</v>
          </cell>
          <cell r="R691" t="str">
            <v>BT</v>
          </cell>
          <cell r="S691" t="str">
            <v>BT</v>
          </cell>
          <cell r="T691" t="str">
            <v>NA</v>
          </cell>
          <cell r="Z691" t="str">
            <v>RTS 193 JS2 EMC 07/09/2020</v>
          </cell>
          <cell r="AA691" t="str">
            <v>E</v>
          </cell>
          <cell r="AB691" t="str">
            <v>Mécanique</v>
          </cell>
          <cell r="AC691" t="str">
            <v>EMC</v>
          </cell>
          <cell r="AD691" t="str">
            <v>ST ET.4-10546</v>
          </cell>
          <cell r="AE691" t="str">
            <v>Documentation relative à l’étude et à la réalisation de systèmes mécaniques, électrotechniques, pneumatiques et hydrauliques</v>
          </cell>
          <cell r="AF691" t="str">
            <v>3.1.1.3</v>
          </cell>
          <cell r="AI691">
            <v>1</v>
          </cell>
          <cell r="AN691" t="str">
            <v>FP</v>
          </cell>
          <cell r="AP691" t="str">
            <v>FD</v>
          </cell>
          <cell r="CH691" t="e">
            <v>#N/A</v>
          </cell>
          <cell r="CI691" t="e">
            <v>#N/A</v>
          </cell>
          <cell r="CJ691" t="e">
            <v>#N/A</v>
          </cell>
        </row>
        <row r="692">
          <cell r="B692" t="str">
            <v>Ligne_198.3.2.147_PPD</v>
          </cell>
          <cell r="C692" t="str">
            <v>198.3.2.147</v>
          </cell>
          <cell r="E692" t="str">
            <v>Documentation des produits mécanique (DD?)</v>
          </cell>
          <cell r="G692" t="str">
            <v>MONTAGE BOBTAILS POUR CHAUDRON N</v>
          </cell>
          <cell r="R692" t="str">
            <v>BT</v>
          </cell>
          <cell r="S692" t="str">
            <v>BT</v>
          </cell>
          <cell r="T692" t="str">
            <v>NA</v>
          </cell>
          <cell r="Z692" t="str">
            <v>RTS 193 JS2 EMC 07/09/2020</v>
          </cell>
          <cell r="AA692" t="str">
            <v>E</v>
          </cell>
          <cell r="AB692" t="str">
            <v>Mécanique</v>
          </cell>
          <cell r="AC692" t="str">
            <v>EMC</v>
          </cell>
          <cell r="AD692" t="str">
            <v>ST ET.4-10546</v>
          </cell>
          <cell r="AE692" t="str">
            <v>Documentation relative à l’étude et à la réalisation de systèmes mécaniques, électrotechniques, pneumatiques et hydrauliques</v>
          </cell>
          <cell r="AF692" t="str">
            <v>3.1.1.3</v>
          </cell>
          <cell r="AI692">
            <v>1</v>
          </cell>
          <cell r="AN692" t="str">
            <v>FP</v>
          </cell>
          <cell r="AP692" t="str">
            <v>FD</v>
          </cell>
          <cell r="CH692" t="e">
            <v>#N/A</v>
          </cell>
          <cell r="CI692" t="e">
            <v>#N/A</v>
          </cell>
          <cell r="CJ692" t="e">
            <v>#N/A</v>
          </cell>
        </row>
        <row r="693">
          <cell r="B693" t="str">
            <v>Ligne_198.3.2.148_PPD</v>
          </cell>
          <cell r="C693" t="str">
            <v>198.3.2.148</v>
          </cell>
          <cell r="E693" t="str">
            <v>Documentation des produits mécanique (DD?)</v>
          </cell>
          <cell r="G693" t="str">
            <v>RONDELLES POUR ASSEMBLAGE CAISSE</v>
          </cell>
          <cell r="R693" t="str">
            <v>BT</v>
          </cell>
          <cell r="S693" t="str">
            <v>BT</v>
          </cell>
          <cell r="T693" t="str">
            <v>NA</v>
          </cell>
          <cell r="Z693" t="str">
            <v>RTS 193 JS2 EMC 07/09/2020</v>
          </cell>
          <cell r="AA693" t="str">
            <v>E</v>
          </cell>
          <cell r="AB693" t="str">
            <v>Mécanique</v>
          </cell>
          <cell r="AC693" t="str">
            <v>EMC</v>
          </cell>
          <cell r="AD693" t="str">
            <v>ST ET.4-10546</v>
          </cell>
          <cell r="AE693" t="str">
            <v>Documentation relative à l’étude et à la réalisation de systèmes mécaniques, électrotechniques, pneumatiques et hydrauliques</v>
          </cell>
          <cell r="AF693" t="str">
            <v>3.1.1.3</v>
          </cell>
          <cell r="AI693">
            <v>1</v>
          </cell>
          <cell r="AN693" t="str">
            <v>FP</v>
          </cell>
          <cell r="AP693" t="str">
            <v>FD</v>
          </cell>
          <cell r="CH693" t="e">
            <v>#N/A</v>
          </cell>
          <cell r="CI693" t="e">
            <v>#N/A</v>
          </cell>
          <cell r="CJ693" t="e">
            <v>#N/A</v>
          </cell>
        </row>
        <row r="694">
          <cell r="B694" t="str">
            <v>Ligne_198.3.2.149_PPD</v>
          </cell>
          <cell r="C694" t="str">
            <v>198.3.2.149</v>
          </cell>
          <cell r="E694" t="str">
            <v>Documentation des produits mécanique (DD?)</v>
          </cell>
          <cell r="G694" t="str">
            <v>ENS STRUCTURE PRIMAIRE FACE CENTRALE</v>
          </cell>
          <cell r="R694" t="str">
            <v>BT</v>
          </cell>
          <cell r="S694" t="str">
            <v>BT</v>
          </cell>
          <cell r="T694" t="str">
            <v>NA</v>
          </cell>
          <cell r="Z694" t="str">
            <v>RTS 193 JS2 EMC 07/09/2020</v>
          </cell>
          <cell r="AA694" t="str">
            <v>E</v>
          </cell>
          <cell r="AB694" t="str">
            <v>Mécanique</v>
          </cell>
          <cell r="AC694" t="str">
            <v>EMC</v>
          </cell>
          <cell r="AD694" t="str">
            <v>ST ET.4-10546</v>
          </cell>
          <cell r="AE694" t="str">
            <v>Documentation relative à l’étude et à la réalisation de systèmes mécaniques, électrotechniques, pneumatiques et hydrauliques</v>
          </cell>
          <cell r="AF694" t="str">
            <v>3.1.1.3</v>
          </cell>
          <cell r="AI694">
            <v>1</v>
          </cell>
          <cell r="AN694" t="str">
            <v>FP</v>
          </cell>
          <cell r="AP694" t="str">
            <v>FD</v>
          </cell>
          <cell r="CH694" t="e">
            <v>#N/A</v>
          </cell>
          <cell r="CI694" t="e">
            <v>#N/A</v>
          </cell>
          <cell r="CJ694" t="e">
            <v>#N/A</v>
          </cell>
        </row>
        <row r="695">
          <cell r="B695" t="str">
            <v>Ligne_198.3.2.150_PPD</v>
          </cell>
          <cell r="C695" t="str">
            <v>198.3.2.150</v>
          </cell>
          <cell r="E695" t="str">
            <v>Documentation des produits mécanique (DD?)</v>
          </cell>
          <cell r="G695" t="str">
            <v>ENSEMBLE TOLAGE FACE CENTRALE</v>
          </cell>
          <cell r="R695" t="str">
            <v>BT</v>
          </cell>
          <cell r="S695" t="str">
            <v>BT</v>
          </cell>
          <cell r="T695" t="str">
            <v>NA</v>
          </cell>
          <cell r="Z695" t="str">
            <v>RTS 193 JS2 EMC 07/09/2020</v>
          </cell>
          <cell r="AA695" t="str">
            <v>E</v>
          </cell>
          <cell r="AB695" t="str">
            <v>Mécanique</v>
          </cell>
          <cell r="AC695" t="str">
            <v>EMC</v>
          </cell>
          <cell r="AD695" t="str">
            <v>ST ET.4-10546</v>
          </cell>
          <cell r="AE695" t="str">
            <v>Documentation relative à l’étude et à la réalisation de systèmes mécaniques, électrotechniques, pneumatiques et hydrauliques</v>
          </cell>
          <cell r="AF695" t="str">
            <v>3.1.1.3</v>
          </cell>
          <cell r="AI695">
            <v>1</v>
          </cell>
          <cell r="AN695" t="str">
            <v>FP</v>
          </cell>
          <cell r="AP695" t="str">
            <v>FD</v>
          </cell>
          <cell r="CH695" t="e">
            <v>#N/A</v>
          </cell>
          <cell r="CI695" t="e">
            <v>#N/A</v>
          </cell>
          <cell r="CJ695" t="e">
            <v>#N/A</v>
          </cell>
        </row>
        <row r="696">
          <cell r="B696" t="str">
            <v>Ligne_198.3.2.151_PPD</v>
          </cell>
          <cell r="C696" t="str">
            <v>198.3.2.151</v>
          </cell>
          <cell r="E696" t="str">
            <v>Documentation des produits mécanique (DD?)</v>
          </cell>
          <cell r="G696" t="str">
            <v>ENS STRUCTURE PRIMAIRE FACE CENTRALE</v>
          </cell>
          <cell r="R696" t="str">
            <v>BT</v>
          </cell>
          <cell r="S696" t="str">
            <v>BT</v>
          </cell>
          <cell r="T696" t="str">
            <v>NA</v>
          </cell>
          <cell r="Z696" t="str">
            <v>RTS 193 JS2 EMC 07/09/2020</v>
          </cell>
          <cell r="AA696" t="str">
            <v>E</v>
          </cell>
          <cell r="AB696" t="str">
            <v>Mécanique</v>
          </cell>
          <cell r="AC696" t="str">
            <v>EMC</v>
          </cell>
          <cell r="AD696" t="str">
            <v>ST ET.4-10546</v>
          </cell>
          <cell r="AE696" t="str">
            <v>Documentation relative à l’étude et à la réalisation de systèmes mécaniques, électrotechniques, pneumatiques et hydrauliques</v>
          </cell>
          <cell r="AF696" t="str">
            <v>3.1.1.3</v>
          </cell>
          <cell r="AI696">
            <v>1</v>
          </cell>
          <cell r="AN696" t="str">
            <v>FP</v>
          </cell>
          <cell r="AP696" t="str">
            <v>FD</v>
          </cell>
          <cell r="CH696" t="e">
            <v>#N/A</v>
          </cell>
          <cell r="CI696" t="e">
            <v>#N/A</v>
          </cell>
          <cell r="CJ696" t="e">
            <v>#N/A</v>
          </cell>
        </row>
        <row r="697">
          <cell r="B697" t="str">
            <v>Ligne_198.3.2.152_PPD</v>
          </cell>
          <cell r="C697" t="str">
            <v>198.3.2.152</v>
          </cell>
          <cell r="E697" t="str">
            <v>Documentation des produits mécanique (DD?)</v>
          </cell>
          <cell r="G697" t="str">
            <v>ENSEMBLE TOLAGE FACE CENTRALE</v>
          </cell>
          <cell r="R697" t="str">
            <v>BT</v>
          </cell>
          <cell r="S697" t="str">
            <v>BT</v>
          </cell>
          <cell r="T697" t="str">
            <v>NA</v>
          </cell>
          <cell r="Z697" t="str">
            <v>RTS 193 JS2 EMC 07/09/2020</v>
          </cell>
          <cell r="AA697" t="str">
            <v>E</v>
          </cell>
          <cell r="AB697" t="str">
            <v>Mécanique</v>
          </cell>
          <cell r="AC697" t="str">
            <v>EMC</v>
          </cell>
          <cell r="AD697" t="str">
            <v>ST ET.4-10546</v>
          </cell>
          <cell r="AE697" t="str">
            <v>Documentation relative à l’étude et à la réalisation de systèmes mécaniques, électrotechniques, pneumatiques et hydrauliques</v>
          </cell>
          <cell r="AF697" t="str">
            <v>3.1.1.3</v>
          </cell>
          <cell r="AI697">
            <v>1</v>
          </cell>
          <cell r="AN697" t="str">
            <v>FP</v>
          </cell>
          <cell r="AP697" t="str">
            <v>FD</v>
          </cell>
          <cell r="CH697" t="e">
            <v>#N/A</v>
          </cell>
          <cell r="CI697" t="e">
            <v>#N/A</v>
          </cell>
          <cell r="CJ697" t="e">
            <v>#N/A</v>
          </cell>
        </row>
        <row r="698">
          <cell r="B698" t="str">
            <v>Ligne_198.3.2.153_PPD</v>
          </cell>
          <cell r="C698" t="str">
            <v>198.3.2.153</v>
          </cell>
          <cell r="E698" t="str">
            <v>Documentation des produits mécanique (DD?)</v>
          </cell>
          <cell r="G698" t="str">
            <v>ENSEMBLE STRUCTURE PRIMAIRE CHASSIS</v>
          </cell>
          <cell r="R698" t="str">
            <v>BT</v>
          </cell>
          <cell r="S698" t="str">
            <v>BT</v>
          </cell>
          <cell r="T698" t="str">
            <v>NA</v>
          </cell>
          <cell r="Z698" t="str">
            <v>RTS 193 JS2 EMC 07/09/2020</v>
          </cell>
          <cell r="AA698" t="str">
            <v>E</v>
          </cell>
          <cell r="AB698" t="str">
            <v>Mécanique</v>
          </cell>
          <cell r="AC698" t="str">
            <v>EMC</v>
          </cell>
          <cell r="AD698" t="str">
            <v>ST ET.4-10546</v>
          </cell>
          <cell r="AE698" t="str">
            <v>Documentation relative à l’étude et à la réalisation de systèmes mécaniques, électrotechniques, pneumatiques et hydrauliques</v>
          </cell>
          <cell r="AF698" t="str">
            <v>3.1.1.3</v>
          </cell>
          <cell r="AI698">
            <v>1</v>
          </cell>
          <cell r="AN698" t="str">
            <v>FP</v>
          </cell>
          <cell r="AP698" t="str">
            <v>FD</v>
          </cell>
          <cell r="CH698" t="e">
            <v>#N/A</v>
          </cell>
          <cell r="CI698" t="e">
            <v>#N/A</v>
          </cell>
          <cell r="CJ698" t="e">
            <v>#N/A</v>
          </cell>
        </row>
        <row r="699">
          <cell r="B699" t="str">
            <v>Ligne_198.3.3_PPD</v>
          </cell>
          <cell r="C699" t="str">
            <v>198.3.3</v>
          </cell>
          <cell r="E699" t="str">
            <v>Documentation des produits mécanique (DD?)</v>
          </cell>
          <cell r="G699" t="str">
            <v>Plans d'ensemble des Produits - LIVRABLE</v>
          </cell>
          <cell r="R699" t="str">
            <v>NA</v>
          </cell>
          <cell r="S699" t="str">
            <v>ABT</v>
          </cell>
          <cell r="T699" t="str">
            <v>NA</v>
          </cell>
          <cell r="Z699" t="str">
            <v>RTS 193 JS2 EMC 07/09/2020</v>
          </cell>
          <cell r="AA699" t="str">
            <v>E</v>
          </cell>
          <cell r="AB699" t="str">
            <v>Mécanique</v>
          </cell>
          <cell r="AC699" t="str">
            <v>EMC</v>
          </cell>
          <cell r="AD699" t="str">
            <v>ST ET.4-10546</v>
          </cell>
          <cell r="AE699" t="str">
            <v>Documentation relative à l’étude et à la réalisation de systèmes mécaniques, électrotechniques, pneumatiques et hydrauliques</v>
          </cell>
          <cell r="AF699" t="str">
            <v>3.1.1.3</v>
          </cell>
          <cell r="AI699" t="str">
            <v>LIVRABLE</v>
          </cell>
          <cell r="AN699" t="str">
            <v>FP</v>
          </cell>
          <cell r="AP699" t="str">
            <v>FD</v>
          </cell>
          <cell r="CH699" t="e">
            <v>#N/A</v>
          </cell>
          <cell r="CI699" t="e">
            <v>#N/A</v>
          </cell>
          <cell r="CJ699" t="e">
            <v>#N/A</v>
          </cell>
        </row>
        <row r="700">
          <cell r="B700" t="str">
            <v>Ligne_198.3.3.1_PPD</v>
          </cell>
          <cell r="C700" t="str">
            <v>198.3.3.1</v>
          </cell>
          <cell r="E700" t="str">
            <v>Documentation des produits mécanique (DD?)</v>
          </cell>
          <cell r="G700" t="str">
            <v>Plans d'ensemble Système HVAC cabine - LIVRABLE</v>
          </cell>
          <cell r="R700" t="str">
            <v>BT</v>
          </cell>
          <cell r="S700" t="str">
            <v>BT</v>
          </cell>
          <cell r="T700" t="str">
            <v>NA</v>
          </cell>
          <cell r="Z700" t="str">
            <v>RTS 193 JS2 EMC 07/09/2020</v>
          </cell>
          <cell r="AA700" t="str">
            <v>E</v>
          </cell>
          <cell r="AB700" t="str">
            <v>Mécanique</v>
          </cell>
          <cell r="AC700" t="str">
            <v>EMC</v>
          </cell>
          <cell r="AD700" t="str">
            <v>ST ET.4-10546</v>
          </cell>
          <cell r="AE700" t="str">
            <v>Documentation relative à l’étude et à la réalisation de systèmes mécaniques, électrotechniques, pneumatiques et hydrauliques</v>
          </cell>
          <cell r="AF700" t="str">
            <v>3.1.1.3</v>
          </cell>
          <cell r="AI700" t="str">
            <v>10 à 15 plans, nombre exact encore à confirmer</v>
          </cell>
          <cell r="AN700" t="str">
            <v>FP</v>
          </cell>
          <cell r="AP700" t="str">
            <v>FD</v>
          </cell>
          <cell r="CH700" t="e">
            <v>#N/A</v>
          </cell>
          <cell r="CI700" t="e">
            <v>#N/A</v>
          </cell>
          <cell r="CJ700" t="e">
            <v>#N/A</v>
          </cell>
        </row>
        <row r="701">
          <cell r="B701" t="str">
            <v>Ligne_198.3.3.2_PPD</v>
          </cell>
          <cell r="C701" t="str">
            <v>198.3.3.2</v>
          </cell>
          <cell r="E701" t="str">
            <v>Documentation des produits mécanique (DD?)</v>
          </cell>
          <cell r="G701" t="str">
            <v>Plans d'ensemble Système HVAC saloon - LIVRABLE</v>
          </cell>
          <cell r="R701" t="str">
            <v>BT</v>
          </cell>
          <cell r="S701" t="str">
            <v>BT</v>
          </cell>
          <cell r="T701" t="str">
            <v>NA</v>
          </cell>
          <cell r="Z701" t="str">
            <v>RTS 193 JS2 EMC 07/09/2020</v>
          </cell>
          <cell r="AA701" t="str">
            <v>E</v>
          </cell>
          <cell r="AB701" t="str">
            <v>Mécanique</v>
          </cell>
          <cell r="AC701" t="str">
            <v>EMC</v>
          </cell>
          <cell r="AD701" t="str">
            <v>ST ET.4-10546</v>
          </cell>
          <cell r="AE701" t="str">
            <v>Documentation relative à l’étude et à la réalisation de systèmes mécaniques, électrotechniques, pneumatiques et hydrauliques</v>
          </cell>
          <cell r="AF701" t="str">
            <v>3.1.1.3</v>
          </cell>
          <cell r="AI701" t="str">
            <v>10 à 15 plans, nombre exact encore à confirmer</v>
          </cell>
          <cell r="AN701" t="str">
            <v>FP</v>
          </cell>
          <cell r="AP701" t="str">
            <v>FD</v>
          </cell>
          <cell r="CH701" t="e">
            <v>#N/A</v>
          </cell>
          <cell r="CI701" t="e">
            <v>#N/A</v>
          </cell>
          <cell r="CJ701" t="e">
            <v>#N/A</v>
          </cell>
        </row>
        <row r="702">
          <cell r="B702" t="str">
            <v>Ligne_198.3.3.3_PPD</v>
          </cell>
          <cell r="C702" t="str">
            <v>198.3.3.3</v>
          </cell>
          <cell r="E702" t="str">
            <v>Documentation des produits mécanique (DD?)</v>
          </cell>
          <cell r="G702" t="str">
            <v>Plans d'ensemble Système coque GRP - LIVRABLE</v>
          </cell>
          <cell r="R702" t="str">
            <v>BT</v>
          </cell>
          <cell r="S702" t="str">
            <v>BT</v>
          </cell>
          <cell r="T702" t="str">
            <v>NA</v>
          </cell>
          <cell r="Z702" t="str">
            <v>RTS 193 JS2 EMC 07/09/2020</v>
          </cell>
          <cell r="AA702" t="str">
            <v>E</v>
          </cell>
          <cell r="AB702" t="str">
            <v>Mécanique</v>
          </cell>
          <cell r="AC702" t="str">
            <v>EMC</v>
          </cell>
          <cell r="AD702" t="str">
            <v>ST ET.4-10546</v>
          </cell>
          <cell r="AE702" t="str">
            <v>Documentation relative à l’étude et à la réalisation de systèmes mécaniques, électrotechniques, pneumatiques et hydrauliques</v>
          </cell>
          <cell r="AF702" t="str">
            <v>3.1.1.3</v>
          </cell>
          <cell r="AI702" t="str">
            <v>quantité à confirmer</v>
          </cell>
          <cell r="AN702" t="str">
            <v>FP</v>
          </cell>
          <cell r="AP702" t="str">
            <v>FD</v>
          </cell>
          <cell r="CH702" t="e">
            <v>#N/A</v>
          </cell>
          <cell r="CI702" t="e">
            <v>#N/A</v>
          </cell>
          <cell r="CJ702" t="e">
            <v>#N/A</v>
          </cell>
        </row>
        <row r="703">
          <cell r="B703" t="str">
            <v>Ligne_198.3.3.4_PPD</v>
          </cell>
          <cell r="C703" t="str">
            <v>198.3.3.4</v>
          </cell>
          <cell r="E703" t="str">
            <v>Documentation des produits mécanique (DD?)</v>
          </cell>
          <cell r="G703" t="str">
            <v>Plans d'ensemble Système Pare Brise - LIVRABLE</v>
          </cell>
          <cell r="R703" t="str">
            <v>BT</v>
          </cell>
          <cell r="S703" t="str">
            <v>BT</v>
          </cell>
          <cell r="T703" t="str">
            <v>NA</v>
          </cell>
          <cell r="Z703" t="str">
            <v>RTS 193 JS2 EMC 07/09/2020</v>
          </cell>
          <cell r="AA703" t="str">
            <v>E</v>
          </cell>
          <cell r="AB703" t="str">
            <v>Mécanique</v>
          </cell>
          <cell r="AC703" t="str">
            <v>EMC</v>
          </cell>
          <cell r="AD703" t="str">
            <v>ST ET.4-10546</v>
          </cell>
          <cell r="AE703" t="str">
            <v>Documentation relative à l’étude et à la réalisation de systèmes mécaniques, électrotechniques, pneumatiques et hydrauliques</v>
          </cell>
          <cell r="AF703" t="str">
            <v>3.1.1.3</v>
          </cell>
          <cell r="AI703" t="str">
            <v>quantité à confirmer</v>
          </cell>
          <cell r="AN703" t="str">
            <v>FP</v>
          </cell>
          <cell r="AP703" t="str">
            <v>FD</v>
          </cell>
          <cell r="CH703" t="e">
            <v>#N/A</v>
          </cell>
          <cell r="CI703" t="e">
            <v>#N/A</v>
          </cell>
          <cell r="CJ703" t="e">
            <v>#N/A</v>
          </cell>
        </row>
        <row r="704">
          <cell r="B704" t="str">
            <v>Ligne_198.3.3.5_PPD</v>
          </cell>
          <cell r="C704" t="str">
            <v>198.3.3.5</v>
          </cell>
          <cell r="E704" t="str">
            <v>Documentation des produits mécanique (DD?)</v>
          </cell>
          <cell r="G704" t="str">
            <v>Plans d'ensemble Système Eclairage extérieur - LIVRABLE</v>
          </cell>
          <cell r="R704" t="str">
            <v>BT</v>
          </cell>
          <cell r="S704" t="str">
            <v>BT</v>
          </cell>
          <cell r="T704" t="str">
            <v>NA</v>
          </cell>
          <cell r="Z704" t="str">
            <v>RTS 193 JS2 EMC 07/09/2020</v>
          </cell>
          <cell r="AA704" t="str">
            <v>E</v>
          </cell>
          <cell r="AB704" t="str">
            <v>Mécanique</v>
          </cell>
          <cell r="AC704" t="str">
            <v>EMC</v>
          </cell>
          <cell r="AD704" t="str">
            <v>ST ET.4-10546</v>
          </cell>
          <cell r="AE704" t="str">
            <v>Documentation relative à l’étude et à la réalisation de systèmes mécaniques, électrotechniques, pneumatiques et hydrauliques</v>
          </cell>
          <cell r="AF704" t="str">
            <v>3.1.1.3</v>
          </cell>
          <cell r="AI704" t="str">
            <v>quantité à confirmer</v>
          </cell>
          <cell r="AN704" t="str">
            <v>FP</v>
          </cell>
          <cell r="AP704" t="str">
            <v>FD</v>
          </cell>
          <cell r="CH704" t="e">
            <v>#N/A</v>
          </cell>
          <cell r="CI704" t="e">
            <v>#N/A</v>
          </cell>
          <cell r="CJ704" t="e">
            <v>#N/A</v>
          </cell>
        </row>
        <row r="705">
          <cell r="B705" t="str">
            <v>Ligne_198.3.3.6_PPD</v>
          </cell>
          <cell r="C705" t="str">
            <v>198.3.3.6</v>
          </cell>
          <cell r="E705" t="str">
            <v>Documentation des produits mécanique (DD?)</v>
          </cell>
          <cell r="G705" t="str">
            <v>Plans d'ensemble Système Cloison cabine - LIVRABLE</v>
          </cell>
          <cell r="R705" t="str">
            <v>BT</v>
          </cell>
          <cell r="S705" t="str">
            <v>BT</v>
          </cell>
          <cell r="T705" t="str">
            <v>NA</v>
          </cell>
          <cell r="Z705" t="str">
            <v>RTS 193 JS2 EMC 07/09/2020</v>
          </cell>
          <cell r="AA705" t="str">
            <v>E</v>
          </cell>
          <cell r="AB705" t="str">
            <v>Mécanique</v>
          </cell>
          <cell r="AC705" t="str">
            <v>EMC</v>
          </cell>
          <cell r="AD705" t="str">
            <v>ST ET.4-10546</v>
          </cell>
          <cell r="AE705" t="str">
            <v>Documentation relative à l’étude et à la réalisation de systèmes mécaniques, électrotechniques, pneumatiques et hydrauliques</v>
          </cell>
          <cell r="AF705" t="str">
            <v>3.1.1.3</v>
          </cell>
          <cell r="AI705" t="str">
            <v>quantité à confirmer</v>
          </cell>
          <cell r="AN705" t="str">
            <v>FP</v>
          </cell>
          <cell r="AP705" t="str">
            <v>FD</v>
          </cell>
          <cell r="CH705" t="e">
            <v>#N/A</v>
          </cell>
          <cell r="CI705" t="e">
            <v>#N/A</v>
          </cell>
          <cell r="CJ705" t="e">
            <v>#N/A</v>
          </cell>
        </row>
        <row r="706">
          <cell r="B706" t="str">
            <v>Ligne_198.3.3.7_PPD</v>
          </cell>
          <cell r="C706" t="str">
            <v>198.3.3.7</v>
          </cell>
          <cell r="E706" t="str">
            <v>Documentation des produits mécanique (DD?)</v>
          </cell>
          <cell r="G706" t="str">
            <v>Plans d'ensemble Système Pupitre - LIVRABLE</v>
          </cell>
          <cell r="R706" t="str">
            <v>BT</v>
          </cell>
          <cell r="S706" t="str">
            <v>BT</v>
          </cell>
          <cell r="T706" t="str">
            <v>NA</v>
          </cell>
          <cell r="Z706" t="str">
            <v>RTS 193 JS2 EMC 07/09/2020</v>
          </cell>
          <cell r="AA706" t="str">
            <v>E</v>
          </cell>
          <cell r="AB706" t="str">
            <v>Mécanique</v>
          </cell>
          <cell r="AC706" t="str">
            <v>EMC</v>
          </cell>
          <cell r="AD706" t="str">
            <v>ST ET.4-10546</v>
          </cell>
          <cell r="AE706" t="str">
            <v>Documentation relative à l’étude et à la réalisation de systèmes mécaniques, électrotechniques, pneumatiques et hydrauliques</v>
          </cell>
          <cell r="AF706" t="str">
            <v>3.1.1.3</v>
          </cell>
          <cell r="AI706" t="str">
            <v>quantité à confirmer</v>
          </cell>
          <cell r="AN706" t="str">
            <v>FP</v>
          </cell>
          <cell r="AP706" t="str">
            <v>FD</v>
          </cell>
          <cell r="CH706" t="e">
            <v>#N/A</v>
          </cell>
          <cell r="CI706" t="e">
            <v>#N/A</v>
          </cell>
          <cell r="CJ706" t="e">
            <v>#N/A</v>
          </cell>
        </row>
        <row r="707">
          <cell r="B707" t="str">
            <v>Ligne_198.3.3.8_PPD</v>
          </cell>
          <cell r="C707" t="str">
            <v>198.3.3.8</v>
          </cell>
          <cell r="E707" t="str">
            <v>Documentation des produits mécanique (DD?)</v>
          </cell>
          <cell r="G707" t="str">
            <v>Plans d'ensemble Système Store - LIVRABLE</v>
          </cell>
          <cell r="R707" t="str">
            <v>BT</v>
          </cell>
          <cell r="S707" t="str">
            <v>BT</v>
          </cell>
          <cell r="T707" t="str">
            <v>NA</v>
          </cell>
          <cell r="Z707" t="str">
            <v>RTS 193 JS2 EMC 07/09/2020</v>
          </cell>
          <cell r="AA707" t="str">
            <v>E</v>
          </cell>
          <cell r="AB707" t="str">
            <v>Mécanique</v>
          </cell>
          <cell r="AC707" t="str">
            <v>EMC</v>
          </cell>
          <cell r="AD707" t="str">
            <v>ST ET.4-10546</v>
          </cell>
          <cell r="AE707" t="str">
            <v>Documentation relative à l’étude et à la réalisation de systèmes mécaniques, électrotechniques, pneumatiques et hydrauliques</v>
          </cell>
          <cell r="AF707" t="str">
            <v>3.1.1.3</v>
          </cell>
          <cell r="AI707" t="str">
            <v>quantité à confirmer</v>
          </cell>
          <cell r="AN707" t="str">
            <v>FP</v>
          </cell>
          <cell r="AP707" t="str">
            <v>FD</v>
          </cell>
          <cell r="CH707" t="e">
            <v>#N/A</v>
          </cell>
          <cell r="CI707" t="e">
            <v>#N/A</v>
          </cell>
          <cell r="CJ707" t="e">
            <v>#N/A</v>
          </cell>
        </row>
        <row r="708">
          <cell r="B708" t="str">
            <v>Ligne_198.3.3.9_PPD</v>
          </cell>
          <cell r="C708" t="str">
            <v>198.3.3.9</v>
          </cell>
          <cell r="E708" t="str">
            <v>Documentation des produits mécanique (DD?)</v>
          </cell>
          <cell r="G708" t="str">
            <v>Plans d'ensemble Système Siège conducteur - LIVRABLE</v>
          </cell>
          <cell r="R708" t="str">
            <v>BT</v>
          </cell>
          <cell r="S708" t="str">
            <v>BT</v>
          </cell>
          <cell r="T708" t="str">
            <v>NA</v>
          </cell>
          <cell r="Z708" t="str">
            <v>RTS 193 JS2 EMC 07/09/2020</v>
          </cell>
          <cell r="AA708" t="str">
            <v>E</v>
          </cell>
          <cell r="AB708" t="str">
            <v>Mécanique</v>
          </cell>
          <cell r="AC708" t="str">
            <v>EMC</v>
          </cell>
          <cell r="AD708" t="str">
            <v>ST ET.4-10546</v>
          </cell>
          <cell r="AE708" t="str">
            <v>Documentation relative à l’étude et à la réalisation de systèmes mécaniques, électrotechniques, pneumatiques et hydrauliques</v>
          </cell>
          <cell r="AF708" t="str">
            <v>3.1.1.3</v>
          </cell>
          <cell r="AI708" t="str">
            <v>quantité à confirmer</v>
          </cell>
          <cell r="AN708" t="str">
            <v>FP</v>
          </cell>
          <cell r="AP708" t="str">
            <v>FD</v>
          </cell>
          <cell r="CH708" t="e">
            <v>#N/A</v>
          </cell>
          <cell r="CI708" t="e">
            <v>#N/A</v>
          </cell>
          <cell r="CJ708" t="e">
            <v>#N/A</v>
          </cell>
        </row>
        <row r="709">
          <cell r="B709" t="str">
            <v>Ligne_198.3.3.10_PPD</v>
          </cell>
          <cell r="C709" t="str">
            <v>198.3.3.10</v>
          </cell>
          <cell r="E709" t="str">
            <v>Documentation des produits mécanique (DD?)</v>
          </cell>
          <cell r="G709" t="str">
            <v>Plans d'ensemble Système Porte cabine - LIVRABLE</v>
          </cell>
          <cell r="R709" t="str">
            <v>BT</v>
          </cell>
          <cell r="S709" t="str">
            <v>BT</v>
          </cell>
          <cell r="T709" t="str">
            <v>NA</v>
          </cell>
          <cell r="Z709" t="str">
            <v>RTS 193 JS2 EMC 07/09/2020</v>
          </cell>
          <cell r="AA709" t="str">
            <v>E</v>
          </cell>
          <cell r="AB709" t="str">
            <v>Mécanique</v>
          </cell>
          <cell r="AC709" t="str">
            <v>EMC</v>
          </cell>
          <cell r="AD709" t="str">
            <v>ST ET.4-10546</v>
          </cell>
          <cell r="AE709" t="str">
            <v>Documentation relative à l’étude et à la réalisation de systèmes mécaniques, électrotechniques, pneumatiques et hydrauliques</v>
          </cell>
          <cell r="AF709" t="str">
            <v>3.1.1.3</v>
          </cell>
          <cell r="AI709" t="str">
            <v>quantité à confirmer</v>
          </cell>
          <cell r="AN709" t="str">
            <v>FP</v>
          </cell>
          <cell r="AP709" t="str">
            <v>FD</v>
          </cell>
          <cell r="CH709" t="e">
            <v>#N/A</v>
          </cell>
          <cell r="CI709" t="e">
            <v>#N/A</v>
          </cell>
          <cell r="CJ709" t="e">
            <v>#N/A</v>
          </cell>
        </row>
        <row r="710">
          <cell r="B710" t="str">
            <v>Ligne_198.3.3.11_PPD</v>
          </cell>
          <cell r="C710" t="str">
            <v>198.3.3.11</v>
          </cell>
          <cell r="E710" t="str">
            <v>Documentation des produits mécanique (DD?)</v>
          </cell>
          <cell r="G710" t="str">
            <v>Plans d'ensemble Système Baies latérales - LIVRABLE</v>
          </cell>
          <cell r="R710" t="str">
            <v>BT</v>
          </cell>
          <cell r="S710" t="str">
            <v>BT</v>
          </cell>
          <cell r="T710" t="str">
            <v>NA</v>
          </cell>
          <cell r="Z710" t="str">
            <v>RTS 193 JS2 EMC 07/09/2020</v>
          </cell>
          <cell r="AA710" t="str">
            <v>E</v>
          </cell>
          <cell r="AB710" t="str">
            <v>Mécanique</v>
          </cell>
          <cell r="AC710" t="str">
            <v>EMC</v>
          </cell>
          <cell r="AD710" t="str">
            <v>ST ET.4-10546</v>
          </cell>
          <cell r="AE710" t="str">
            <v>Documentation relative à l’étude et à la réalisation de systèmes mécaniques, électrotechniques, pneumatiques et hydrauliques</v>
          </cell>
          <cell r="AF710" t="str">
            <v>3.1.1.3</v>
          </cell>
          <cell r="AI710" t="str">
            <v>quantité à confirmer</v>
          </cell>
          <cell r="AN710" t="str">
            <v>FP</v>
          </cell>
          <cell r="AP710" t="str">
            <v>FD</v>
          </cell>
          <cell r="CH710" t="e">
            <v>#N/A</v>
          </cell>
          <cell r="CI710" t="e">
            <v>#N/A</v>
          </cell>
          <cell r="CJ710" t="e">
            <v>#N/A</v>
          </cell>
        </row>
        <row r="711">
          <cell r="B711" t="str">
            <v>Ligne_198.3.3.12_PPD</v>
          </cell>
          <cell r="C711" t="str">
            <v>198.3.3.12</v>
          </cell>
          <cell r="E711" t="str">
            <v>Documentation des produits mécanique (DD?)</v>
          </cell>
          <cell r="G711" t="str">
            <v>Plans d'ensemble Système Intercirculation - LIVRABLE</v>
          </cell>
          <cell r="R711" t="str">
            <v>BT</v>
          </cell>
          <cell r="S711" t="str">
            <v>BT</v>
          </cell>
          <cell r="T711" t="str">
            <v>NA</v>
          </cell>
          <cell r="Z711" t="str">
            <v>RTS 193 JS2 EMC 07/09/2020</v>
          </cell>
          <cell r="AA711" t="str">
            <v>E</v>
          </cell>
          <cell r="AB711" t="str">
            <v>Mécanique</v>
          </cell>
          <cell r="AC711" t="str">
            <v>EMC</v>
          </cell>
          <cell r="AD711" t="str">
            <v>ST ET.4-10546</v>
          </cell>
          <cell r="AE711" t="str">
            <v>Documentation relative à l’étude et à la réalisation de systèmes mécaniques, électrotechniques, pneumatiques et hydrauliques</v>
          </cell>
          <cell r="AF711" t="str">
            <v>3.1.1.3</v>
          </cell>
          <cell r="AI711" t="str">
            <v>quantité à confirmer</v>
          </cell>
          <cell r="AN711" t="str">
            <v>FP</v>
          </cell>
          <cell r="AP711" t="str">
            <v>FD</v>
          </cell>
          <cell r="CH711" t="e">
            <v>#N/A</v>
          </cell>
          <cell r="CI711" t="e">
            <v>#N/A</v>
          </cell>
          <cell r="CJ711" t="e">
            <v>#N/A</v>
          </cell>
        </row>
        <row r="712">
          <cell r="B712" t="str">
            <v>Ligne_198.3.3.13_PPD</v>
          </cell>
          <cell r="C712" t="str">
            <v>198.3.3.13</v>
          </cell>
          <cell r="E712" t="str">
            <v>Documentation des produits mécanique (DD?)</v>
          </cell>
          <cell r="G712" t="str">
            <v>Plans d'ensemble Système Plafond et éclairage intérieur - LIVRABLE</v>
          </cell>
          <cell r="R712" t="str">
            <v>BT</v>
          </cell>
          <cell r="S712" t="str">
            <v>BT</v>
          </cell>
          <cell r="T712" t="str">
            <v>NA</v>
          </cell>
          <cell r="Z712" t="str">
            <v>RTS 193 JS2 EMC 07/09/2020</v>
          </cell>
          <cell r="AA712" t="str">
            <v>E</v>
          </cell>
          <cell r="AB712" t="str">
            <v>Mécanique</v>
          </cell>
          <cell r="AC712" t="str">
            <v>EMC</v>
          </cell>
          <cell r="AD712" t="str">
            <v>ST ET.4-10546</v>
          </cell>
          <cell r="AE712" t="str">
            <v>Documentation relative à l’étude et à la réalisation de systèmes mécaniques, électrotechniques, pneumatiques et hydrauliques</v>
          </cell>
          <cell r="AF712" t="str">
            <v>3.1.1.3</v>
          </cell>
          <cell r="AI712" t="str">
            <v>quantité à confirmer</v>
          </cell>
          <cell r="AO712" t="str">
            <v>FP</v>
          </cell>
          <cell r="AP712" t="str">
            <v>FD</v>
          </cell>
          <cell r="CH712" t="e">
            <v>#N/A</v>
          </cell>
          <cell r="CI712" t="e">
            <v>#N/A</v>
          </cell>
          <cell r="CJ712" t="e">
            <v>#N/A</v>
          </cell>
        </row>
        <row r="713">
          <cell r="B713" t="str">
            <v>Ligne_198.3.3.14_PPD</v>
          </cell>
          <cell r="C713" t="str">
            <v>198.3.3.14</v>
          </cell>
          <cell r="E713" t="str">
            <v>Documentation des produits mécanique (DD?)</v>
          </cell>
          <cell r="G713" t="str">
            <v>Plans d'ensemble Système Plancher et revêtement de sol - LIVRABLE</v>
          </cell>
          <cell r="R713" t="str">
            <v>BT</v>
          </cell>
          <cell r="S713" t="str">
            <v>BT</v>
          </cell>
          <cell r="T713" t="str">
            <v>NA</v>
          </cell>
          <cell r="Z713" t="str">
            <v>RTS 193 JS2 EMC 07/09/2020</v>
          </cell>
          <cell r="AA713" t="str">
            <v>E</v>
          </cell>
          <cell r="AB713" t="str">
            <v>Mécanique</v>
          </cell>
          <cell r="AC713" t="str">
            <v>EMC</v>
          </cell>
          <cell r="AD713" t="str">
            <v>ST ET.4-10546</v>
          </cell>
          <cell r="AE713" t="str">
            <v>Documentation relative à l’étude et à la réalisation de systèmes mécaniques, électrotechniques, pneumatiques et hydrauliques</v>
          </cell>
          <cell r="AF713" t="str">
            <v>3.1.1.3</v>
          </cell>
          <cell r="AI713" t="str">
            <v>quantité à confirmer</v>
          </cell>
          <cell r="AO713" t="str">
            <v>FP</v>
          </cell>
          <cell r="AP713" t="str">
            <v>FD</v>
          </cell>
          <cell r="CH713" t="e">
            <v>#N/A</v>
          </cell>
          <cell r="CI713" t="e">
            <v>#N/A</v>
          </cell>
          <cell r="CJ713" t="e">
            <v>#N/A</v>
          </cell>
        </row>
        <row r="714">
          <cell r="B714" t="str">
            <v>Ligne_198.3.3.15_PPD</v>
          </cell>
          <cell r="C714" t="str">
            <v>198.3.3.15</v>
          </cell>
          <cell r="E714" t="str">
            <v>Documentation des produits mécanique (DD?)</v>
          </cell>
          <cell r="G714" t="str">
            <v>Plans d'ensemble Système Siège passagers - LIVRABLE</v>
          </cell>
          <cell r="R714" t="str">
            <v>BT</v>
          </cell>
          <cell r="S714" t="str">
            <v>BT</v>
          </cell>
          <cell r="T714" t="str">
            <v>NA</v>
          </cell>
          <cell r="Z714" t="str">
            <v>RTS 193 JS2 EMC 07/09/2020</v>
          </cell>
          <cell r="AA714" t="str">
            <v>E</v>
          </cell>
          <cell r="AB714" t="str">
            <v>Mécanique</v>
          </cell>
          <cell r="AC714" t="str">
            <v>EMC</v>
          </cell>
          <cell r="AD714" t="str">
            <v>ST ET.4-10546</v>
          </cell>
          <cell r="AE714" t="str">
            <v>Documentation relative à l’étude et à la réalisation de systèmes mécaniques, électrotechniques, pneumatiques et hydrauliques</v>
          </cell>
          <cell r="AF714" t="str">
            <v>3.1.1.3</v>
          </cell>
          <cell r="AI714" t="str">
            <v>quantité à confirmer</v>
          </cell>
          <cell r="AO714" t="str">
            <v>FP</v>
          </cell>
          <cell r="AP714" t="str">
            <v>FD</v>
          </cell>
          <cell r="CH714" t="e">
            <v>#N/A</v>
          </cell>
          <cell r="CI714" t="e">
            <v>#N/A</v>
          </cell>
          <cell r="CJ714" t="e">
            <v>#N/A</v>
          </cell>
        </row>
        <row r="715">
          <cell r="B715" t="str">
            <v>Ligne_198.3.3.16_PPD</v>
          </cell>
          <cell r="C715" t="str">
            <v>198.3.3.16</v>
          </cell>
          <cell r="E715" t="str">
            <v>Documentation des produits mécanique (DD?)</v>
          </cell>
          <cell r="G715" t="str">
            <v>Plans d'ensemble Système Garnissage intérieur - LIVRABLE</v>
          </cell>
          <cell r="R715" t="str">
            <v>BT</v>
          </cell>
          <cell r="S715" t="str">
            <v>BT</v>
          </cell>
          <cell r="T715" t="str">
            <v>NA</v>
          </cell>
          <cell r="Z715" t="str">
            <v>RTS 193 JS2 EMC 07/09/2020</v>
          </cell>
          <cell r="AA715" t="str">
            <v>E</v>
          </cell>
          <cell r="AB715" t="str">
            <v>Mécanique</v>
          </cell>
          <cell r="AC715" t="str">
            <v>EMC</v>
          </cell>
          <cell r="AD715" t="str">
            <v>ST ET.4-10546</v>
          </cell>
          <cell r="AE715" t="str">
            <v>Documentation relative à l’étude et à la réalisation de systèmes mécaniques, électrotechniques, pneumatiques et hydrauliques</v>
          </cell>
          <cell r="AF715" t="str">
            <v>3.1.1.3</v>
          </cell>
          <cell r="AI715" t="str">
            <v>quantité à confirmer</v>
          </cell>
          <cell r="AO715" t="str">
            <v>FP</v>
          </cell>
          <cell r="AP715" t="str">
            <v>FD</v>
          </cell>
          <cell r="CH715" t="e">
            <v>#N/A</v>
          </cell>
          <cell r="CI715" t="e">
            <v>#N/A</v>
          </cell>
          <cell r="CJ715" t="e">
            <v>#N/A</v>
          </cell>
        </row>
        <row r="716">
          <cell r="B716" t="str">
            <v>Ligne_198.3.3.17_PPD</v>
          </cell>
          <cell r="C716" t="str">
            <v>198.3.3.17</v>
          </cell>
          <cell r="E716" t="str">
            <v>Documentation des produits mécanique (DD?)</v>
          </cell>
          <cell r="G716" t="str">
            <v>Plans d'ensemble Système Absorbeur frontal - LIVRABLE</v>
          </cell>
          <cell r="R716" t="str">
            <v>BT</v>
          </cell>
          <cell r="S716" t="str">
            <v>BT</v>
          </cell>
          <cell r="T716" t="str">
            <v>NA</v>
          </cell>
          <cell r="Z716" t="str">
            <v>RTS 193 JS2 EMC 07/09/2020</v>
          </cell>
          <cell r="AA716" t="str">
            <v>E</v>
          </cell>
          <cell r="AB716" t="str">
            <v>Mécanique</v>
          </cell>
          <cell r="AC716" t="str">
            <v>EMC</v>
          </cell>
          <cell r="AD716" t="str">
            <v>ST ET.4-10546</v>
          </cell>
          <cell r="AE716" t="str">
            <v>Documentation relative à l’étude et à la réalisation de systèmes mécaniques, électrotechniques, pneumatiques et hydrauliques</v>
          </cell>
          <cell r="AF716" t="str">
            <v>3.1.1.3</v>
          </cell>
          <cell r="AI716" t="str">
            <v>quantité à confirmer</v>
          </cell>
          <cell r="AO716" t="str">
            <v>FP</v>
          </cell>
          <cell r="AP716" t="str">
            <v>FD</v>
          </cell>
          <cell r="CH716" t="e">
            <v>#N/A</v>
          </cell>
          <cell r="CI716" t="e">
            <v>#N/A</v>
          </cell>
          <cell r="CJ716" t="e">
            <v>#N/A</v>
          </cell>
        </row>
        <row r="717">
          <cell r="B717" t="str">
            <v>Ligne_198.3.3.18_PPD</v>
          </cell>
          <cell r="C717" t="str">
            <v>198.3.3.18</v>
          </cell>
          <cell r="E717" t="str">
            <v>Documentation des produits mécanique (DD?)</v>
          </cell>
          <cell r="G717" t="str">
            <v>Plans d'ensemble Système Essui Vitre Lave Vitre - LIVRABLE</v>
          </cell>
          <cell r="R717" t="str">
            <v>BT</v>
          </cell>
          <cell r="S717" t="str">
            <v>BT</v>
          </cell>
          <cell r="T717" t="str">
            <v>NA</v>
          </cell>
          <cell r="Z717" t="str">
            <v>RTS 193 JS2 EMC 07/09/2020</v>
          </cell>
          <cell r="AA717" t="str">
            <v>E</v>
          </cell>
          <cell r="AB717" t="str">
            <v>Mécanique</v>
          </cell>
          <cell r="AC717" t="str">
            <v>EMC</v>
          </cell>
          <cell r="AD717" t="str">
            <v>ST ET.4-10546</v>
          </cell>
          <cell r="AE717" t="str">
            <v>Documentation relative à l’étude et à la réalisation de systèmes mécaniques, électrotechniques, pneumatiques et hydrauliques</v>
          </cell>
          <cell r="AF717" t="str">
            <v>3.1.1.3</v>
          </cell>
          <cell r="AI717" t="str">
            <v>quantité à confirmer</v>
          </cell>
          <cell r="AO717" t="str">
            <v>FP</v>
          </cell>
          <cell r="AP717" t="str">
            <v>FD</v>
          </cell>
          <cell r="CH717" t="e">
            <v>#N/A</v>
          </cell>
          <cell r="CI717" t="e">
            <v>#N/A</v>
          </cell>
          <cell r="CJ717" t="e">
            <v>#N/A</v>
          </cell>
        </row>
        <row r="718">
          <cell r="B718" t="str">
            <v>Ligne_198.3.3.19_PPD</v>
          </cell>
          <cell r="C718" t="str">
            <v>198.3.3.19</v>
          </cell>
          <cell r="E718" t="str">
            <v>Documentation des produits mécanique (DD?)</v>
          </cell>
          <cell r="G718" t="str">
            <v>Plans d'ensemble Système Repose Pied - LIVRABLE</v>
          </cell>
          <cell r="R718" t="str">
            <v>BT</v>
          </cell>
          <cell r="S718" t="str">
            <v>BT</v>
          </cell>
          <cell r="T718" t="str">
            <v>NA</v>
          </cell>
          <cell r="Z718" t="str">
            <v>RTS 193 JS2 EMC 07/09/2020</v>
          </cell>
          <cell r="AA718" t="str">
            <v>E</v>
          </cell>
          <cell r="AB718" t="str">
            <v>Mécanique</v>
          </cell>
          <cell r="AC718" t="str">
            <v>EMC</v>
          </cell>
          <cell r="AD718" t="str">
            <v>ST ET.4-10546</v>
          </cell>
          <cell r="AE718" t="str">
            <v>Documentation relative à l’étude et à la réalisation de systèmes mécaniques, électrotechniques, pneumatiques et hydrauliques</v>
          </cell>
          <cell r="AF718" t="str">
            <v>3.1.1.3</v>
          </cell>
          <cell r="AI718" t="str">
            <v>quantité à confirmer</v>
          </cell>
          <cell r="AO718" t="str">
            <v>FP</v>
          </cell>
          <cell r="AP718" t="str">
            <v>FD</v>
          </cell>
          <cell r="CH718" t="e">
            <v>#N/A</v>
          </cell>
          <cell r="CI718" t="e">
            <v>#N/A</v>
          </cell>
          <cell r="CJ718" t="e">
            <v>#N/A</v>
          </cell>
        </row>
        <row r="719">
          <cell r="B719" t="str">
            <v>Ligne_198.3.3.20_PPD</v>
          </cell>
          <cell r="C719" t="str">
            <v>198.3.3.20</v>
          </cell>
          <cell r="E719" t="str">
            <v>Documentation des produits mécanique (DD?)</v>
          </cell>
          <cell r="G719" t="str">
            <v>Plans d'ensemble Système Conduite d'air cabine - LIVRABLE</v>
          </cell>
          <cell r="R719" t="str">
            <v>BT</v>
          </cell>
          <cell r="S719" t="str">
            <v>BT</v>
          </cell>
          <cell r="T719" t="str">
            <v>NA</v>
          </cell>
          <cell r="Z719" t="str">
            <v>RTS 193 JS2 EMC 07/09/2020</v>
          </cell>
          <cell r="AA719" t="str">
            <v>E</v>
          </cell>
          <cell r="AB719" t="str">
            <v>Mécanique</v>
          </cell>
          <cell r="AC719" t="str">
            <v>EMC</v>
          </cell>
          <cell r="AD719" t="str">
            <v>ST ET.4-10546</v>
          </cell>
          <cell r="AE719" t="str">
            <v>Documentation relative à l’étude et à la réalisation de systèmes mécaniques, électrotechniques, pneumatiques et hydrauliques</v>
          </cell>
          <cell r="AF719" t="str">
            <v>3.1.1.3</v>
          </cell>
          <cell r="AI719" t="str">
            <v>quantité à confirmer</v>
          </cell>
          <cell r="AO719" t="str">
            <v>FP</v>
          </cell>
          <cell r="AP719" t="str">
            <v>FD</v>
          </cell>
          <cell r="CH719" t="e">
            <v>#N/A</v>
          </cell>
          <cell r="CI719" t="e">
            <v>#N/A</v>
          </cell>
          <cell r="CJ719" t="e">
            <v>#N/A</v>
          </cell>
        </row>
        <row r="720">
          <cell r="B720" t="str">
            <v>Ligne_198.3.3.21_PPD</v>
          </cell>
          <cell r="C720" t="str">
            <v>198.3.3.21</v>
          </cell>
          <cell r="E720" t="str">
            <v>Documentation des produits mécanique (DD?)</v>
          </cell>
          <cell r="G720" t="str">
            <v>Plans d'ensemble Système Barre semi-permanente - LIVRABLE</v>
          </cell>
          <cell r="R720" t="str">
            <v>BT</v>
          </cell>
          <cell r="S720" t="str">
            <v>BT</v>
          </cell>
          <cell r="T720" t="str">
            <v>NA</v>
          </cell>
          <cell r="Z720" t="str">
            <v>RTS 193 JS2 EMC 07/09/2020</v>
          </cell>
          <cell r="AA720" t="str">
            <v>E</v>
          </cell>
          <cell r="AB720" t="str">
            <v>Mécanique</v>
          </cell>
          <cell r="AC720" t="str">
            <v>EMC</v>
          </cell>
          <cell r="AD720" t="str">
            <v>ST ET.4-10546</v>
          </cell>
          <cell r="AE720" t="str">
            <v>Documentation relative à l’étude et à la réalisation de systèmes mécaniques, électrotechniques, pneumatiques et hydrauliques</v>
          </cell>
          <cell r="AF720" t="str">
            <v>3.1.1.3</v>
          </cell>
          <cell r="AI720" t="str">
            <v>quantité à confirmer</v>
          </cell>
          <cell r="AO720" t="str">
            <v>FP</v>
          </cell>
          <cell r="AP720" t="str">
            <v>FD</v>
          </cell>
          <cell r="CH720" t="e">
            <v>#N/A</v>
          </cell>
          <cell r="CI720" t="e">
            <v>#N/A</v>
          </cell>
          <cell r="CJ720" t="e">
            <v>#N/A</v>
          </cell>
        </row>
        <row r="721">
          <cell r="B721" t="str">
            <v>Ligne_198.4_PPD</v>
          </cell>
          <cell r="C721" t="str">
            <v>198.4</v>
          </cell>
          <cell r="E721" t="str">
            <v>Documentation des produits mécanique (DD?)</v>
          </cell>
          <cell r="G721" t="str">
            <v>Plans de détail - Pièces catégorie A (*)</v>
          </cell>
          <cell r="R721" t="str">
            <v>BT</v>
          </cell>
          <cell r="S721" t="str">
            <v>BT</v>
          </cell>
          <cell r="T721" t="str">
            <v>NA</v>
          </cell>
          <cell r="AA721" t="str">
            <v>E</v>
          </cell>
          <cell r="AB721" t="str">
            <v>Mécanique</v>
          </cell>
          <cell r="AC721" t="str">
            <v>EMR/EMC</v>
          </cell>
          <cell r="AD721" t="str">
            <v>ST ET.4-10546</v>
          </cell>
          <cell r="AE721" t="str">
            <v>Documentation relative à l’étude et à la réalisation de systèmes mécaniques, électrotechniques, pneumatiques et hydrauliques</v>
          </cell>
          <cell r="AF721" t="str">
            <v>3.1.1.4</v>
          </cell>
          <cell r="AG721" t="str">
            <v>Elément essentiel et structurant du train / Elément sécuritaire / Elément électronique et informatique</v>
          </cell>
          <cell r="AH721" t="str">
            <v>50% des plans de détail</v>
          </cell>
          <cell r="AI721">
            <v>2400</v>
          </cell>
          <cell r="AP721" t="str">
            <v>FD</v>
          </cell>
          <cell r="CH721" t="e">
            <v>#N/A</v>
          </cell>
          <cell r="CI721" t="e">
            <v>#N/A</v>
          </cell>
          <cell r="CJ721" t="e">
            <v>#N/A</v>
          </cell>
        </row>
        <row r="722">
          <cell r="B722" t="str">
            <v>Ligne_198.5_PPD</v>
          </cell>
          <cell r="C722" t="str">
            <v>198.5</v>
          </cell>
          <cell r="E722" t="str">
            <v>Documentation des produits mécanique (DD?)</v>
          </cell>
          <cell r="G722" t="str">
            <v>Plans de détail - Pièces catégorie B (**)</v>
          </cell>
          <cell r="R722" t="str">
            <v>BT</v>
          </cell>
          <cell r="S722" t="str">
            <v>BT</v>
          </cell>
          <cell r="T722" t="str">
            <v>NA</v>
          </cell>
          <cell r="AA722" t="str">
            <v>E</v>
          </cell>
          <cell r="AB722" t="str">
            <v>Mécanique</v>
          </cell>
          <cell r="AC722" t="str">
            <v>EMR/EMC</v>
          </cell>
          <cell r="AD722" t="str">
            <v>ST ET.4-10546</v>
          </cell>
          <cell r="AE722" t="str">
            <v>Documentation relative à l’étude et à la réalisation de systèmes mécaniques, électrotechniques, pneumatiques et hydrauliques</v>
          </cell>
          <cell r="AF722" t="str">
            <v>3.1.1.4</v>
          </cell>
          <cell r="AG722" t="str">
            <v>Pièces non-critiques</v>
          </cell>
          <cell r="AH722" t="str">
            <v>50% des plans de détail</v>
          </cell>
          <cell r="AI722">
            <v>2400</v>
          </cell>
          <cell r="AP722" t="str">
            <v>FP</v>
          </cell>
          <cell r="AY722" t="str">
            <v>FD</v>
          </cell>
          <cell r="CH722" t="e">
            <v>#N/A</v>
          </cell>
          <cell r="CI722" t="e">
            <v>#N/A</v>
          </cell>
          <cell r="CJ722" t="e">
            <v>#N/A</v>
          </cell>
        </row>
        <row r="723">
          <cell r="B723" t="str">
            <v>Ligne_198.6_PPD</v>
          </cell>
          <cell r="C723" t="str">
            <v>198.6</v>
          </cell>
          <cell r="E723" t="str">
            <v>Documentation des produits mécanique (DD?)</v>
          </cell>
          <cell r="G723" t="str">
            <v>Plans de détail - Pièces catégorie A (*)</v>
          </cell>
          <cell r="R723" t="str">
            <v>BT</v>
          </cell>
          <cell r="S723" t="str">
            <v>BT</v>
          </cell>
          <cell r="T723" t="str">
            <v>NA</v>
          </cell>
          <cell r="AA723" t="str">
            <v>E</v>
          </cell>
          <cell r="AB723" t="str">
            <v>Mécanique</v>
          </cell>
          <cell r="AC723" t="str">
            <v>EMR/EMC</v>
          </cell>
          <cell r="AD723" t="str">
            <v>ST ET.4-10546</v>
          </cell>
          <cell r="AE723" t="str">
            <v>Documentation relative à l’étude et à la réalisation de systèmes mécaniques, électrotechniques, pneumatiques et hydrauliques</v>
          </cell>
          <cell r="AF723" t="str">
            <v>3.1.1.5</v>
          </cell>
          <cell r="AG723" t="str">
            <v>Elément essentiel et structurant du train / Elément sécuritaire / Elément électronique et informatique</v>
          </cell>
          <cell r="AH723" t="str">
            <v>50% des plans de détail</v>
          </cell>
          <cell r="AI723">
            <v>150</v>
          </cell>
          <cell r="AP723" t="str">
            <v>FD</v>
          </cell>
          <cell r="CH723" t="e">
            <v>#N/A</v>
          </cell>
          <cell r="CI723" t="e">
            <v>#N/A</v>
          </cell>
          <cell r="CJ723" t="e">
            <v>#N/A</v>
          </cell>
        </row>
        <row r="724">
          <cell r="B724" t="str">
            <v>Ligne_198.7_PPD</v>
          </cell>
          <cell r="C724" t="str">
            <v>198.7</v>
          </cell>
          <cell r="E724" t="str">
            <v>Documentation des produits mécanique (DD?)</v>
          </cell>
          <cell r="G724" t="str">
            <v>Plans de détail - Pièces catégorie B (**)</v>
          </cell>
          <cell r="R724" t="str">
            <v>BT</v>
          </cell>
          <cell r="S724" t="str">
            <v>BT</v>
          </cell>
          <cell r="T724" t="str">
            <v>NA</v>
          </cell>
          <cell r="AA724" t="str">
            <v>E</v>
          </cell>
          <cell r="AB724" t="str">
            <v>Mécanique</v>
          </cell>
          <cell r="AC724" t="str">
            <v>EMR/EMC</v>
          </cell>
          <cell r="AD724" t="str">
            <v>ST ET.4-10546</v>
          </cell>
          <cell r="AE724" t="str">
            <v>Documentation relative à l’étude et à la réalisation de systèmes mécaniques, électrotechniques, pneumatiques et hydrauliques</v>
          </cell>
          <cell r="AF724" t="str">
            <v>3.1.1.5</v>
          </cell>
          <cell r="AG724" t="str">
            <v>Pièces non-critiques</v>
          </cell>
          <cell r="AH724" t="str">
            <v>50% des plans de détail</v>
          </cell>
          <cell r="AI724">
            <v>150</v>
          </cell>
          <cell r="AP724" t="str">
            <v>FP</v>
          </cell>
          <cell r="AY724" t="str">
            <v>FD</v>
          </cell>
          <cell r="CH724" t="e">
            <v>#N/A</v>
          </cell>
          <cell r="CI724" t="e">
            <v>#N/A</v>
          </cell>
          <cell r="CJ724" t="e">
            <v>#N/A</v>
          </cell>
        </row>
        <row r="725">
          <cell r="B725" t="str">
            <v>Ligne_198.8_PPD</v>
          </cell>
          <cell r="C725" t="str">
            <v>198.8</v>
          </cell>
          <cell r="E725" t="str">
            <v>Documentation des produits mécanique (DD?)</v>
          </cell>
          <cell r="G725" t="str">
            <v>DESCRIPTIF DU COMPLEXE PLANCHER inclus dans 40.3</v>
          </cell>
          <cell r="R725" t="str">
            <v>NA</v>
          </cell>
          <cell r="S725" t="str">
            <v>BT</v>
          </cell>
          <cell r="T725" t="str">
            <v>NA</v>
          </cell>
          <cell r="Z725" t="str">
            <v>RTS 193 JS2 EMC 07/09/2020</v>
          </cell>
          <cell r="AA725" t="str">
            <v>E</v>
          </cell>
          <cell r="AB725" t="str">
            <v>Mécanique</v>
          </cell>
          <cell r="AC725" t="str">
            <v>EMC</v>
          </cell>
          <cell r="AD725" t="str">
            <v>ST ET.4-10546</v>
          </cell>
          <cell r="AE725" t="str">
            <v>Documentation relative à l’étude et à la réalisation de systèmes mécaniques, électrotechniques, pneumatiques et hydrauliques</v>
          </cell>
          <cell r="AF725" t="str">
            <v>3.1.1.5</v>
          </cell>
          <cell r="AI725" t="str">
            <v>RENVOI</v>
          </cell>
          <cell r="AM725" t="str">
            <v>FP</v>
          </cell>
          <cell r="AP725" t="str">
            <v>FD</v>
          </cell>
          <cell r="CH725" t="e">
            <v>#N/A</v>
          </cell>
          <cell r="CI725" t="e">
            <v>#N/A</v>
          </cell>
          <cell r="CJ725" t="e">
            <v>#N/A</v>
          </cell>
        </row>
        <row r="726">
          <cell r="A726">
            <v>100448837</v>
          </cell>
          <cell r="B726" t="str">
            <v>Ligne_198.9_PPD</v>
          </cell>
          <cell r="C726" t="str">
            <v>198.9</v>
          </cell>
          <cell r="E726" t="str">
            <v>Documentation des produits mécanique (DD?)</v>
          </cell>
          <cell r="G726" t="str">
            <v>Note de calcul des filtres à air traité cabine</v>
          </cell>
          <cell r="R726" t="str">
            <v>BT</v>
          </cell>
          <cell r="S726" t="str">
            <v>BT</v>
          </cell>
          <cell r="T726" t="str">
            <v>NA</v>
          </cell>
          <cell r="U726" t="str">
            <v>François Raymond</v>
          </cell>
          <cell r="Z726" t="str">
            <v>RTS 193 JS2 EMC 07/09/2020</v>
          </cell>
          <cell r="AA726" t="str">
            <v>E</v>
          </cell>
          <cell r="AB726" t="str">
            <v>Mécanique</v>
          </cell>
          <cell r="AC726" t="str">
            <v>EMC</v>
          </cell>
          <cell r="AD726" t="str">
            <v>ST ET.4-10546</v>
          </cell>
          <cell r="AE726" t="str">
            <v>Documentation relative à l’étude et à la réalisation de systèmes mécaniques, électrotechniques, pneumatiques et hydrauliques</v>
          </cell>
          <cell r="AF726" t="str">
            <v>3.1.1.5</v>
          </cell>
          <cell r="AI726">
            <v>1</v>
          </cell>
          <cell r="AM726" t="str">
            <v>FP</v>
          </cell>
          <cell r="AN726" t="str">
            <v>FD</v>
          </cell>
          <cell r="BK726">
            <v>44162</v>
          </cell>
          <cell r="CH726" t="e">
            <v>#N/A</v>
          </cell>
          <cell r="CI726" t="e">
            <v>#N/A</v>
          </cell>
          <cell r="CJ726" t="e">
            <v>#N/A</v>
          </cell>
        </row>
        <row r="727">
          <cell r="A727">
            <v>100448829</v>
          </cell>
          <cell r="B727" t="str">
            <v>Ligne_198.10_PPD</v>
          </cell>
          <cell r="C727" t="str">
            <v>198.10</v>
          </cell>
          <cell r="E727" t="str">
            <v>Documentation des produits mécanique (DD?)</v>
          </cell>
          <cell r="G727" t="str">
            <v>Note de calcul des filtres à air traité voyageur</v>
          </cell>
          <cell r="R727" t="str">
            <v>BT</v>
          </cell>
          <cell r="S727" t="str">
            <v>BT</v>
          </cell>
          <cell r="T727" t="str">
            <v>NA</v>
          </cell>
          <cell r="U727" t="str">
            <v>Boualem Aouchiche</v>
          </cell>
          <cell r="Z727" t="str">
            <v>RTS 193 JS2 EMC 07/09/2020</v>
          </cell>
          <cell r="AA727" t="str">
            <v>E</v>
          </cell>
          <cell r="AB727" t="str">
            <v>Mécanique</v>
          </cell>
          <cell r="AC727" t="str">
            <v>EMC</v>
          </cell>
          <cell r="AD727" t="str">
            <v>ST ET.4-10546</v>
          </cell>
          <cell r="AE727" t="str">
            <v>Documentation relative à l’étude et à la réalisation de systèmes mécaniques, électrotechniques, pneumatiques et hydrauliques</v>
          </cell>
          <cell r="AF727" t="str">
            <v>3.1.1.5</v>
          </cell>
          <cell r="AI727">
            <v>1</v>
          </cell>
          <cell r="AM727" t="str">
            <v>FP</v>
          </cell>
          <cell r="AN727" t="str">
            <v>FD</v>
          </cell>
          <cell r="BK727">
            <v>44162</v>
          </cell>
          <cell r="CH727" t="e">
            <v>#N/A</v>
          </cell>
          <cell r="CI727" t="e">
            <v>#N/A</v>
          </cell>
          <cell r="CJ727" t="e">
            <v>#N/A</v>
          </cell>
        </row>
        <row r="728">
          <cell r="A728">
            <v>100448835</v>
          </cell>
          <cell r="B728" t="str">
            <v>Ligne_198.11_PPD</v>
          </cell>
          <cell r="C728" t="str">
            <v>198.11</v>
          </cell>
          <cell r="E728" t="str">
            <v>Documentation des produits mécanique (DD?)</v>
          </cell>
          <cell r="G728" t="str">
            <v>Note de calcul « qualité de l’air » incluant les études CO2, climatisation cabine</v>
          </cell>
          <cell r="R728" t="str">
            <v>BT</v>
          </cell>
          <cell r="S728" t="str">
            <v>BT</v>
          </cell>
          <cell r="T728" t="str">
            <v>NA</v>
          </cell>
          <cell r="U728" t="str">
            <v>François Raymond</v>
          </cell>
          <cell r="Z728" t="str">
            <v>RTS 193 JS2 EMC 07/09/2020</v>
          </cell>
          <cell r="AA728" t="str">
            <v>E</v>
          </cell>
          <cell r="AB728" t="str">
            <v>Mécanique</v>
          </cell>
          <cell r="AC728" t="str">
            <v>EMC</v>
          </cell>
          <cell r="AD728" t="str">
            <v>ST ET.4-10546</v>
          </cell>
          <cell r="AE728" t="str">
            <v>Documentation relative à l’étude et à la réalisation de systèmes mécaniques, électrotechniques, pneumatiques et hydrauliques</v>
          </cell>
          <cell r="AF728" t="str">
            <v>3.1.1.5</v>
          </cell>
          <cell r="AI728">
            <v>1</v>
          </cell>
          <cell r="AM728" t="str">
            <v>FD</v>
          </cell>
          <cell r="BK728">
            <v>44162</v>
          </cell>
          <cell r="CH728" t="e">
            <v>#N/A</v>
          </cell>
          <cell r="CI728" t="e">
            <v>#N/A</v>
          </cell>
          <cell r="CJ728" t="e">
            <v>#N/A</v>
          </cell>
        </row>
        <row r="729">
          <cell r="A729">
            <v>100448827</v>
          </cell>
          <cell r="B729" t="str">
            <v>Ligne_198.12_PPD</v>
          </cell>
          <cell r="C729" t="str">
            <v>198.12</v>
          </cell>
          <cell r="E729" t="str">
            <v>Documentation des produits mécanique (DD?)</v>
          </cell>
          <cell r="G729" t="str">
            <v>Note de calcul « qualité de l’air » incluant les études CO2, climatisation voyageur</v>
          </cell>
          <cell r="R729" t="str">
            <v>BT</v>
          </cell>
          <cell r="S729" t="str">
            <v>BT</v>
          </cell>
          <cell r="T729" t="str">
            <v>NA</v>
          </cell>
          <cell r="U729" t="str">
            <v>Boualem Aouchiche</v>
          </cell>
          <cell r="Z729" t="str">
            <v>RTS 193 JS2 EMC 07/09/2020</v>
          </cell>
          <cell r="AA729" t="str">
            <v>E</v>
          </cell>
          <cell r="AB729" t="str">
            <v>Mécanique</v>
          </cell>
          <cell r="AC729" t="str">
            <v>EMC</v>
          </cell>
          <cell r="AD729" t="str">
            <v>ST ET.4-10546</v>
          </cell>
          <cell r="AE729" t="str">
            <v>Documentation relative à l’étude et à la réalisation de systèmes mécaniques, électrotechniques, pneumatiques et hydrauliques</v>
          </cell>
          <cell r="AF729" t="str">
            <v>3.1.1.5</v>
          </cell>
          <cell r="AI729">
            <v>1</v>
          </cell>
          <cell r="AM729" t="str">
            <v>FD</v>
          </cell>
          <cell r="BK729">
            <v>44162</v>
          </cell>
          <cell r="CH729" t="e">
            <v>#N/A</v>
          </cell>
          <cell r="CI729" t="e">
            <v>#N/A</v>
          </cell>
          <cell r="CJ729" t="e">
            <v>#N/A</v>
          </cell>
        </row>
        <row r="730">
          <cell r="A730">
            <v>100448836</v>
          </cell>
          <cell r="B730" t="str">
            <v>Ligne_198.13_PPD</v>
          </cell>
          <cell r="C730" t="str">
            <v>198.13</v>
          </cell>
          <cell r="E730" t="str">
            <v>Documentation des produits mécanique (DD?)</v>
          </cell>
          <cell r="G730" t="str">
            <v>Note de calcul de dimensionnement du groupe HVAC cabine</v>
          </cell>
          <cell r="R730" t="str">
            <v>BT</v>
          </cell>
          <cell r="S730" t="str">
            <v>BT</v>
          </cell>
          <cell r="T730" t="str">
            <v>NA</v>
          </cell>
          <cell r="U730" t="str">
            <v>François Raymond</v>
          </cell>
          <cell r="Z730" t="str">
            <v>RTS 193 JS2 EMC 07/09/2020</v>
          </cell>
          <cell r="AA730" t="str">
            <v>E</v>
          </cell>
          <cell r="AB730" t="str">
            <v>Mécanique</v>
          </cell>
          <cell r="AC730" t="str">
            <v>EMC</v>
          </cell>
          <cell r="AD730" t="str">
            <v>ST ET.4-10546</v>
          </cell>
          <cell r="AE730" t="str">
            <v>Documentation relative à l’étude et à la réalisation de systèmes mécaniques, électrotechniques, pneumatiques et hydrauliques</v>
          </cell>
          <cell r="AF730" t="str">
            <v>3.1.1.5</v>
          </cell>
          <cell r="AI730">
            <v>1</v>
          </cell>
          <cell r="AM730" t="str">
            <v>FP</v>
          </cell>
          <cell r="AN730" t="str">
            <v>FD</v>
          </cell>
          <cell r="BK730">
            <v>44183</v>
          </cell>
          <cell r="CH730" t="e">
            <v>#N/A</v>
          </cell>
          <cell r="CI730" t="e">
            <v>#N/A</v>
          </cell>
          <cell r="CJ730" t="e">
            <v>#N/A</v>
          </cell>
        </row>
        <row r="731">
          <cell r="A731">
            <v>100448828</v>
          </cell>
          <cell r="B731" t="str">
            <v>Ligne_198.14_PPD</v>
          </cell>
          <cell r="C731" t="str">
            <v>198.14</v>
          </cell>
          <cell r="E731" t="str">
            <v>Documentation des produits mécanique (DD?)</v>
          </cell>
          <cell r="G731" t="str">
            <v>Note de calcul de dimensionnement du groupe HVAC voyageur</v>
          </cell>
          <cell r="R731" t="str">
            <v>BT</v>
          </cell>
          <cell r="S731" t="str">
            <v>BT</v>
          </cell>
          <cell r="T731" t="str">
            <v>NA</v>
          </cell>
          <cell r="U731" t="str">
            <v>Boualem Aouchiche</v>
          </cell>
          <cell r="Z731" t="str">
            <v>RTS 193 JS2 EMC 07/09/2020</v>
          </cell>
          <cell r="AA731" t="str">
            <v>E</v>
          </cell>
          <cell r="AB731" t="str">
            <v>Mécanique</v>
          </cell>
          <cell r="AC731" t="str">
            <v>EMC</v>
          </cell>
          <cell r="AD731" t="str">
            <v>ST ET.4-10546</v>
          </cell>
          <cell r="AE731" t="str">
            <v>Documentation relative à l’étude et à la réalisation de systèmes mécaniques, électrotechniques, pneumatiques et hydrauliques</v>
          </cell>
          <cell r="AF731" t="str">
            <v>3.1.1.5</v>
          </cell>
          <cell r="AI731">
            <v>1</v>
          </cell>
          <cell r="AM731" t="str">
            <v>FP</v>
          </cell>
          <cell r="AN731" t="str">
            <v>FD</v>
          </cell>
          <cell r="BK731">
            <v>44183</v>
          </cell>
          <cell r="CH731" t="e">
            <v>#N/A</v>
          </cell>
          <cell r="CI731" t="e">
            <v>#N/A</v>
          </cell>
          <cell r="CJ731" t="e">
            <v>#N/A</v>
          </cell>
        </row>
        <row r="732">
          <cell r="B732" t="str">
            <v>Ligne_199_PPD</v>
          </cell>
          <cell r="C732">
            <v>199</v>
          </cell>
          <cell r="E732" t="str">
            <v>Documentation pour produits électrotechniques (DD?)</v>
          </cell>
          <cell r="G732" t="str">
            <v>LIVRABLE</v>
          </cell>
          <cell r="R732" t="str">
            <v>NA</v>
          </cell>
          <cell r="S732" t="str">
            <v>AT</v>
          </cell>
          <cell r="T732" t="str">
            <v>NA</v>
          </cell>
          <cell r="U732" t="str">
            <v>NA</v>
          </cell>
          <cell r="AA732" t="str">
            <v>E</v>
          </cell>
          <cell r="AB732" t="str">
            <v>Mécanique</v>
          </cell>
          <cell r="AC732" t="str">
            <v>SME / EMR / EZ</v>
          </cell>
          <cell r="AD732" t="str">
            <v>ST ET.4-10546</v>
          </cell>
          <cell r="AE732" t="str">
            <v>Documentation relative à l’étude et à la réalisation de systèmes mécaniques, électrotechniques, pneumatiques et hydrauliques</v>
          </cell>
          <cell r="AF732" t="str">
            <v>3.1.2</v>
          </cell>
          <cell r="AI732" t="str">
            <v>LIVRABLE</v>
          </cell>
          <cell r="AP732" t="str">
            <v>FD</v>
          </cell>
          <cell r="CH732" t="e">
            <v>#N/A</v>
          </cell>
          <cell r="CI732" t="e">
            <v>#N/A</v>
          </cell>
          <cell r="CJ732" t="e">
            <v>#N/A</v>
          </cell>
        </row>
        <row r="733">
          <cell r="B733" t="str">
            <v>Ligne_199.1_PPD</v>
          </cell>
          <cell r="C733" t="str">
            <v>199.1</v>
          </cell>
          <cell r="E733" t="str">
            <v>Documentation pour produits électrotechniques (DD?)</v>
          </cell>
          <cell r="G733" t="str">
            <v>Schéma de principe électrique</v>
          </cell>
          <cell r="R733" t="str">
            <v>NA</v>
          </cell>
          <cell r="S733" t="str">
            <v>AT</v>
          </cell>
          <cell r="T733" t="str">
            <v>NA</v>
          </cell>
          <cell r="U733" t="str">
            <v>W.BOSQUILLON</v>
          </cell>
          <cell r="AA733" t="str">
            <v>E</v>
          </cell>
          <cell r="AB733" t="str">
            <v>Mécanique</v>
          </cell>
          <cell r="AC733" t="str">
            <v>SME/EMR/EZ/ETS</v>
          </cell>
          <cell r="AD733" t="str">
            <v>ST ET.4-10546</v>
          </cell>
          <cell r="AE733" t="str">
            <v>Documentation relative à l’étude et à la réalisation de systèmes mécaniques, électrotechniques, pneumatiques et hydrauliques</v>
          </cell>
          <cell r="AF733" t="str">
            <v>3.1.2.1</v>
          </cell>
          <cell r="AI733" t="str">
            <v>LIVRABLE</v>
          </cell>
          <cell r="AP733" t="str">
            <v>FD</v>
          </cell>
          <cell r="CH733" t="e">
            <v>#N/A</v>
          </cell>
          <cell r="CI733" t="e">
            <v>#N/A</v>
          </cell>
          <cell r="CJ733" t="e">
            <v>#N/A</v>
          </cell>
        </row>
        <row r="734">
          <cell r="A734" t="str">
            <v>ADD0003308523</v>
          </cell>
          <cell r="B734" t="str">
            <v>Ligne_199.1.1_PPD</v>
          </cell>
          <cell r="C734" t="str">
            <v>199.1.1</v>
          </cell>
          <cell r="E734" t="str">
            <v>Documentation pour produits électrotechniques (DD?)</v>
          </cell>
          <cell r="F734">
            <v>0</v>
          </cell>
          <cell r="G734" t="str">
            <v>SPP SCHEMA DE PRINCIPE TRAIN</v>
          </cell>
          <cell r="I734" t="str">
            <v>D300</v>
          </cell>
          <cell r="J734" t="str">
            <v>UA</v>
          </cell>
          <cell r="K734" t="str">
            <v>D00053</v>
          </cell>
          <cell r="M734" t="str">
            <v>700_ELECTRICITE_INFORMATIQUE</v>
          </cell>
          <cell r="N734" t="str">
            <v>DD</v>
          </cell>
          <cell r="O734" t="str">
            <v>SCH-SCHÉMAS</v>
          </cell>
          <cell r="Q734">
            <v>0</v>
          </cell>
          <cell r="R734" t="str">
            <v>VPF</v>
          </cell>
          <cell r="S734" t="str">
            <v>AT</v>
          </cell>
          <cell r="T734" t="str">
            <v>EX</v>
          </cell>
          <cell r="U734" t="str">
            <v>W.BOSQUILLON</v>
          </cell>
          <cell r="V734" t="str">
            <v>ALSTOM</v>
          </cell>
          <cell r="W734" t="str">
            <v>N</v>
          </cell>
          <cell r="X734" t="str">
            <v>Document contractuel FD</v>
          </cell>
          <cell r="AA734" t="str">
            <v>E</v>
          </cell>
          <cell r="AB734" t="str">
            <v>Mécanique</v>
          </cell>
          <cell r="AC734" t="str">
            <v>SME/EMR/EZ/ETS</v>
          </cell>
          <cell r="AD734" t="str">
            <v>ST ET.4-10546</v>
          </cell>
          <cell r="AE734" t="str">
            <v>Documentation relative à l’étude et à la réalisation de systèmes mécaniques, électrotechniques, pneumatiques et hydrauliques</v>
          </cell>
          <cell r="AF734" t="str">
            <v>3.1.2.1</v>
          </cell>
          <cell r="AI734">
            <v>1</v>
          </cell>
          <cell r="AP734" t="str">
            <v>FD</v>
          </cell>
          <cell r="CH734" t="str">
            <v>MF19_BORD_AT_00036</v>
          </cell>
          <cell r="CI734" t="str">
            <v>-</v>
          </cell>
          <cell r="CJ734" t="str">
            <v>FD</v>
          </cell>
        </row>
        <row r="735">
          <cell r="A735" t="str">
            <v>ADD0003308524</v>
          </cell>
          <cell r="B735" t="str">
            <v>Ligne_199.1.2_PPD</v>
          </cell>
          <cell r="C735" t="str">
            <v>199.1.2</v>
          </cell>
          <cell r="E735" t="str">
            <v>Documentation pour produits électrotechniques (DD?)</v>
          </cell>
          <cell r="G735" t="str">
            <v>SPP ESSUI-VITRE LAVE-VITRE DEGIVRAGE</v>
          </cell>
          <cell r="I735" t="str">
            <v>D300</v>
          </cell>
          <cell r="J735" t="str">
            <v>UA</v>
          </cell>
          <cell r="K735" t="str">
            <v>D00053</v>
          </cell>
          <cell r="R735" t="str">
            <v>VPF</v>
          </cell>
          <cell r="S735" t="str">
            <v>AT</v>
          </cell>
          <cell r="T735" t="str">
            <v>EX</v>
          </cell>
          <cell r="U735" t="str">
            <v>W.BOSQUILLON</v>
          </cell>
          <cell r="AA735" t="str">
            <v>E</v>
          </cell>
          <cell r="AB735" t="str">
            <v>Mécanique</v>
          </cell>
          <cell r="AC735" t="str">
            <v>SME/EMR/EZ/ETS</v>
          </cell>
          <cell r="AD735" t="str">
            <v>ST ET.4-10546</v>
          </cell>
          <cell r="AE735" t="str">
            <v>Documentation relative à l’étude et à la réalisation de systèmes mécaniques, électrotechniques, pneumatiques et hydrauliques</v>
          </cell>
          <cell r="AF735" t="str">
            <v>3.1.2.1</v>
          </cell>
          <cell r="AI735">
            <v>1</v>
          </cell>
          <cell r="AP735" t="str">
            <v>FD</v>
          </cell>
          <cell r="CH735" t="e">
            <v>#N/A</v>
          </cell>
          <cell r="CI735" t="e">
            <v>#N/A</v>
          </cell>
          <cell r="CJ735" t="e">
            <v>#N/A</v>
          </cell>
        </row>
        <row r="736">
          <cell r="A736" t="str">
            <v>ADD0003308525</v>
          </cell>
          <cell r="B736" t="str">
            <v>Ligne_199.1.3_PPD</v>
          </cell>
          <cell r="C736" t="str">
            <v>199.1.3</v>
          </cell>
          <cell r="E736" t="str">
            <v>Documentation pour produits électrotechniques (DD?)</v>
          </cell>
          <cell r="G736" t="str">
            <v>SPP ECLAIRAGE CABINE</v>
          </cell>
          <cell r="I736" t="str">
            <v>D300</v>
          </cell>
          <cell r="J736" t="str">
            <v>UA</v>
          </cell>
          <cell r="K736" t="str">
            <v>D00053</v>
          </cell>
          <cell r="R736" t="str">
            <v>VPF</v>
          </cell>
          <cell r="S736" t="str">
            <v>AT</v>
          </cell>
          <cell r="T736" t="str">
            <v>EX</v>
          </cell>
          <cell r="U736" t="str">
            <v>W.BOSQUILLON</v>
          </cell>
          <cell r="AA736" t="str">
            <v>E</v>
          </cell>
          <cell r="AB736" t="str">
            <v>Mécanique</v>
          </cell>
          <cell r="AC736" t="str">
            <v>SME/EMR/EZ/ETS</v>
          </cell>
          <cell r="AD736" t="str">
            <v>ST ET.4-10546</v>
          </cell>
          <cell r="AE736" t="str">
            <v>Documentation relative à l’étude et à la réalisation de systèmes mécaniques, électrotechniques, pneumatiques et hydrauliques</v>
          </cell>
          <cell r="AF736" t="str">
            <v>3.1.2.1</v>
          </cell>
          <cell r="AI736">
            <v>1</v>
          </cell>
          <cell r="AP736" t="str">
            <v>FD</v>
          </cell>
          <cell r="CH736" t="e">
            <v>#N/A</v>
          </cell>
          <cell r="CI736" t="e">
            <v>#N/A</v>
          </cell>
          <cell r="CJ736" t="e">
            <v>#N/A</v>
          </cell>
        </row>
        <row r="737">
          <cell r="A737" t="str">
            <v>ADD0003308526</v>
          </cell>
          <cell r="B737" t="str">
            <v>Ligne_199.1.4_PPD</v>
          </cell>
          <cell r="C737" t="str">
            <v>199.1.4</v>
          </cell>
          <cell r="E737" t="str">
            <v>Documentation pour produits électrotechniques (DD?)</v>
          </cell>
          <cell r="G737" t="str">
            <v xml:space="preserve">SPP ECLAIRAGE PUPITRE </v>
          </cell>
          <cell r="I737" t="str">
            <v>D300</v>
          </cell>
          <cell r="J737" t="str">
            <v>UA</v>
          </cell>
          <cell r="K737" t="str">
            <v>D00053</v>
          </cell>
          <cell r="R737" t="str">
            <v>VPF</v>
          </cell>
          <cell r="S737" t="str">
            <v>AT</v>
          </cell>
          <cell r="T737" t="str">
            <v>EX</v>
          </cell>
          <cell r="U737" t="str">
            <v>W.BOSQUILLON</v>
          </cell>
          <cell r="AA737" t="str">
            <v>E</v>
          </cell>
          <cell r="AB737" t="str">
            <v>Mécanique</v>
          </cell>
          <cell r="AC737" t="str">
            <v>SME/EMR/EZ/ETS</v>
          </cell>
          <cell r="AD737" t="str">
            <v>ST ET.4-10546</v>
          </cell>
          <cell r="AE737" t="str">
            <v>Documentation relative à l’étude et à la réalisation de systèmes mécaniques, électrotechniques, pneumatiques et hydrauliques</v>
          </cell>
          <cell r="AF737" t="str">
            <v>3.1.2.1</v>
          </cell>
          <cell r="AI737">
            <v>1</v>
          </cell>
          <cell r="AP737" t="str">
            <v>FD</v>
          </cell>
          <cell r="CH737" t="e">
            <v>#N/A</v>
          </cell>
          <cell r="CI737" t="e">
            <v>#N/A</v>
          </cell>
          <cell r="CJ737" t="e">
            <v>#N/A</v>
          </cell>
        </row>
        <row r="738">
          <cell r="A738" t="str">
            <v>ADD0003308527</v>
          </cell>
          <cell r="B738" t="str">
            <v>Ligne_199.1.5_PPD</v>
          </cell>
          <cell r="C738" t="str">
            <v>199.1.5</v>
          </cell>
          <cell r="E738" t="str">
            <v>Documentation pour produits électrotechniques (DD?)</v>
          </cell>
          <cell r="G738" t="str">
            <v>SPP ECLAIRAGE COMPARTIMENT</v>
          </cell>
          <cell r="I738" t="str">
            <v>D300</v>
          </cell>
          <cell r="J738" t="str">
            <v>UA</v>
          </cell>
          <cell r="K738" t="str">
            <v>D00053</v>
          </cell>
          <cell r="R738" t="str">
            <v>VPF</v>
          </cell>
          <cell r="S738" t="str">
            <v>AT</v>
          </cell>
          <cell r="T738" t="str">
            <v>EX</v>
          </cell>
          <cell r="U738" t="str">
            <v>W.BOSQUILLON</v>
          </cell>
          <cell r="AA738" t="str">
            <v>E</v>
          </cell>
          <cell r="AB738" t="str">
            <v>Mécanique</v>
          </cell>
          <cell r="AC738" t="str">
            <v>SME/EMR/EZ/ETS</v>
          </cell>
          <cell r="AD738" t="str">
            <v>ST ET.4-10546</v>
          </cell>
          <cell r="AE738" t="str">
            <v>Documentation relative à l’étude et à la réalisation de systèmes mécaniques, électrotechniques, pneumatiques et hydrauliques</v>
          </cell>
          <cell r="AF738" t="str">
            <v>3.1.2.1</v>
          </cell>
          <cell r="AI738">
            <v>1</v>
          </cell>
          <cell r="AP738" t="str">
            <v>FD</v>
          </cell>
          <cell r="CH738" t="e">
            <v>#N/A</v>
          </cell>
          <cell r="CI738" t="e">
            <v>#N/A</v>
          </cell>
          <cell r="CJ738" t="e">
            <v>#N/A</v>
          </cell>
        </row>
        <row r="739">
          <cell r="A739" t="str">
            <v>ADD0003308528</v>
          </cell>
          <cell r="B739" t="str">
            <v>Ligne_199.1.6_PPD</v>
          </cell>
          <cell r="C739" t="str">
            <v>199.1.6</v>
          </cell>
          <cell r="E739" t="str">
            <v>Documentation pour produits électrotechniques (DD?)</v>
          </cell>
          <cell r="G739" t="str">
            <v>SPP ECLAIRAGE SOUS-SIEGE</v>
          </cell>
          <cell r="I739" t="str">
            <v>D300</v>
          </cell>
          <cell r="J739" t="str">
            <v>UA</v>
          </cell>
          <cell r="K739" t="str">
            <v>D00053</v>
          </cell>
          <cell r="R739" t="str">
            <v>VPF</v>
          </cell>
          <cell r="S739" t="str">
            <v>AT</v>
          </cell>
          <cell r="T739" t="str">
            <v>EX</v>
          </cell>
          <cell r="U739" t="str">
            <v>W.BOSQUILLON</v>
          </cell>
          <cell r="AA739" t="str">
            <v>E</v>
          </cell>
          <cell r="AB739" t="str">
            <v>Mécanique</v>
          </cell>
          <cell r="AC739" t="str">
            <v>SME/EMR/EZ/ETS</v>
          </cell>
          <cell r="AD739" t="str">
            <v>ST ET.4-10546</v>
          </cell>
          <cell r="AE739" t="str">
            <v>Documentation relative à l’étude et à la réalisation de systèmes mécaniques, électrotechniques, pneumatiques et hydrauliques</v>
          </cell>
          <cell r="AF739" t="str">
            <v>3.1.2.1</v>
          </cell>
          <cell r="AI739">
            <v>1</v>
          </cell>
          <cell r="AP739" t="str">
            <v>FD</v>
          </cell>
          <cell r="CH739" t="e">
            <v>#N/A</v>
          </cell>
          <cell r="CI739" t="e">
            <v>#N/A</v>
          </cell>
          <cell r="CJ739" t="e">
            <v>#N/A</v>
          </cell>
        </row>
        <row r="740">
          <cell r="A740" t="str">
            <v>ADD0003308529</v>
          </cell>
          <cell r="B740" t="str">
            <v>Ligne_199.1.7_PPD</v>
          </cell>
          <cell r="C740" t="str">
            <v>199.1.7</v>
          </cell>
          <cell r="E740" t="str">
            <v>Documentation pour produits électrotechniques (DD?)</v>
          </cell>
          <cell r="G740" t="str">
            <v>SPP CLIM CABINE</v>
          </cell>
          <cell r="I740" t="str">
            <v>D300</v>
          </cell>
          <cell r="J740" t="str">
            <v>UA</v>
          </cell>
          <cell r="K740" t="str">
            <v>D00053</v>
          </cell>
          <cell r="R740" t="str">
            <v>VPF</v>
          </cell>
          <cell r="S740" t="str">
            <v>AT</v>
          </cell>
          <cell r="T740" t="str">
            <v>EX</v>
          </cell>
          <cell r="U740" t="str">
            <v>W.BOSQUILLON</v>
          </cell>
          <cell r="AA740" t="str">
            <v>E</v>
          </cell>
          <cell r="AB740" t="str">
            <v>Mécanique</v>
          </cell>
          <cell r="AC740" t="str">
            <v>SME/EMR/EZ/ETS</v>
          </cell>
          <cell r="AD740" t="str">
            <v>ST ET.4-10546</v>
          </cell>
          <cell r="AE740" t="str">
            <v>Documentation relative à l’étude et à la réalisation de systèmes mécaniques, électrotechniques, pneumatiques et hydrauliques</v>
          </cell>
          <cell r="AF740" t="str">
            <v>3.1.2.1</v>
          </cell>
          <cell r="AI740">
            <v>1</v>
          </cell>
          <cell r="AP740" t="str">
            <v>FD</v>
          </cell>
          <cell r="CH740" t="e">
            <v>#N/A</v>
          </cell>
          <cell r="CI740" t="e">
            <v>#N/A</v>
          </cell>
          <cell r="CJ740" t="e">
            <v>#N/A</v>
          </cell>
        </row>
        <row r="741">
          <cell r="A741" t="str">
            <v>ADD0003308530</v>
          </cell>
          <cell r="B741" t="str">
            <v>Ligne_199.1.8_PPD</v>
          </cell>
          <cell r="C741" t="str">
            <v>199.1.8</v>
          </cell>
          <cell r="E741" t="str">
            <v>Documentation pour produits électrotechniques (DD?)</v>
          </cell>
          <cell r="G741" t="str">
            <v>SPP CLIM VOYAGEURS</v>
          </cell>
          <cell r="I741" t="str">
            <v>D300</v>
          </cell>
          <cell r="J741" t="str">
            <v>UA</v>
          </cell>
          <cell r="K741" t="str">
            <v>D00053</v>
          </cell>
          <cell r="R741" t="str">
            <v>VPF</v>
          </cell>
          <cell r="S741" t="str">
            <v>AT</v>
          </cell>
          <cell r="T741" t="str">
            <v>EX</v>
          </cell>
          <cell r="U741" t="str">
            <v>W.BOSQUILLON</v>
          </cell>
          <cell r="AA741" t="str">
            <v>E</v>
          </cell>
          <cell r="AB741" t="str">
            <v>Mécanique</v>
          </cell>
          <cell r="AC741" t="str">
            <v>SME/EMR/EZ/ETS</v>
          </cell>
          <cell r="AD741" t="str">
            <v>ST ET.4-10546</v>
          </cell>
          <cell r="AE741" t="str">
            <v>Documentation relative à l’étude et à la réalisation de systèmes mécaniques, électrotechniques, pneumatiques et hydrauliques</v>
          </cell>
          <cell r="AF741" t="str">
            <v>3.1.2.1</v>
          </cell>
          <cell r="AI741">
            <v>1</v>
          </cell>
          <cell r="AP741" t="str">
            <v>FD</v>
          </cell>
          <cell r="CH741" t="e">
            <v>#N/A</v>
          </cell>
          <cell r="CI741" t="e">
            <v>#N/A</v>
          </cell>
          <cell r="CJ741" t="e">
            <v>#N/A</v>
          </cell>
        </row>
        <row r="742">
          <cell r="A742" t="str">
            <v>ADD0003308531</v>
          </cell>
          <cell r="B742" t="str">
            <v>Ligne_199.1.9_PPD</v>
          </cell>
          <cell r="C742" t="str">
            <v>199.1.9</v>
          </cell>
          <cell r="E742" t="str">
            <v>Documentation pour produits électrotechniques (DD?)</v>
          </cell>
          <cell r="G742" t="str">
            <v>SPP ANNONCES SONORES CABINE</v>
          </cell>
          <cell r="I742" t="str">
            <v>D300</v>
          </cell>
          <cell r="J742" t="str">
            <v>UA</v>
          </cell>
          <cell r="K742" t="str">
            <v>D00053</v>
          </cell>
          <cell r="R742" t="str">
            <v>VPF</v>
          </cell>
          <cell r="S742" t="str">
            <v>AT</v>
          </cell>
          <cell r="T742" t="str">
            <v>EX</v>
          </cell>
          <cell r="U742" t="str">
            <v>W.BOSQUILLON</v>
          </cell>
          <cell r="AA742" t="str">
            <v>E</v>
          </cell>
          <cell r="AB742" t="str">
            <v>Mécanique</v>
          </cell>
          <cell r="AC742" t="str">
            <v>SME/EMR/EZ/ETS</v>
          </cell>
          <cell r="AD742" t="str">
            <v>ST ET.4-10546</v>
          </cell>
          <cell r="AE742" t="str">
            <v>Documentation relative à l’étude et à la réalisation de systèmes mécaniques, électrotechniques, pneumatiques et hydrauliques</v>
          </cell>
          <cell r="AF742" t="str">
            <v>3.1.2.1</v>
          </cell>
          <cell r="AI742">
            <v>1</v>
          </cell>
          <cell r="AP742" t="str">
            <v>FD</v>
          </cell>
          <cell r="CH742" t="e">
            <v>#N/A</v>
          </cell>
          <cell r="CI742" t="e">
            <v>#N/A</v>
          </cell>
          <cell r="CJ742" t="e">
            <v>#N/A</v>
          </cell>
        </row>
        <row r="743">
          <cell r="A743" t="str">
            <v>ADD0003308532</v>
          </cell>
          <cell r="B743" t="str">
            <v>Ligne_199.1.10_PPD</v>
          </cell>
          <cell r="C743" t="str">
            <v>199.1.10</v>
          </cell>
          <cell r="E743" t="str">
            <v>Documentation pour produits électrotechniques (DD?)</v>
          </cell>
          <cell r="G743" t="str">
            <v>SPP ANNONCES SONORES ET VISUELLES COMPARTIMENT</v>
          </cell>
          <cell r="I743" t="str">
            <v>D300</v>
          </cell>
          <cell r="J743" t="str">
            <v>UA</v>
          </cell>
          <cell r="K743" t="str">
            <v>D00053</v>
          </cell>
          <cell r="R743" t="str">
            <v>VPF</v>
          </cell>
          <cell r="S743" t="str">
            <v>AT</v>
          </cell>
          <cell r="T743" t="str">
            <v>EX</v>
          </cell>
          <cell r="U743" t="str">
            <v>W.BOSQUILLON</v>
          </cell>
          <cell r="AA743" t="str">
            <v>E</v>
          </cell>
          <cell r="AB743" t="str">
            <v>Mécanique</v>
          </cell>
          <cell r="AC743" t="str">
            <v>SME/EMR/EZ/ETS</v>
          </cell>
          <cell r="AD743" t="str">
            <v>ST ET.4-10546</v>
          </cell>
          <cell r="AE743" t="str">
            <v>Documentation relative à l’étude et à la réalisation de systèmes mécaniques, électrotechniques, pneumatiques et hydrauliques</v>
          </cell>
          <cell r="AF743" t="str">
            <v>3.1.2.1</v>
          </cell>
          <cell r="AI743">
            <v>1</v>
          </cell>
          <cell r="AP743" t="str">
            <v>FD</v>
          </cell>
          <cell r="CH743" t="e">
            <v>#N/A</v>
          </cell>
          <cell r="CI743" t="e">
            <v>#N/A</v>
          </cell>
          <cell r="CJ743" t="e">
            <v>#N/A</v>
          </cell>
        </row>
        <row r="744">
          <cell r="A744" t="str">
            <v>ADD0003308533</v>
          </cell>
          <cell r="B744" t="str">
            <v>Ligne_199.1.11_PPD</v>
          </cell>
          <cell r="C744" t="str">
            <v>199.1.11</v>
          </cell>
          <cell r="E744" t="str">
            <v>Documentation pour produits électrotechniques (DD?)</v>
          </cell>
          <cell r="G744" t="str">
            <v>SPP VIDEO-PROTECTION</v>
          </cell>
          <cell r="I744" t="str">
            <v>D300</v>
          </cell>
          <cell r="J744" t="str">
            <v>UA</v>
          </cell>
          <cell r="K744" t="str">
            <v>D00053</v>
          </cell>
          <cell r="R744" t="str">
            <v>VPF</v>
          </cell>
          <cell r="S744" t="str">
            <v>AT</v>
          </cell>
          <cell r="T744" t="str">
            <v>EX</v>
          </cell>
          <cell r="U744" t="str">
            <v>W.BOSQUILLON</v>
          </cell>
          <cell r="AA744" t="str">
            <v>E</v>
          </cell>
          <cell r="AB744" t="str">
            <v>Mécanique</v>
          </cell>
          <cell r="AC744" t="str">
            <v>SME/EMR/EZ/ETS</v>
          </cell>
          <cell r="AD744" t="str">
            <v>ST ET.4-10546</v>
          </cell>
          <cell r="AE744" t="str">
            <v>Documentation relative à l’étude et à la réalisation de systèmes mécaniques, électrotechniques, pneumatiques et hydrauliques</v>
          </cell>
          <cell r="AF744" t="str">
            <v>3.1.2.1</v>
          </cell>
          <cell r="AI744">
            <v>1</v>
          </cell>
          <cell r="AP744" t="str">
            <v>FD</v>
          </cell>
          <cell r="CH744" t="e">
            <v>#N/A</v>
          </cell>
          <cell r="CI744" t="e">
            <v>#N/A</v>
          </cell>
          <cell r="CJ744" t="e">
            <v>#N/A</v>
          </cell>
        </row>
        <row r="745">
          <cell r="A745" t="str">
            <v>ADD0003308521</v>
          </cell>
          <cell r="B745" t="str">
            <v>Ligne_199.1.12_PPD</v>
          </cell>
          <cell r="C745" t="str">
            <v>199.1.12</v>
          </cell>
          <cell r="E745" t="str">
            <v>Documentation pour produits électrotechniques (DD?)</v>
          </cell>
          <cell r="G745" t="str">
            <v>SPP CONTROLE COMMANDE DES PORTES</v>
          </cell>
          <cell r="I745" t="str">
            <v>D300</v>
          </cell>
          <cell r="J745" t="str">
            <v>UA</v>
          </cell>
          <cell r="K745" t="str">
            <v>D00053</v>
          </cell>
          <cell r="R745" t="str">
            <v>VPF</v>
          </cell>
          <cell r="S745" t="str">
            <v>AT</v>
          </cell>
          <cell r="T745" t="str">
            <v>EX</v>
          </cell>
          <cell r="U745" t="str">
            <v>W.BOSQUILLON</v>
          </cell>
          <cell r="AA745" t="str">
            <v>E</v>
          </cell>
          <cell r="AB745" t="str">
            <v>Mécanique</v>
          </cell>
          <cell r="AC745" t="str">
            <v>SME/EMR/EZ/ETS</v>
          </cell>
          <cell r="AD745" t="str">
            <v>ST ET.4-10546</v>
          </cell>
          <cell r="AE745" t="str">
            <v>Documentation relative à l’étude et à la réalisation de systèmes mécaniques, électrotechniques, pneumatiques et hydrauliques</v>
          </cell>
          <cell r="AF745" t="str">
            <v>3.1.2.1</v>
          </cell>
          <cell r="AI745">
            <v>1</v>
          </cell>
          <cell r="AP745" t="str">
            <v>FD</v>
          </cell>
          <cell r="CH745" t="e">
            <v>#N/A</v>
          </cell>
          <cell r="CI745" t="e">
            <v>#N/A</v>
          </cell>
          <cell r="CJ745" t="e">
            <v>#N/A</v>
          </cell>
        </row>
        <row r="746">
          <cell r="A746" t="str">
            <v>ADD0003308534</v>
          </cell>
          <cell r="B746" t="str">
            <v>Ligne_199.1.13_PPD</v>
          </cell>
          <cell r="C746" t="str">
            <v>199.1.13</v>
          </cell>
          <cell r="E746" t="str">
            <v>Documentation pour produits électrotechniques (DD?)</v>
          </cell>
          <cell r="G746" t="str">
            <v>SPP SIGNAL D ALARME</v>
          </cell>
          <cell r="I746" t="str">
            <v>D300</v>
          </cell>
          <cell r="J746" t="str">
            <v>UA</v>
          </cell>
          <cell r="K746" t="str">
            <v>D00053</v>
          </cell>
          <cell r="R746" t="str">
            <v>VPF</v>
          </cell>
          <cell r="S746" t="str">
            <v>AT</v>
          </cell>
          <cell r="T746" t="str">
            <v>EX</v>
          </cell>
          <cell r="U746" t="str">
            <v>W.BOSQUILLON</v>
          </cell>
          <cell r="AA746" t="str">
            <v>E</v>
          </cell>
          <cell r="AB746" t="str">
            <v>Mécanique</v>
          </cell>
          <cell r="AC746" t="str">
            <v>SME/EMR/EZ/ETS</v>
          </cell>
          <cell r="AD746" t="str">
            <v>ST ET.4-10546</v>
          </cell>
          <cell r="AE746" t="str">
            <v>Documentation relative à l’étude et à la réalisation de systèmes mécaniques, électrotechniques, pneumatiques et hydrauliques</v>
          </cell>
          <cell r="AF746" t="str">
            <v>3.1.2.1</v>
          </cell>
          <cell r="AI746">
            <v>1</v>
          </cell>
          <cell r="AP746" t="str">
            <v>FD</v>
          </cell>
          <cell r="CH746" t="e">
            <v>#N/A</v>
          </cell>
          <cell r="CI746" t="e">
            <v>#N/A</v>
          </cell>
          <cell r="CJ746" t="e">
            <v>#N/A</v>
          </cell>
        </row>
        <row r="747">
          <cell r="A747" t="str">
            <v>ADD0003308535</v>
          </cell>
          <cell r="B747" t="str">
            <v>Ligne_199.1.14_PPD</v>
          </cell>
          <cell r="C747" t="str">
            <v>199.1.14</v>
          </cell>
          <cell r="E747" t="str">
            <v>Documentation pour produits électrotechniques (DD?)</v>
          </cell>
          <cell r="G747" t="str">
            <v>SPP COMMANDE D'OUVERTURE DES PORTES PALIERES</v>
          </cell>
          <cell r="I747" t="str">
            <v>D300</v>
          </cell>
          <cell r="J747" t="str">
            <v>UA</v>
          </cell>
          <cell r="K747" t="str">
            <v>D00053</v>
          </cell>
          <cell r="R747" t="str">
            <v>VPF</v>
          </cell>
          <cell r="S747" t="str">
            <v>AT</v>
          </cell>
          <cell r="T747" t="str">
            <v>EX</v>
          </cell>
          <cell r="U747" t="str">
            <v>W.BOSQUILLON</v>
          </cell>
          <cell r="AA747" t="str">
            <v>E</v>
          </cell>
          <cell r="AB747" t="str">
            <v>Mécanique</v>
          </cell>
          <cell r="AC747" t="str">
            <v>SME/EMR/EZ/ETS</v>
          </cell>
          <cell r="AD747" t="str">
            <v>ST ET.4-10546</v>
          </cell>
          <cell r="AE747" t="str">
            <v>Documentation relative à l’étude et à la réalisation de systèmes mécaniques, électrotechniques, pneumatiques et hydrauliques</v>
          </cell>
          <cell r="AF747" t="str">
            <v>3.1.2.1</v>
          </cell>
          <cell r="AI747">
            <v>1</v>
          </cell>
          <cell r="AP747" t="str">
            <v>FD</v>
          </cell>
          <cell r="CH747" t="e">
            <v>#N/A</v>
          </cell>
          <cell r="CI747" t="e">
            <v>#N/A</v>
          </cell>
          <cell r="CJ747" t="e">
            <v>#N/A</v>
          </cell>
        </row>
        <row r="748">
          <cell r="A748" t="str">
            <v>ADD0003308536</v>
          </cell>
          <cell r="B748" t="str">
            <v>Ligne_199.1.15_PPD</v>
          </cell>
          <cell r="C748" t="str">
            <v>199.1.15</v>
          </cell>
          <cell r="E748" t="str">
            <v>Documentation pour produits électrotechniques (DD?)</v>
          </cell>
          <cell r="G748" t="str">
            <v>SPP GRAISSAGE DE BOUDIN</v>
          </cell>
          <cell r="I748" t="str">
            <v>D300</v>
          </cell>
          <cell r="J748" t="str">
            <v>UA</v>
          </cell>
          <cell r="K748" t="str">
            <v>D00053</v>
          </cell>
          <cell r="R748" t="str">
            <v>VPF</v>
          </cell>
          <cell r="S748" t="str">
            <v>AT</v>
          </cell>
          <cell r="T748" t="str">
            <v>EX</v>
          </cell>
          <cell r="U748" t="str">
            <v>W.BOSQUILLON</v>
          </cell>
          <cell r="AA748" t="str">
            <v>E</v>
          </cell>
          <cell r="AB748" t="str">
            <v>Mécanique</v>
          </cell>
          <cell r="AC748" t="str">
            <v>SME/EMR/EZ/ETS</v>
          </cell>
          <cell r="AD748" t="str">
            <v>ST ET.4-10546</v>
          </cell>
          <cell r="AE748" t="str">
            <v>Documentation relative à l’étude et à la réalisation de systèmes mécaniques, électrotechniques, pneumatiques et hydrauliques</v>
          </cell>
          <cell r="AF748" t="str">
            <v>3.1.2.1</v>
          </cell>
          <cell r="AI748">
            <v>1</v>
          </cell>
          <cell r="AP748" t="str">
            <v>FD</v>
          </cell>
          <cell r="CH748" t="e">
            <v>#N/A</v>
          </cell>
          <cell r="CI748" t="e">
            <v>#N/A</v>
          </cell>
          <cell r="CJ748" t="e">
            <v>#N/A</v>
          </cell>
        </row>
        <row r="749">
          <cell r="A749" t="str">
            <v>ADD0003308537</v>
          </cell>
          <cell r="B749" t="str">
            <v>Ligne_199.1.16_PPD</v>
          </cell>
          <cell r="C749" t="str">
            <v>199.1.16</v>
          </cell>
          <cell r="E749" t="str">
            <v>Documentation pour produits électrotechniques (DD?)</v>
          </cell>
          <cell r="G749" t="str">
            <v>SPP DISTRIBUTION HT</v>
          </cell>
          <cell r="I749" t="str">
            <v>D300</v>
          </cell>
          <cell r="J749" t="str">
            <v>UA</v>
          </cell>
          <cell r="K749" t="str">
            <v>D00053</v>
          </cell>
          <cell r="R749" t="str">
            <v>VPF</v>
          </cell>
          <cell r="S749" t="str">
            <v>AT</v>
          </cell>
          <cell r="T749" t="str">
            <v>EX</v>
          </cell>
          <cell r="U749" t="str">
            <v>W.BOSQUILLON</v>
          </cell>
          <cell r="AA749" t="str">
            <v>E</v>
          </cell>
          <cell r="AB749" t="str">
            <v>Mécanique</v>
          </cell>
          <cell r="AC749" t="str">
            <v>SME/EMR/EZ/ETS</v>
          </cell>
          <cell r="AD749" t="str">
            <v>ST ET.4-10546</v>
          </cell>
          <cell r="AE749" t="str">
            <v>Documentation relative à l’étude et à la réalisation de systèmes mécaniques, électrotechniques, pneumatiques et hydrauliques</v>
          </cell>
          <cell r="AF749" t="str">
            <v>3.1.2.1</v>
          </cell>
          <cell r="AI749">
            <v>1</v>
          </cell>
          <cell r="AP749" t="str">
            <v>FD</v>
          </cell>
          <cell r="CH749" t="e">
            <v>#N/A</v>
          </cell>
          <cell r="CI749" t="e">
            <v>#N/A</v>
          </cell>
          <cell r="CJ749" t="e">
            <v>#N/A</v>
          </cell>
        </row>
        <row r="750">
          <cell r="A750" t="str">
            <v>ADD0003308538</v>
          </cell>
          <cell r="B750" t="str">
            <v>Ligne_199.1.17_PPD</v>
          </cell>
          <cell r="C750" t="str">
            <v>199.1.17</v>
          </cell>
          <cell r="E750" t="str">
            <v>Documentation pour produits électrotechniques (DD?)</v>
          </cell>
          <cell r="G750" t="str">
            <v>SPP GESTION DU K.A.HT</v>
          </cell>
          <cell r="I750" t="str">
            <v>D300</v>
          </cell>
          <cell r="J750" t="str">
            <v>UA</v>
          </cell>
          <cell r="K750" t="str">
            <v>D00053</v>
          </cell>
          <cell r="R750" t="str">
            <v>VPF</v>
          </cell>
          <cell r="S750" t="str">
            <v>AT</v>
          </cell>
          <cell r="T750" t="str">
            <v>EX</v>
          </cell>
          <cell r="U750" t="str">
            <v>W.BOSQUILLON</v>
          </cell>
          <cell r="AA750" t="str">
            <v>E</v>
          </cell>
          <cell r="AB750" t="str">
            <v>Mécanique</v>
          </cell>
          <cell r="AC750" t="str">
            <v>SME/EMR/EZ/ETS</v>
          </cell>
          <cell r="AD750" t="str">
            <v>ST ET.4-10546</v>
          </cell>
          <cell r="AE750" t="str">
            <v>Documentation relative à l’étude et à la réalisation de systèmes mécaniques, électrotechniques, pneumatiques et hydrauliques</v>
          </cell>
          <cell r="AF750" t="str">
            <v>3.1.2.1</v>
          </cell>
          <cell r="AI750">
            <v>1</v>
          </cell>
          <cell r="AP750" t="str">
            <v>FD</v>
          </cell>
          <cell r="CH750" t="e">
            <v>#N/A</v>
          </cell>
          <cell r="CI750" t="e">
            <v>#N/A</v>
          </cell>
          <cell r="CJ750" t="e">
            <v>#N/A</v>
          </cell>
        </row>
        <row r="751">
          <cell r="A751" t="str">
            <v>ADD0003308539</v>
          </cell>
          <cell r="B751" t="str">
            <v>Ligne_199.1.18_PPD</v>
          </cell>
          <cell r="C751" t="str">
            <v>199.1.18</v>
          </cell>
          <cell r="E751" t="str">
            <v>Documentation pour produits électrotechniques (DD?)</v>
          </cell>
          <cell r="G751" t="str">
            <v>SPP ALIMENTATION ET CHARGE BATTERIE</v>
          </cell>
          <cell r="I751" t="str">
            <v>D300</v>
          </cell>
          <cell r="J751" t="str">
            <v>UA</v>
          </cell>
          <cell r="K751" t="str">
            <v>D00053</v>
          </cell>
          <cell r="R751" t="str">
            <v>VPF</v>
          </cell>
          <cell r="S751" t="str">
            <v>AT</v>
          </cell>
          <cell r="T751" t="str">
            <v>EX</v>
          </cell>
          <cell r="U751" t="str">
            <v>W.BOSQUILLON</v>
          </cell>
          <cell r="AA751" t="str">
            <v>E</v>
          </cell>
          <cell r="AB751" t="str">
            <v>Mécanique</v>
          </cell>
          <cell r="AC751" t="str">
            <v>SME/EMR/EZ/ETS</v>
          </cell>
          <cell r="AD751" t="str">
            <v>ST ET.4-10546</v>
          </cell>
          <cell r="AE751" t="str">
            <v>Documentation relative à l’étude et à la réalisation de systèmes mécaniques, électrotechniques, pneumatiques et hydrauliques</v>
          </cell>
          <cell r="AF751" t="str">
            <v>3.1.2.1</v>
          </cell>
          <cell r="AI751">
            <v>1</v>
          </cell>
          <cell r="AP751" t="str">
            <v>FD</v>
          </cell>
          <cell r="CH751" t="e">
            <v>#N/A</v>
          </cell>
          <cell r="CI751" t="e">
            <v>#N/A</v>
          </cell>
          <cell r="CJ751" t="e">
            <v>#N/A</v>
          </cell>
        </row>
        <row r="752">
          <cell r="A752" t="str">
            <v>ADD0003308540</v>
          </cell>
          <cell r="B752" t="str">
            <v>Ligne_199.1.19_PPD</v>
          </cell>
          <cell r="C752" t="str">
            <v>199.1.19</v>
          </cell>
          <cell r="E752" t="str">
            <v>Documentation pour produits électrotechniques (DD?)</v>
          </cell>
          <cell r="G752" t="str">
            <v>SPP DISTRIB BT LOCALE</v>
          </cell>
          <cell r="I752" t="str">
            <v>D300</v>
          </cell>
          <cell r="J752" t="str">
            <v>UA</v>
          </cell>
          <cell r="K752" t="str">
            <v>D00053</v>
          </cell>
          <cell r="R752" t="str">
            <v>VPF</v>
          </cell>
          <cell r="S752" t="str">
            <v>AT</v>
          </cell>
          <cell r="T752" t="str">
            <v>EX</v>
          </cell>
          <cell r="U752" t="str">
            <v>W.BOSQUILLON</v>
          </cell>
          <cell r="AA752" t="str">
            <v>E</v>
          </cell>
          <cell r="AB752" t="str">
            <v>Mécanique</v>
          </cell>
          <cell r="AC752" t="str">
            <v>SME/EMR/EZ/ETS</v>
          </cell>
          <cell r="AD752" t="str">
            <v>ST ET.4-10546</v>
          </cell>
          <cell r="AE752" t="str">
            <v>Documentation relative à l’étude et à la réalisation de systèmes mécaniques, électrotechniques, pneumatiques et hydrauliques</v>
          </cell>
          <cell r="AF752" t="str">
            <v>3.1.2.1</v>
          </cell>
          <cell r="AI752">
            <v>1</v>
          </cell>
          <cell r="AP752" t="str">
            <v>FD</v>
          </cell>
          <cell r="CH752" t="e">
            <v>#N/A</v>
          </cell>
          <cell r="CI752" t="e">
            <v>#N/A</v>
          </cell>
          <cell r="CJ752" t="e">
            <v>#N/A</v>
          </cell>
        </row>
        <row r="753">
          <cell r="A753" t="str">
            <v>ADD0003308541</v>
          </cell>
          <cell r="B753" t="str">
            <v>Ligne_199.1.20_PPD</v>
          </cell>
          <cell r="C753" t="str">
            <v>199.1.20</v>
          </cell>
          <cell r="E753" t="str">
            <v>Documentation pour produits électrotechniques (DD?)</v>
          </cell>
          <cell r="G753" t="str">
            <v>SPP CDE DISTRIB BT</v>
          </cell>
          <cell r="I753" t="str">
            <v>D300</v>
          </cell>
          <cell r="J753" t="str">
            <v>UA</v>
          </cell>
          <cell r="K753" t="str">
            <v>D00053</v>
          </cell>
          <cell r="R753" t="str">
            <v>VPF</v>
          </cell>
          <cell r="S753" t="str">
            <v>AT</v>
          </cell>
          <cell r="T753" t="str">
            <v>EX</v>
          </cell>
          <cell r="U753" t="str">
            <v>W.BOSQUILLON</v>
          </cell>
          <cell r="AA753" t="str">
            <v>E</v>
          </cell>
          <cell r="AB753" t="str">
            <v>Mécanique</v>
          </cell>
          <cell r="AC753" t="str">
            <v>SME/EMR/EZ/ETS</v>
          </cell>
          <cell r="AD753" t="str">
            <v>ST ET.4-10546</v>
          </cell>
          <cell r="AE753" t="str">
            <v>Documentation relative à l’étude et à la réalisation de systèmes mécaniques, électrotechniques, pneumatiques et hydrauliques</v>
          </cell>
          <cell r="AF753" t="str">
            <v>3.1.2.1</v>
          </cell>
          <cell r="AI753">
            <v>1</v>
          </cell>
          <cell r="AP753" t="str">
            <v>FD</v>
          </cell>
          <cell r="CH753" t="e">
            <v>#N/A</v>
          </cell>
          <cell r="CI753" t="e">
            <v>#N/A</v>
          </cell>
          <cell r="CJ753" t="e">
            <v>#N/A</v>
          </cell>
        </row>
        <row r="754">
          <cell r="A754" t="str">
            <v>ADD0003308542</v>
          </cell>
          <cell r="B754" t="str">
            <v>Ligne_199.1.21_PPD</v>
          </cell>
          <cell r="C754" t="str">
            <v>199.1.21</v>
          </cell>
          <cell r="E754" t="str">
            <v>Documentation pour produits électrotechniques (DD?)</v>
          </cell>
          <cell r="G754" t="str">
            <v>SPP DISTRIB MT</v>
          </cell>
          <cell r="I754" t="str">
            <v>D300</v>
          </cell>
          <cell r="J754" t="str">
            <v>UA</v>
          </cell>
          <cell r="K754" t="str">
            <v>D00053</v>
          </cell>
          <cell r="R754" t="str">
            <v>VPF</v>
          </cell>
          <cell r="S754" t="str">
            <v>AT</v>
          </cell>
          <cell r="T754" t="str">
            <v>EX</v>
          </cell>
          <cell r="U754" t="str">
            <v>W.BOSQUILLON</v>
          </cell>
          <cell r="AA754" t="str">
            <v>E</v>
          </cell>
          <cell r="AB754" t="str">
            <v>Mécanique</v>
          </cell>
          <cell r="AC754" t="str">
            <v>SME/EMR/EZ/ETS</v>
          </cell>
          <cell r="AD754" t="str">
            <v>ST ET.4-10546</v>
          </cell>
          <cell r="AE754" t="str">
            <v>Documentation relative à l’étude et à la réalisation de systèmes mécaniques, électrotechniques, pneumatiques et hydrauliques</v>
          </cell>
          <cell r="AF754" t="str">
            <v>3.1.2.1</v>
          </cell>
          <cell r="AI754">
            <v>1</v>
          </cell>
          <cell r="AP754" t="str">
            <v>FD</v>
          </cell>
          <cell r="CH754" t="e">
            <v>#N/A</v>
          </cell>
          <cell r="CI754" t="e">
            <v>#N/A</v>
          </cell>
          <cell r="CJ754" t="e">
            <v>#N/A</v>
          </cell>
        </row>
        <row r="755">
          <cell r="A755" t="str">
            <v>ADD0003308543</v>
          </cell>
          <cell r="B755" t="str">
            <v>Ligne_199.1.22_PPD</v>
          </cell>
          <cell r="C755" t="str">
            <v>199.1.22</v>
          </cell>
          <cell r="E755" t="str">
            <v>Documentation pour produits électrotechniques (DD?)</v>
          </cell>
          <cell r="G755" t="str">
            <v>SPP CDE DISTRIB MT</v>
          </cell>
          <cell r="I755" t="str">
            <v>D300</v>
          </cell>
          <cell r="J755" t="str">
            <v>UA</v>
          </cell>
          <cell r="K755" t="str">
            <v>D00053</v>
          </cell>
          <cell r="R755" t="str">
            <v>VPF</v>
          </cell>
          <cell r="S755" t="str">
            <v>AT</v>
          </cell>
          <cell r="T755" t="str">
            <v>EX</v>
          </cell>
          <cell r="U755" t="str">
            <v>W.BOSQUILLON</v>
          </cell>
          <cell r="AA755" t="str">
            <v>E</v>
          </cell>
          <cell r="AB755" t="str">
            <v>Mécanique</v>
          </cell>
          <cell r="AC755" t="str">
            <v>SME/EMR/EZ/ETS</v>
          </cell>
          <cell r="AD755" t="str">
            <v>ST ET.4-10546</v>
          </cell>
          <cell r="AE755" t="str">
            <v>Documentation relative à l’étude et à la réalisation de systèmes mécaniques, électrotechniques, pneumatiques et hydrauliques</v>
          </cell>
          <cell r="AF755" t="str">
            <v>3.1.2.1</v>
          </cell>
          <cell r="AI755">
            <v>1</v>
          </cell>
          <cell r="AP755" t="str">
            <v>FD</v>
          </cell>
          <cell r="CH755" t="e">
            <v>#N/A</v>
          </cell>
          <cell r="CI755" t="e">
            <v>#N/A</v>
          </cell>
          <cell r="CJ755" t="e">
            <v>#N/A</v>
          </cell>
        </row>
        <row r="756">
          <cell r="A756" t="str">
            <v>ADD0003308544</v>
          </cell>
          <cell r="B756" t="str">
            <v>Ligne_199.1.23_PPD</v>
          </cell>
          <cell r="C756" t="str">
            <v>199.1.23</v>
          </cell>
          <cell r="E756" t="str">
            <v>Documentation pour produits électrotechniques (DD?)</v>
          </cell>
          <cell r="G756" t="str">
            <v>SPP PRODUCTION D AIR</v>
          </cell>
          <cell r="I756" t="str">
            <v>D300</v>
          </cell>
          <cell r="J756" t="str">
            <v>UA</v>
          </cell>
          <cell r="K756" t="str">
            <v>D00053</v>
          </cell>
          <cell r="R756" t="str">
            <v>VPF</v>
          </cell>
          <cell r="S756" t="str">
            <v>AT</v>
          </cell>
          <cell r="T756" t="str">
            <v>EX</v>
          </cell>
          <cell r="U756" t="str">
            <v>W.BOSQUILLON</v>
          </cell>
          <cell r="AA756" t="str">
            <v>E</v>
          </cell>
          <cell r="AB756" t="str">
            <v>Mécanique</v>
          </cell>
          <cell r="AC756" t="str">
            <v>SME/EMR/EZ/ETS</v>
          </cell>
          <cell r="AD756" t="str">
            <v>ST ET.4-10546</v>
          </cell>
          <cell r="AE756" t="str">
            <v>Documentation relative à l’étude et à la réalisation de systèmes mécaniques, électrotechniques, pneumatiques et hydrauliques</v>
          </cell>
          <cell r="AF756" t="str">
            <v>3.1.2.1</v>
          </cell>
          <cell r="AI756">
            <v>1</v>
          </cell>
          <cell r="AP756" t="str">
            <v>FD</v>
          </cell>
          <cell r="CH756" t="e">
            <v>#N/A</v>
          </cell>
          <cell r="CI756" t="e">
            <v>#N/A</v>
          </cell>
          <cell r="CJ756" t="e">
            <v>#N/A</v>
          </cell>
        </row>
        <row r="757">
          <cell r="A757" t="str">
            <v>ADD0003308545</v>
          </cell>
          <cell r="B757" t="str">
            <v>Ligne_199.1.24_PPD</v>
          </cell>
          <cell r="C757" t="str">
            <v>199.1.24</v>
          </cell>
          <cell r="E757" t="str">
            <v>Documentation pour produits électrotechniques (DD?)</v>
          </cell>
          <cell r="G757" t="str">
            <v>SPP AUTORISATION DJ – SENS DE MARCHE – CDE TRACTION</v>
          </cell>
          <cell r="I757" t="str">
            <v>D300</v>
          </cell>
          <cell r="J757" t="str">
            <v>UA</v>
          </cell>
          <cell r="K757" t="str">
            <v>D00053</v>
          </cell>
          <cell r="R757" t="str">
            <v>VPF</v>
          </cell>
          <cell r="S757" t="str">
            <v>AT</v>
          </cell>
          <cell r="T757" t="str">
            <v>EX</v>
          </cell>
          <cell r="U757" t="str">
            <v>W.BOSQUILLON</v>
          </cell>
          <cell r="AA757" t="str">
            <v>E</v>
          </cell>
          <cell r="AB757" t="str">
            <v>Mécanique</v>
          </cell>
          <cell r="AC757" t="str">
            <v>SME/EMR/EZ/ETS</v>
          </cell>
          <cell r="AD757" t="str">
            <v>ST ET.4-10546</v>
          </cell>
          <cell r="AE757" t="str">
            <v>Documentation relative à l’étude et à la réalisation de systèmes mécaniques, électrotechniques, pneumatiques et hydrauliques</v>
          </cell>
          <cell r="AF757" t="str">
            <v>3.1.2.1</v>
          </cell>
          <cell r="AI757">
            <v>1</v>
          </cell>
          <cell r="AP757" t="str">
            <v>FD</v>
          </cell>
          <cell r="CH757" t="e">
            <v>#N/A</v>
          </cell>
          <cell r="CI757" t="e">
            <v>#N/A</v>
          </cell>
          <cell r="CJ757" t="e">
            <v>#N/A</v>
          </cell>
        </row>
        <row r="758">
          <cell r="A758" t="str">
            <v>ADD0003308546</v>
          </cell>
          <cell r="B758" t="str">
            <v>Ligne_199.1.25_PPD</v>
          </cell>
          <cell r="C758" t="str">
            <v>199.1.25</v>
          </cell>
          <cell r="E758" t="str">
            <v>Documentation pour produits électrotechniques (DD?)</v>
          </cell>
          <cell r="G758" t="str">
            <v>SPP FREIN DE SERVICE</v>
          </cell>
          <cell r="I758" t="str">
            <v>D300</v>
          </cell>
          <cell r="J758" t="str">
            <v>UA</v>
          </cell>
          <cell r="K758" t="str">
            <v>D00053</v>
          </cell>
          <cell r="R758" t="str">
            <v>VPF</v>
          </cell>
          <cell r="S758" t="str">
            <v>AT</v>
          </cell>
          <cell r="T758" t="str">
            <v>EX</v>
          </cell>
          <cell r="U758" t="str">
            <v>W.BOSQUILLON</v>
          </cell>
          <cell r="AA758" t="str">
            <v>E</v>
          </cell>
          <cell r="AB758" t="str">
            <v>Mécanique</v>
          </cell>
          <cell r="AC758" t="str">
            <v>SME/EMR/EZ/ETS</v>
          </cell>
          <cell r="AD758" t="str">
            <v>ST ET.4-10546</v>
          </cell>
          <cell r="AE758" t="str">
            <v>Documentation relative à l’étude et à la réalisation de systèmes mécaniques, électrotechniques, pneumatiques et hydrauliques</v>
          </cell>
          <cell r="AF758" t="str">
            <v>3.1.2.1</v>
          </cell>
          <cell r="AI758">
            <v>1</v>
          </cell>
          <cell r="AP758" t="str">
            <v>FD</v>
          </cell>
          <cell r="CH758" t="e">
            <v>#N/A</v>
          </cell>
          <cell r="CI758" t="e">
            <v>#N/A</v>
          </cell>
          <cell r="CJ758" t="e">
            <v>#N/A</v>
          </cell>
        </row>
        <row r="759">
          <cell r="A759" t="str">
            <v>ADD0003308547</v>
          </cell>
          <cell r="B759" t="str">
            <v>Ligne_199.1.26_PPD</v>
          </cell>
          <cell r="C759" t="str">
            <v>199.1.26</v>
          </cell>
          <cell r="E759" t="str">
            <v>Documentation pour produits électrotechniques (DD?)</v>
          </cell>
          <cell r="G759" t="str">
            <v>SPP FREIN D IMMOBILISATION</v>
          </cell>
          <cell r="I759" t="str">
            <v>D300</v>
          </cell>
          <cell r="J759" t="str">
            <v>UA</v>
          </cell>
          <cell r="K759" t="str">
            <v>D00053</v>
          </cell>
          <cell r="R759" t="str">
            <v>VPF</v>
          </cell>
          <cell r="S759" t="str">
            <v>AT</v>
          </cell>
          <cell r="T759" t="str">
            <v>EX</v>
          </cell>
          <cell r="U759" t="str">
            <v>W.BOSQUILLON</v>
          </cell>
          <cell r="AA759" t="str">
            <v>E</v>
          </cell>
          <cell r="AB759" t="str">
            <v>Mécanique</v>
          </cell>
          <cell r="AC759" t="str">
            <v>SME/EMR/EZ/ETS</v>
          </cell>
          <cell r="AD759" t="str">
            <v>ST ET.4-10546</v>
          </cell>
          <cell r="AE759" t="str">
            <v>Documentation relative à l’étude et à la réalisation de systèmes mécaniques, électrotechniques, pneumatiques et hydrauliques</v>
          </cell>
          <cell r="AF759" t="str">
            <v>3.1.2.1</v>
          </cell>
          <cell r="AI759">
            <v>1</v>
          </cell>
          <cell r="AP759" t="str">
            <v>FD</v>
          </cell>
          <cell r="CH759" t="e">
            <v>#N/A</v>
          </cell>
          <cell r="CI759" t="e">
            <v>#N/A</v>
          </cell>
          <cell r="CJ759" t="e">
            <v>#N/A</v>
          </cell>
        </row>
        <row r="760">
          <cell r="A760" t="str">
            <v>ADD0003308548</v>
          </cell>
          <cell r="B760" t="str">
            <v>Ligne_199.1.27_PPD</v>
          </cell>
          <cell r="C760" t="str">
            <v>199.1.27</v>
          </cell>
          <cell r="E760" t="str">
            <v>Documentation pour produits électrotechniques (DD?)</v>
          </cell>
          <cell r="G760" t="str">
            <v>SPP FREIN D URGENCE</v>
          </cell>
          <cell r="I760" t="str">
            <v>D300</v>
          </cell>
          <cell r="J760" t="str">
            <v>UA</v>
          </cell>
          <cell r="K760" t="str">
            <v>D00053</v>
          </cell>
          <cell r="R760" t="str">
            <v>VPF</v>
          </cell>
          <cell r="S760" t="str">
            <v>AT</v>
          </cell>
          <cell r="T760" t="str">
            <v>EX</v>
          </cell>
          <cell r="U760" t="str">
            <v>W.BOSQUILLON</v>
          </cell>
          <cell r="AA760" t="str">
            <v>E</v>
          </cell>
          <cell r="AB760" t="str">
            <v>Mécanique</v>
          </cell>
          <cell r="AC760" t="str">
            <v>SME/EMR/EZ/ETS</v>
          </cell>
          <cell r="AD760" t="str">
            <v>ST ET.4-10546</v>
          </cell>
          <cell r="AE760" t="str">
            <v>Documentation relative à l’étude et à la réalisation de systèmes mécaniques, électrotechniques, pneumatiques et hydrauliques</v>
          </cell>
          <cell r="AF760" t="str">
            <v>3.1.2.1</v>
          </cell>
          <cell r="AI760">
            <v>1</v>
          </cell>
          <cell r="AP760" t="str">
            <v>FD</v>
          </cell>
          <cell r="CH760" t="e">
            <v>#N/A</v>
          </cell>
          <cell r="CI760" t="e">
            <v>#N/A</v>
          </cell>
          <cell r="CJ760" t="e">
            <v>#N/A</v>
          </cell>
        </row>
        <row r="761">
          <cell r="A761" t="str">
            <v>ADD0003308549</v>
          </cell>
          <cell r="B761" t="str">
            <v>Ligne_199.1.28_PPD</v>
          </cell>
          <cell r="C761" t="str">
            <v>199.1.28</v>
          </cell>
          <cell r="E761" t="str">
            <v>Documentation pour produits électrotechniques (DD?)</v>
          </cell>
          <cell r="G761" t="str">
            <v>SPP SUSPENSION</v>
          </cell>
          <cell r="I761" t="str">
            <v>D300</v>
          </cell>
          <cell r="J761" t="str">
            <v>UA</v>
          </cell>
          <cell r="K761" t="str">
            <v>D00053</v>
          </cell>
          <cell r="R761" t="str">
            <v>VPF</v>
          </cell>
          <cell r="S761" t="str">
            <v>AT</v>
          </cell>
          <cell r="T761" t="str">
            <v>EX</v>
          </cell>
          <cell r="U761" t="str">
            <v>W.BOSQUILLON</v>
          </cell>
          <cell r="AA761" t="str">
            <v>E</v>
          </cell>
          <cell r="AB761" t="str">
            <v>Mécanique</v>
          </cell>
          <cell r="AC761" t="str">
            <v>SME/EMR/EZ/ETS</v>
          </cell>
          <cell r="AD761" t="str">
            <v>ST ET.4-10546</v>
          </cell>
          <cell r="AE761" t="str">
            <v>Documentation relative à l’étude et à la réalisation de systèmes mécaniques, électrotechniques, pneumatiques et hydrauliques</v>
          </cell>
          <cell r="AF761" t="str">
            <v>3.1.2.1</v>
          </cell>
          <cell r="AI761">
            <v>1</v>
          </cell>
          <cell r="AP761" t="str">
            <v>FD</v>
          </cell>
          <cell r="CH761" t="e">
            <v>#N/A</v>
          </cell>
          <cell r="CI761" t="e">
            <v>#N/A</v>
          </cell>
          <cell r="CJ761" t="e">
            <v>#N/A</v>
          </cell>
        </row>
        <row r="762">
          <cell r="A762" t="str">
            <v>ADD0003308550</v>
          </cell>
          <cell r="B762" t="str">
            <v>Ligne_199.1.29_PPD</v>
          </cell>
          <cell r="C762" t="str">
            <v>199.1.29</v>
          </cell>
          <cell r="E762" t="str">
            <v>Documentation pour produits électrotechniques (DD?)</v>
          </cell>
          <cell r="G762" t="str">
            <v>SPP ANTI-ENRAYAGE</v>
          </cell>
          <cell r="I762" t="str">
            <v>D300</v>
          </cell>
          <cell r="J762" t="str">
            <v>UA</v>
          </cell>
          <cell r="K762" t="str">
            <v>D00053</v>
          </cell>
          <cell r="R762" t="str">
            <v>VPF</v>
          </cell>
          <cell r="S762" t="str">
            <v>AT</v>
          </cell>
          <cell r="T762" t="str">
            <v>EX</v>
          </cell>
          <cell r="U762" t="str">
            <v>W.BOSQUILLON</v>
          </cell>
          <cell r="AA762" t="str">
            <v>E</v>
          </cell>
          <cell r="AB762" t="str">
            <v>Mécanique</v>
          </cell>
          <cell r="AC762" t="str">
            <v>SME/EMR/EZ/ETS</v>
          </cell>
          <cell r="AD762" t="str">
            <v>ST ET.4-10546</v>
          </cell>
          <cell r="AE762" t="str">
            <v>Documentation relative à l’étude et à la réalisation de systèmes mécaniques, électrotechniques, pneumatiques et hydrauliques</v>
          </cell>
          <cell r="AF762" t="str">
            <v>3.1.2.1</v>
          </cell>
          <cell r="AI762">
            <v>1</v>
          </cell>
          <cell r="AP762" t="str">
            <v>FD</v>
          </cell>
          <cell r="CH762" t="e">
            <v>#N/A</v>
          </cell>
          <cell r="CI762" t="e">
            <v>#N/A</v>
          </cell>
          <cell r="CJ762" t="e">
            <v>#N/A</v>
          </cell>
        </row>
        <row r="763">
          <cell r="A763" t="str">
            <v>ADD0003308551</v>
          </cell>
          <cell r="B763" t="str">
            <v>Ligne_199.1.30_PPD</v>
          </cell>
          <cell r="C763" t="str">
            <v>199.1.30</v>
          </cell>
          <cell r="E763" t="str">
            <v>Documentation pour produits électrotechniques (DD?)</v>
          </cell>
          <cell r="G763" t="str">
            <v>SPP SABLAGE</v>
          </cell>
          <cell r="I763" t="str">
            <v>D300</v>
          </cell>
          <cell r="J763" t="str">
            <v>UA</v>
          </cell>
          <cell r="K763" t="str">
            <v>D00053</v>
          </cell>
          <cell r="R763" t="str">
            <v>VPF</v>
          </cell>
          <cell r="S763" t="str">
            <v>AT</v>
          </cell>
          <cell r="T763" t="str">
            <v>EX</v>
          </cell>
          <cell r="U763" t="str">
            <v>W.BOSQUILLON</v>
          </cell>
          <cell r="AA763" t="str">
            <v>E</v>
          </cell>
          <cell r="AB763" t="str">
            <v>Mécanique</v>
          </cell>
          <cell r="AC763" t="str">
            <v>SME/EMR/EZ/ETS</v>
          </cell>
          <cell r="AD763" t="str">
            <v>ST ET.4-10546</v>
          </cell>
          <cell r="AE763" t="str">
            <v>Documentation relative à l’étude et à la réalisation de systèmes mécaniques, électrotechniques, pneumatiques et hydrauliques</v>
          </cell>
          <cell r="AF763" t="str">
            <v>3.1.2.1</v>
          </cell>
          <cell r="AI763">
            <v>1</v>
          </cell>
          <cell r="AP763" t="str">
            <v>FD</v>
          </cell>
          <cell r="CH763" t="e">
            <v>#N/A</v>
          </cell>
          <cell r="CI763" t="e">
            <v>#N/A</v>
          </cell>
          <cell r="CJ763" t="e">
            <v>#N/A</v>
          </cell>
        </row>
        <row r="764">
          <cell r="A764" t="str">
            <v>ADD0003308552</v>
          </cell>
          <cell r="B764" t="str">
            <v>Ligne_199.1.31_PPD</v>
          </cell>
          <cell r="C764" t="str">
            <v>199.1.31</v>
          </cell>
          <cell r="E764" t="str">
            <v>Documentation pour produits électrotechniques (DD?)</v>
          </cell>
          <cell r="G764" t="str">
            <v>SPP IDENTIFICATION CONDUCETUR</v>
          </cell>
          <cell r="I764" t="str">
            <v>D300</v>
          </cell>
          <cell r="J764" t="str">
            <v>UA</v>
          </cell>
          <cell r="K764" t="str">
            <v>D00053</v>
          </cell>
          <cell r="R764" t="str">
            <v>VPF</v>
          </cell>
          <cell r="S764" t="str">
            <v>AT</v>
          </cell>
          <cell r="T764" t="str">
            <v>EX</v>
          </cell>
          <cell r="U764" t="str">
            <v>W.BOSQUILLON</v>
          </cell>
          <cell r="AA764" t="str">
            <v>E</v>
          </cell>
          <cell r="AB764" t="str">
            <v>Mécanique</v>
          </cell>
          <cell r="AC764" t="str">
            <v>SME/EMR/EZ/ETS</v>
          </cell>
          <cell r="AD764" t="str">
            <v>ST ET.4-10546</v>
          </cell>
          <cell r="AE764" t="str">
            <v>Documentation relative à l’étude et à la réalisation de systèmes mécaniques, électrotechniques, pneumatiques et hydrauliques</v>
          </cell>
          <cell r="AF764" t="str">
            <v>3.1.2.1</v>
          </cell>
          <cell r="AI764">
            <v>1</v>
          </cell>
          <cell r="AP764" t="str">
            <v>FD</v>
          </cell>
          <cell r="CH764" t="e">
            <v>#N/A</v>
          </cell>
          <cell r="CI764" t="e">
            <v>#N/A</v>
          </cell>
          <cell r="CJ764" t="e">
            <v>#N/A</v>
          </cell>
        </row>
        <row r="765">
          <cell r="A765" t="str">
            <v>ADD0003308553</v>
          </cell>
          <cell r="B765" t="str">
            <v>Ligne_199.1.32_PPD</v>
          </cell>
          <cell r="C765" t="str">
            <v>199.1.32</v>
          </cell>
          <cell r="E765" t="str">
            <v>Documentation pour produits électrotechniques (DD?)</v>
          </cell>
          <cell r="G765" t="str">
            <v>SPP SIGNALISATION CABINE DE CONDUITE</v>
          </cell>
          <cell r="I765" t="str">
            <v>D300</v>
          </cell>
          <cell r="J765" t="str">
            <v>UA</v>
          </cell>
          <cell r="K765" t="str">
            <v>D00053</v>
          </cell>
          <cell r="R765" t="str">
            <v>VPF</v>
          </cell>
          <cell r="S765" t="str">
            <v>AT</v>
          </cell>
          <cell r="T765" t="str">
            <v>EX</v>
          </cell>
          <cell r="U765" t="str">
            <v>W.BOSQUILLON</v>
          </cell>
          <cell r="AA765" t="str">
            <v>E</v>
          </cell>
          <cell r="AB765" t="str">
            <v>Mécanique</v>
          </cell>
          <cell r="AC765" t="str">
            <v>SME/EMR/EZ/ETS</v>
          </cell>
          <cell r="AD765" t="str">
            <v>ST ET.4-10546</v>
          </cell>
          <cell r="AE765" t="str">
            <v>Documentation relative à l’étude et à la réalisation de systèmes mécaniques, électrotechniques, pneumatiques et hydrauliques</v>
          </cell>
          <cell r="AF765" t="str">
            <v>3.1.2.1</v>
          </cell>
          <cell r="AI765">
            <v>1</v>
          </cell>
          <cell r="AP765" t="str">
            <v>FD</v>
          </cell>
          <cell r="CH765" t="e">
            <v>#N/A</v>
          </cell>
          <cell r="CI765" t="e">
            <v>#N/A</v>
          </cell>
          <cell r="CJ765" t="e">
            <v>#N/A</v>
          </cell>
        </row>
        <row r="766">
          <cell r="A766" t="str">
            <v>ADD0003308554</v>
          </cell>
          <cell r="B766" t="str">
            <v>Ligne_199.1.33_PPD</v>
          </cell>
          <cell r="C766" t="str">
            <v>199.1.33</v>
          </cell>
          <cell r="E766" t="str">
            <v>Documentation pour produits électrotechniques (DD?)</v>
          </cell>
          <cell r="G766" t="str">
            <v>SPP INFORMATIQUE DE CONFORT</v>
          </cell>
          <cell r="I766" t="str">
            <v>D300</v>
          </cell>
          <cell r="J766" t="str">
            <v>UA</v>
          </cell>
          <cell r="K766" t="str">
            <v>D00053</v>
          </cell>
          <cell r="R766" t="str">
            <v>VPF</v>
          </cell>
          <cell r="S766" t="str">
            <v>AT</v>
          </cell>
          <cell r="T766" t="str">
            <v>EX</v>
          </cell>
          <cell r="U766" t="str">
            <v>W.BOSQUILLON</v>
          </cell>
          <cell r="AA766" t="str">
            <v>E</v>
          </cell>
          <cell r="AB766" t="str">
            <v>Mécanique</v>
          </cell>
          <cell r="AC766" t="str">
            <v>SME/EMR/EZ/ETS</v>
          </cell>
          <cell r="AD766" t="str">
            <v>ST ET.4-10546</v>
          </cell>
          <cell r="AE766" t="str">
            <v>Documentation relative à l’étude et à la réalisation de systèmes mécaniques, électrotechniques, pneumatiques et hydrauliques</v>
          </cell>
          <cell r="AF766" t="str">
            <v>3.1.2.1</v>
          </cell>
          <cell r="AI766">
            <v>1</v>
          </cell>
          <cell r="AP766" t="str">
            <v>FD</v>
          </cell>
          <cell r="CH766" t="e">
            <v>#N/A</v>
          </cell>
          <cell r="CI766" t="e">
            <v>#N/A</v>
          </cell>
          <cell r="CJ766" t="e">
            <v>#N/A</v>
          </cell>
        </row>
        <row r="767">
          <cell r="A767" t="str">
            <v>ADD0003308555</v>
          </cell>
          <cell r="B767" t="str">
            <v>Ligne_199.1.34_PPD</v>
          </cell>
          <cell r="C767" t="str">
            <v>199.1.34</v>
          </cell>
          <cell r="E767" t="str">
            <v>Documentation pour produits électrotechniques (DD?)</v>
          </cell>
          <cell r="G767" t="str">
            <v>SPP INFORMATIQUE DE SECURITE</v>
          </cell>
          <cell r="I767" t="str">
            <v>D300</v>
          </cell>
          <cell r="J767" t="str">
            <v>UA</v>
          </cell>
          <cell r="K767" t="str">
            <v>D00053</v>
          </cell>
          <cell r="R767" t="str">
            <v>VPF</v>
          </cell>
          <cell r="S767" t="str">
            <v>AT</v>
          </cell>
          <cell r="T767" t="str">
            <v>EX</v>
          </cell>
          <cell r="U767" t="str">
            <v>W.BOSQUILLON</v>
          </cell>
          <cell r="AA767" t="str">
            <v>E</v>
          </cell>
          <cell r="AB767" t="str">
            <v>Mécanique</v>
          </cell>
          <cell r="AC767" t="str">
            <v>SME/EMR/EZ/ETS</v>
          </cell>
          <cell r="AD767" t="str">
            <v>ST ET.4-10546</v>
          </cell>
          <cell r="AE767" t="str">
            <v>Documentation relative à l’étude et à la réalisation de systèmes mécaniques, électrotechniques, pneumatiques et hydrauliques</v>
          </cell>
          <cell r="AF767" t="str">
            <v>3.1.2.1</v>
          </cell>
          <cell r="AI767">
            <v>1</v>
          </cell>
          <cell r="AP767" t="str">
            <v>FD</v>
          </cell>
          <cell r="CH767" t="e">
            <v>#N/A</v>
          </cell>
          <cell r="CI767" t="e">
            <v>#N/A</v>
          </cell>
          <cell r="CJ767" t="e">
            <v>#N/A</v>
          </cell>
        </row>
        <row r="768">
          <cell r="A768" t="str">
            <v>ADD0003308556</v>
          </cell>
          <cell r="B768" t="str">
            <v>Ligne_199.1.35_PPD</v>
          </cell>
          <cell r="C768" t="str">
            <v>199.1.35</v>
          </cell>
          <cell r="E768" t="str">
            <v>Documentation pour produits électrotechniques (DD?)</v>
          </cell>
          <cell r="G768" t="str">
            <v>SPP INFORMATION VOYAGEURS VIDEOPROTECTION</v>
          </cell>
          <cell r="I768" t="str">
            <v>D300</v>
          </cell>
          <cell r="J768" t="str">
            <v>UA</v>
          </cell>
          <cell r="K768" t="str">
            <v>D00053</v>
          </cell>
          <cell r="R768" t="str">
            <v>VPF</v>
          </cell>
          <cell r="S768" t="str">
            <v>AT</v>
          </cell>
          <cell r="T768" t="str">
            <v>EX</v>
          </cell>
          <cell r="U768" t="str">
            <v>W.BOSQUILLON</v>
          </cell>
          <cell r="AA768" t="str">
            <v>E</v>
          </cell>
          <cell r="AB768" t="str">
            <v>Mécanique</v>
          </cell>
          <cell r="AC768" t="str">
            <v>SME/EMR/EZ/ETS</v>
          </cell>
          <cell r="AD768" t="str">
            <v>ST ET.4-10546</v>
          </cell>
          <cell r="AE768" t="str">
            <v>Documentation relative à l’étude et à la réalisation de systèmes mécaniques, électrotechniques, pneumatiques et hydrauliques</v>
          </cell>
          <cell r="AF768" t="str">
            <v>3.1.2.1</v>
          </cell>
          <cell r="AI768">
            <v>1</v>
          </cell>
          <cell r="AP768" t="str">
            <v>FD</v>
          </cell>
          <cell r="CH768" t="e">
            <v>#N/A</v>
          </cell>
          <cell r="CI768" t="e">
            <v>#N/A</v>
          </cell>
          <cell r="CJ768" t="e">
            <v>#N/A</v>
          </cell>
        </row>
        <row r="769">
          <cell r="A769" t="str">
            <v>ADD0003308557</v>
          </cell>
          <cell r="B769" t="str">
            <v>Ligne_199.1.36_PPD</v>
          </cell>
          <cell r="C769" t="str">
            <v>199.1.36</v>
          </cell>
          <cell r="E769" t="str">
            <v>Documentation pour produits électrotechniques (DD?)</v>
          </cell>
          <cell r="G769" t="str">
            <v>SPP RESEAU PUBLICITAIRE</v>
          </cell>
          <cell r="I769" t="str">
            <v>D300</v>
          </cell>
          <cell r="J769" t="str">
            <v>UA</v>
          </cell>
          <cell r="K769" t="str">
            <v>D00053</v>
          </cell>
          <cell r="R769" t="str">
            <v>VPF</v>
          </cell>
          <cell r="S769" t="str">
            <v>AT</v>
          </cell>
          <cell r="T769" t="str">
            <v>EX</v>
          </cell>
          <cell r="U769" t="str">
            <v>W.BOSQUILLON</v>
          </cell>
          <cell r="AA769" t="str">
            <v>E</v>
          </cell>
          <cell r="AB769" t="str">
            <v>Mécanique</v>
          </cell>
          <cell r="AC769" t="str">
            <v>SME/EMR/EZ/ETS</v>
          </cell>
          <cell r="AD769" t="str">
            <v>ST ET.4-10546</v>
          </cell>
          <cell r="AE769" t="str">
            <v>Documentation relative à l’étude et à la réalisation de systèmes mécaniques, électrotechniques, pneumatiques et hydrauliques</v>
          </cell>
          <cell r="AF769" t="str">
            <v>3.1.2.1</v>
          </cell>
          <cell r="AI769">
            <v>1</v>
          </cell>
          <cell r="AP769" t="str">
            <v>FD</v>
          </cell>
          <cell r="CH769" t="e">
            <v>#N/A</v>
          </cell>
          <cell r="CI769" t="e">
            <v>#N/A</v>
          </cell>
          <cell r="CJ769" t="e">
            <v>#N/A</v>
          </cell>
        </row>
        <row r="770">
          <cell r="A770" t="str">
            <v>ADD0003308558</v>
          </cell>
          <cell r="B770" t="str">
            <v>Ligne_199.1.37_PPD</v>
          </cell>
          <cell r="C770" t="str">
            <v>199.1.37</v>
          </cell>
          <cell r="E770" t="str">
            <v>Documentation pour produits électrotechniques (DD?)</v>
          </cell>
          <cell r="G770" t="str">
            <v>SPP PREPARATION MATERIEL REVEIL-SOMMEIL</v>
          </cell>
          <cell r="I770" t="str">
            <v>D300</v>
          </cell>
          <cell r="J770" t="str">
            <v>UA</v>
          </cell>
          <cell r="K770" t="str">
            <v>D00053</v>
          </cell>
          <cell r="R770" t="str">
            <v>VPF</v>
          </cell>
          <cell r="S770" t="str">
            <v>AT</v>
          </cell>
          <cell r="T770" t="str">
            <v>EX</v>
          </cell>
          <cell r="U770" t="str">
            <v>W.BOSQUILLON</v>
          </cell>
          <cell r="AA770" t="str">
            <v>E</v>
          </cell>
          <cell r="AB770" t="str">
            <v>Mécanique</v>
          </cell>
          <cell r="AC770" t="str">
            <v>SME/EMR/EZ/ETS</v>
          </cell>
          <cell r="AD770" t="str">
            <v>ST ET.4-10546</v>
          </cell>
          <cell r="AE770" t="str">
            <v>Documentation relative à l’étude et à la réalisation de systèmes mécaniques, électrotechniques, pneumatiques et hydrauliques</v>
          </cell>
          <cell r="AF770" t="str">
            <v>3.1.2.1</v>
          </cell>
          <cell r="AI770">
            <v>1</v>
          </cell>
          <cell r="AP770" t="str">
            <v>FD</v>
          </cell>
          <cell r="CH770" t="e">
            <v>#N/A</v>
          </cell>
          <cell r="CI770" t="e">
            <v>#N/A</v>
          </cell>
          <cell r="CJ770" t="e">
            <v>#N/A</v>
          </cell>
        </row>
        <row r="771">
          <cell r="A771" t="str">
            <v>ADD0003308559</v>
          </cell>
          <cell r="B771" t="str">
            <v>Ligne_199.1.38_PPD</v>
          </cell>
          <cell r="C771" t="str">
            <v>199.1.38</v>
          </cell>
          <cell r="E771" t="str">
            <v>Documentation pour produits électrotechniques (DD?)</v>
          </cell>
          <cell r="G771" t="str">
            <v>SPP NEUTRALISATION CABINE DE CONDUITE</v>
          </cell>
          <cell r="I771" t="str">
            <v>D300</v>
          </cell>
          <cell r="J771" t="str">
            <v>UA</v>
          </cell>
          <cell r="K771" t="str">
            <v>D00053</v>
          </cell>
          <cell r="R771" t="str">
            <v>VPF</v>
          </cell>
          <cell r="S771" t="str">
            <v>AT</v>
          </cell>
          <cell r="T771" t="str">
            <v>EX</v>
          </cell>
          <cell r="U771" t="str">
            <v>W.BOSQUILLON</v>
          </cell>
          <cell r="AA771" t="str">
            <v>E</v>
          </cell>
          <cell r="AB771" t="str">
            <v>Mécanique</v>
          </cell>
          <cell r="AC771" t="str">
            <v>SME/EMR/EZ/ETS</v>
          </cell>
          <cell r="AD771" t="str">
            <v>ST ET.4-10546</v>
          </cell>
          <cell r="AE771" t="str">
            <v>Documentation relative à l’étude et à la réalisation de systèmes mécaniques, électrotechniques, pneumatiques et hydrauliques</v>
          </cell>
          <cell r="AF771" t="str">
            <v>3.1.2.1</v>
          </cell>
          <cell r="AI771">
            <v>1</v>
          </cell>
          <cell r="AP771" t="str">
            <v>FD</v>
          </cell>
          <cell r="CH771" t="e">
            <v>#N/A</v>
          </cell>
          <cell r="CI771" t="e">
            <v>#N/A</v>
          </cell>
          <cell r="CJ771" t="e">
            <v>#N/A</v>
          </cell>
        </row>
        <row r="772">
          <cell r="A772" t="str">
            <v>ADD0003308560</v>
          </cell>
          <cell r="B772" t="str">
            <v>Ligne_199.1.39_PPD</v>
          </cell>
          <cell r="C772" t="str">
            <v>199.1.39</v>
          </cell>
          <cell r="E772" t="str">
            <v>Documentation pour produits électrotechniques (DD?)</v>
          </cell>
          <cell r="G772" t="str">
            <v>SPP VACMA ET RPS-MESURE DE VITESSE -CC</v>
          </cell>
          <cell r="I772" t="str">
            <v>D300</v>
          </cell>
          <cell r="J772" t="str">
            <v>UA</v>
          </cell>
          <cell r="K772" t="str">
            <v>D00053</v>
          </cell>
          <cell r="R772" t="str">
            <v>VPF</v>
          </cell>
          <cell r="S772" t="str">
            <v>AT</v>
          </cell>
          <cell r="T772" t="str">
            <v>EX</v>
          </cell>
          <cell r="U772" t="str">
            <v>W.BOSQUILLON</v>
          </cell>
          <cell r="AA772" t="str">
            <v>E</v>
          </cell>
          <cell r="AB772" t="str">
            <v>Mécanique</v>
          </cell>
          <cell r="AC772" t="str">
            <v>SME/EMR/EZ/ETS</v>
          </cell>
          <cell r="AD772" t="str">
            <v>ST ET.4-10546</v>
          </cell>
          <cell r="AE772" t="str">
            <v>Documentation relative à l’étude et à la réalisation de systèmes mécaniques, électrotechniques, pneumatiques et hydrauliques</v>
          </cell>
          <cell r="AF772" t="str">
            <v>3.1.2.1</v>
          </cell>
          <cell r="AI772">
            <v>1</v>
          </cell>
          <cell r="AP772" t="str">
            <v>FD</v>
          </cell>
          <cell r="CH772" t="e">
            <v>#N/A</v>
          </cell>
          <cell r="CI772" t="e">
            <v>#N/A</v>
          </cell>
          <cell r="CJ772" t="e">
            <v>#N/A</v>
          </cell>
        </row>
        <row r="773">
          <cell r="A773" t="str">
            <v>ADD0003308561</v>
          </cell>
          <cell r="B773" t="str">
            <v>Ligne_199.1.40_PPD</v>
          </cell>
          <cell r="C773" t="str">
            <v>199.1.40</v>
          </cell>
          <cell r="E773" t="str">
            <v>Documentation pour produits électrotechniques (DD?)</v>
          </cell>
          <cell r="G773" t="str">
            <v>SPP VACMA ET RPS-MESURE DE VITESSE -CA</v>
          </cell>
          <cell r="I773" t="str">
            <v>D300</v>
          </cell>
          <cell r="J773" t="str">
            <v>UA</v>
          </cell>
          <cell r="K773" t="str">
            <v>D00053</v>
          </cell>
          <cell r="R773" t="str">
            <v>VPF</v>
          </cell>
          <cell r="S773" t="str">
            <v>AT</v>
          </cell>
          <cell r="T773" t="str">
            <v>EX</v>
          </cell>
          <cell r="U773" t="str">
            <v>W.BOSQUILLON</v>
          </cell>
          <cell r="AA773" t="str">
            <v>E</v>
          </cell>
          <cell r="AB773" t="str">
            <v>Mécanique</v>
          </cell>
          <cell r="AC773" t="str">
            <v>SME/EMR/EZ/ETS</v>
          </cell>
          <cell r="AD773" t="str">
            <v>ST ET.4-10546</v>
          </cell>
          <cell r="AE773" t="str">
            <v>Documentation relative à l’étude et à la réalisation de systèmes mécaniques, électrotechniques, pneumatiques et hydrauliques</v>
          </cell>
          <cell r="AF773" t="str">
            <v>3.1.2.1</v>
          </cell>
          <cell r="AI773">
            <v>1</v>
          </cell>
          <cell r="AP773" t="str">
            <v>FD</v>
          </cell>
          <cell r="CH773" t="e">
            <v>#N/A</v>
          </cell>
          <cell r="CI773" t="e">
            <v>#N/A</v>
          </cell>
          <cell r="CJ773" t="e">
            <v>#N/A</v>
          </cell>
        </row>
        <row r="774">
          <cell r="A774" t="str">
            <v>ADD0003308562</v>
          </cell>
          <cell r="B774" t="str">
            <v>Ligne_199.1.41_PPD</v>
          </cell>
          <cell r="C774" t="str">
            <v>199.1.41</v>
          </cell>
          <cell r="E774" t="str">
            <v>Documentation pour produits électrotechniques (DD?)</v>
          </cell>
          <cell r="G774" t="str">
            <v>SPP REPOSE PIED</v>
          </cell>
          <cell r="I774" t="str">
            <v>D300</v>
          </cell>
          <cell r="J774" t="str">
            <v>UA</v>
          </cell>
          <cell r="K774" t="str">
            <v>D00053</v>
          </cell>
          <cell r="R774" t="str">
            <v>VPF</v>
          </cell>
          <cell r="S774" t="str">
            <v>AT</v>
          </cell>
          <cell r="T774" t="str">
            <v>EX</v>
          </cell>
          <cell r="U774" t="str">
            <v>W.BOSQUILLON</v>
          </cell>
          <cell r="AA774" t="str">
            <v>E</v>
          </cell>
          <cell r="AB774" t="str">
            <v>Mécanique</v>
          </cell>
          <cell r="AC774" t="str">
            <v>SME/EMR/EZ/ETS</v>
          </cell>
          <cell r="AD774" t="str">
            <v>ST ET.4-10546</v>
          </cell>
          <cell r="AE774" t="str">
            <v>Documentation relative à l’étude et à la réalisation de systèmes mécaniques, électrotechniques, pneumatiques et hydrauliques</v>
          </cell>
          <cell r="AF774" t="str">
            <v>3.1.2.1</v>
          </cell>
          <cell r="AI774">
            <v>1</v>
          </cell>
          <cell r="AP774" t="str">
            <v>FD</v>
          </cell>
          <cell r="CH774" t="e">
            <v>#N/A</v>
          </cell>
          <cell r="CI774" t="e">
            <v>#N/A</v>
          </cell>
          <cell r="CJ774" t="e">
            <v>#N/A</v>
          </cell>
        </row>
        <row r="775">
          <cell r="A775" t="str">
            <v>ADD0003308563</v>
          </cell>
          <cell r="B775" t="str">
            <v>Ligne_199.1.42_PPD</v>
          </cell>
          <cell r="C775" t="str">
            <v>199.1.42</v>
          </cell>
          <cell r="E775" t="str">
            <v>Documentation pour produits électrotechniques (DD?)</v>
          </cell>
          <cell r="G775" t="str">
            <v>SPP AVERTISSEUR SONORE</v>
          </cell>
          <cell r="I775" t="str">
            <v>D300</v>
          </cell>
          <cell r="J775" t="str">
            <v>UA</v>
          </cell>
          <cell r="K775" t="str">
            <v>D00053</v>
          </cell>
          <cell r="R775" t="str">
            <v>VPF</v>
          </cell>
          <cell r="S775" t="str">
            <v>AT</v>
          </cell>
          <cell r="T775" t="str">
            <v>EX</v>
          </cell>
          <cell r="U775" t="str">
            <v>W.BOSQUILLON</v>
          </cell>
          <cell r="AA775" t="str">
            <v>E</v>
          </cell>
          <cell r="AB775" t="str">
            <v>Mécanique</v>
          </cell>
          <cell r="AC775" t="str">
            <v>SME/EMR/EZ/ETS</v>
          </cell>
          <cell r="AD775" t="str">
            <v>ST ET.4-10546</v>
          </cell>
          <cell r="AE775" t="str">
            <v>Documentation relative à l’étude et à la réalisation de systèmes mécaniques, électrotechniques, pneumatiques et hydrauliques</v>
          </cell>
          <cell r="AF775" t="str">
            <v>3.1.2.1</v>
          </cell>
          <cell r="AI775">
            <v>1</v>
          </cell>
          <cell r="AP775" t="str">
            <v>FD</v>
          </cell>
          <cell r="CH775" t="e">
            <v>#N/A</v>
          </cell>
          <cell r="CI775" t="e">
            <v>#N/A</v>
          </cell>
          <cell r="CJ775" t="e">
            <v>#N/A</v>
          </cell>
        </row>
        <row r="776">
          <cell r="A776" t="str">
            <v>ADD0003308564</v>
          </cell>
          <cell r="B776" t="str">
            <v>Ligne_199.1.43_PPD</v>
          </cell>
          <cell r="C776" t="str">
            <v>199.1.43</v>
          </cell>
          <cell r="E776" t="str">
            <v>Documentation pour produits électrotechniques (DD?)</v>
          </cell>
          <cell r="G776" t="str">
            <v>SPP AUSCULTATION DES VOIES</v>
          </cell>
          <cell r="I776" t="str">
            <v>D300</v>
          </cell>
          <cell r="J776" t="str">
            <v>UA</v>
          </cell>
          <cell r="K776" t="str">
            <v>D00053</v>
          </cell>
          <cell r="R776" t="str">
            <v>VPF</v>
          </cell>
          <cell r="S776" t="str">
            <v>AT</v>
          </cell>
          <cell r="T776" t="str">
            <v>EX</v>
          </cell>
          <cell r="U776" t="str">
            <v>W.BOSQUILLON</v>
          </cell>
          <cell r="AA776" t="str">
            <v>E</v>
          </cell>
          <cell r="AB776" t="str">
            <v>Mécanique</v>
          </cell>
          <cell r="AC776" t="str">
            <v>SME/EMR/EZ/ETS</v>
          </cell>
          <cell r="AD776" t="str">
            <v>ST ET.4-10546</v>
          </cell>
          <cell r="AE776" t="str">
            <v>Documentation relative à l’étude et à la réalisation de systèmes mécaniques, électrotechniques, pneumatiques et hydrauliques</v>
          </cell>
          <cell r="AF776" t="str">
            <v>3.1.2.1</v>
          </cell>
          <cell r="AI776">
            <v>1</v>
          </cell>
          <cell r="AP776" t="str">
            <v>FD</v>
          </cell>
          <cell r="CH776" t="e">
            <v>#N/A</v>
          </cell>
          <cell r="CI776" t="e">
            <v>#N/A</v>
          </cell>
          <cell r="CJ776" t="e">
            <v>#N/A</v>
          </cell>
        </row>
        <row r="777">
          <cell r="A777" t="str">
            <v>ADD0003308565</v>
          </cell>
          <cell r="B777" t="str">
            <v>Ligne_199.1.44_PPD</v>
          </cell>
          <cell r="C777" t="str">
            <v>199.1.44</v>
          </cell>
          <cell r="E777" t="str">
            <v>Documentation pour produits électrotechniques (DD?)</v>
          </cell>
          <cell r="G777" t="str">
            <v>SPP SIGNALISATION EXTERIEUR</v>
          </cell>
          <cell r="I777" t="str">
            <v>D300</v>
          </cell>
          <cell r="J777" t="str">
            <v>UA</v>
          </cell>
          <cell r="K777" t="str">
            <v>D00053</v>
          </cell>
          <cell r="R777" t="str">
            <v>VPF</v>
          </cell>
          <cell r="S777" t="str">
            <v>AT</v>
          </cell>
          <cell r="T777" t="str">
            <v>EX</v>
          </cell>
          <cell r="U777" t="str">
            <v>W.BOSQUILLON</v>
          </cell>
          <cell r="AA777" t="str">
            <v>E</v>
          </cell>
          <cell r="AB777" t="str">
            <v>Mécanique</v>
          </cell>
          <cell r="AC777" t="str">
            <v>SME/EMR/EZ/ETS</v>
          </cell>
          <cell r="AD777" t="str">
            <v>ST ET.4-10546</v>
          </cell>
          <cell r="AE777" t="str">
            <v>Documentation relative à l’étude et à la réalisation de systèmes mécaniques, électrotechniques, pneumatiques et hydrauliques</v>
          </cell>
          <cell r="AF777" t="str">
            <v>3.1.2.1</v>
          </cell>
          <cell r="AI777">
            <v>1</v>
          </cell>
          <cell r="AP777" t="str">
            <v>FD</v>
          </cell>
          <cell r="CH777" t="e">
            <v>#N/A</v>
          </cell>
          <cell r="CI777" t="e">
            <v>#N/A</v>
          </cell>
          <cell r="CJ777" t="e">
            <v>#N/A</v>
          </cell>
        </row>
        <row r="778">
          <cell r="A778" t="str">
            <v>ADD0003308566</v>
          </cell>
          <cell r="B778" t="str">
            <v>Ligne_199.1.45_PPD</v>
          </cell>
          <cell r="C778" t="str">
            <v>199.1.45</v>
          </cell>
          <cell r="E778" t="str">
            <v>Documentation pour produits électrotechniques (DD?)</v>
          </cell>
          <cell r="G778" t="str">
            <v>SPP COMMUNICATION BORD-SOL</v>
          </cell>
          <cell r="I778" t="str">
            <v>D300</v>
          </cell>
          <cell r="J778" t="str">
            <v>UA</v>
          </cell>
          <cell r="K778" t="str">
            <v>D00053</v>
          </cell>
          <cell r="R778" t="str">
            <v>VPF</v>
          </cell>
          <cell r="S778" t="str">
            <v>AT</v>
          </cell>
          <cell r="T778" t="str">
            <v>EX</v>
          </cell>
          <cell r="U778" t="str">
            <v>W.BOSQUILLON</v>
          </cell>
          <cell r="AA778" t="str">
            <v>E</v>
          </cell>
          <cell r="AB778" t="str">
            <v>Mécanique</v>
          </cell>
          <cell r="AC778" t="str">
            <v>SME/EMR/EZ/ETS</v>
          </cell>
          <cell r="AD778" t="str">
            <v>ST ET.4-10546</v>
          </cell>
          <cell r="AE778" t="str">
            <v>Documentation relative à l’étude et à la réalisation de systèmes mécaniques, électrotechniques, pneumatiques et hydrauliques</v>
          </cell>
          <cell r="AF778" t="str">
            <v>3.1.2.1</v>
          </cell>
          <cell r="AI778">
            <v>1</v>
          </cell>
          <cell r="AP778" t="str">
            <v>FD</v>
          </cell>
          <cell r="CH778" t="e">
            <v>#N/A</v>
          </cell>
          <cell r="CI778" t="e">
            <v>#N/A</v>
          </cell>
          <cell r="CJ778" t="e">
            <v>#N/A</v>
          </cell>
        </row>
        <row r="779">
          <cell r="A779" t="str">
            <v>ADD0003308567</v>
          </cell>
          <cell r="B779" t="str">
            <v>Ligne_199.1.46_PPD</v>
          </cell>
          <cell r="C779" t="str">
            <v>199.1.46</v>
          </cell>
          <cell r="E779" t="str">
            <v>Documentation pour produits électrotechniques (DD?)</v>
          </cell>
          <cell r="G779" t="str">
            <v>SPP ALIMENTATION ET ISOLEMENT CBTC</v>
          </cell>
          <cell r="I779" t="str">
            <v>D300</v>
          </cell>
          <cell r="J779" t="str">
            <v>UA</v>
          </cell>
          <cell r="K779" t="str">
            <v>D00053</v>
          </cell>
          <cell r="R779" t="str">
            <v>VPF</v>
          </cell>
          <cell r="S779" t="str">
            <v>AT</v>
          </cell>
          <cell r="T779" t="str">
            <v>EX</v>
          </cell>
          <cell r="U779" t="str">
            <v>W.BOSQUILLON</v>
          </cell>
          <cell r="AA779" t="str">
            <v>E</v>
          </cell>
          <cell r="AB779" t="str">
            <v>Mécanique</v>
          </cell>
          <cell r="AC779" t="str">
            <v>SME/EMR/EZ/ETS</v>
          </cell>
          <cell r="AD779" t="str">
            <v>ST ET.4-10546</v>
          </cell>
          <cell r="AE779" t="str">
            <v>Documentation relative à l’étude et à la réalisation de systèmes mécaniques, électrotechniques, pneumatiques et hydrauliques</v>
          </cell>
          <cell r="AF779" t="str">
            <v>3.1.2.1</v>
          </cell>
          <cell r="AI779">
            <v>1</v>
          </cell>
          <cell r="AP779" t="str">
            <v>FD</v>
          </cell>
          <cell r="CH779" t="e">
            <v>#N/A</v>
          </cell>
          <cell r="CI779" t="e">
            <v>#N/A</v>
          </cell>
          <cell r="CJ779" t="e">
            <v>#N/A</v>
          </cell>
        </row>
        <row r="780">
          <cell r="A780" t="str">
            <v>ADD0003308568</v>
          </cell>
          <cell r="B780" t="str">
            <v>Ligne_199.1.47_PPD</v>
          </cell>
          <cell r="C780" t="str">
            <v>199.1.47</v>
          </cell>
          <cell r="E780" t="str">
            <v>Documentation pour produits électrotechniques (DD?)</v>
          </cell>
          <cell r="G780" t="str">
            <v>SPP RESEAU CBTC</v>
          </cell>
          <cell r="I780" t="str">
            <v>D300</v>
          </cell>
          <cell r="J780" t="str">
            <v>UA</v>
          </cell>
          <cell r="K780" t="str">
            <v>D00053</v>
          </cell>
          <cell r="R780" t="str">
            <v>VPF</v>
          </cell>
          <cell r="S780" t="str">
            <v>AT</v>
          </cell>
          <cell r="T780" t="str">
            <v>EX</v>
          </cell>
          <cell r="U780" t="str">
            <v>W.BOSQUILLON</v>
          </cell>
          <cell r="AA780" t="str">
            <v>E</v>
          </cell>
          <cell r="AB780" t="str">
            <v>Mécanique</v>
          </cell>
          <cell r="AC780" t="str">
            <v>SME/EMR/EZ/ETS</v>
          </cell>
          <cell r="AD780" t="str">
            <v>ST ET.4-10546</v>
          </cell>
          <cell r="AE780" t="str">
            <v>Documentation relative à l’étude et à la réalisation de systèmes mécaniques, électrotechniques, pneumatiques et hydrauliques</v>
          </cell>
          <cell r="AF780" t="str">
            <v>3.1.2.1</v>
          </cell>
          <cell r="AI780">
            <v>1</v>
          </cell>
          <cell r="AP780" t="str">
            <v>FD</v>
          </cell>
          <cell r="CH780" t="e">
            <v>#N/A</v>
          </cell>
          <cell r="CI780" t="e">
            <v>#N/A</v>
          </cell>
          <cell r="CJ780" t="e">
            <v>#N/A</v>
          </cell>
        </row>
        <row r="781">
          <cell r="A781" t="str">
            <v>ADD0003308569</v>
          </cell>
          <cell r="B781" t="str">
            <v>Ligne_199.1.48_PPD</v>
          </cell>
          <cell r="C781" t="str">
            <v>199.1.48</v>
          </cell>
          <cell r="E781" t="str">
            <v>Documentation pour produits électrotechniques (DD?)</v>
          </cell>
          <cell r="G781" t="str">
            <v>SPP RPS ROUE PHONIQUE ANBAL</v>
          </cell>
          <cell r="I781" t="str">
            <v>D300</v>
          </cell>
          <cell r="J781" t="str">
            <v>UA</v>
          </cell>
          <cell r="K781" t="str">
            <v>D00053</v>
          </cell>
          <cell r="R781" t="str">
            <v>VPF</v>
          </cell>
          <cell r="S781" t="str">
            <v>AT</v>
          </cell>
          <cell r="T781" t="str">
            <v>EX</v>
          </cell>
          <cell r="U781" t="str">
            <v>W.BOSQUILLON</v>
          </cell>
          <cell r="AA781" t="str">
            <v>E</v>
          </cell>
          <cell r="AB781" t="str">
            <v>Mécanique</v>
          </cell>
          <cell r="AC781" t="str">
            <v>SME/EMR/EZ/ETS</v>
          </cell>
          <cell r="AD781" t="str">
            <v>ST ET.4-10546</v>
          </cell>
          <cell r="AE781" t="str">
            <v>Documentation relative à l’étude et à la réalisation de systèmes mécaniques, électrotechniques, pneumatiques et hydrauliques</v>
          </cell>
          <cell r="AF781" t="str">
            <v>3.1.2.1</v>
          </cell>
          <cell r="AI781">
            <v>1</v>
          </cell>
          <cell r="AP781" t="str">
            <v>FD</v>
          </cell>
          <cell r="CH781" t="e">
            <v>#N/A</v>
          </cell>
          <cell r="CI781" t="e">
            <v>#N/A</v>
          </cell>
          <cell r="CJ781" t="e">
            <v>#N/A</v>
          </cell>
        </row>
        <row r="782">
          <cell r="A782" t="str">
            <v>ADD0003308570</v>
          </cell>
          <cell r="B782" t="str">
            <v>Ligne_199.1.49_PPD</v>
          </cell>
          <cell r="C782" t="str">
            <v>199.1.49</v>
          </cell>
          <cell r="E782" t="str">
            <v>Documentation pour produits électrotechniques (DD?)</v>
          </cell>
          <cell r="G782" t="str">
            <v>SPP INTEGRITE TRAIN</v>
          </cell>
          <cell r="I782" t="str">
            <v>D300</v>
          </cell>
          <cell r="J782" t="str">
            <v>UA</v>
          </cell>
          <cell r="K782" t="str">
            <v>D00053</v>
          </cell>
          <cell r="R782" t="str">
            <v>VPF</v>
          </cell>
          <cell r="S782" t="str">
            <v>AT</v>
          </cell>
          <cell r="T782" t="str">
            <v>EX</v>
          </cell>
          <cell r="U782" t="str">
            <v>W.BOSQUILLON</v>
          </cell>
          <cell r="AA782" t="str">
            <v>E</v>
          </cell>
          <cell r="AB782" t="str">
            <v>Mécanique</v>
          </cell>
          <cell r="AC782" t="str">
            <v>SME/EMR/EZ/ETS</v>
          </cell>
          <cell r="AD782" t="str">
            <v>ST ET.4-10546</v>
          </cell>
          <cell r="AE782" t="str">
            <v>Documentation relative à l’étude et à la réalisation de systèmes mécaniques, électrotechniques, pneumatiques et hydrauliques</v>
          </cell>
          <cell r="AF782" t="str">
            <v>3.1.2.1</v>
          </cell>
          <cell r="AI782">
            <v>1</v>
          </cell>
          <cell r="AP782" t="str">
            <v>FD</v>
          </cell>
          <cell r="CH782" t="e">
            <v>#N/A</v>
          </cell>
          <cell r="CI782" t="e">
            <v>#N/A</v>
          </cell>
          <cell r="CJ782" t="e">
            <v>#N/A</v>
          </cell>
        </row>
        <row r="783">
          <cell r="A783" t="str">
            <v>ADD0003308571</v>
          </cell>
          <cell r="B783" t="str">
            <v>Ligne_199.1.50_PPD</v>
          </cell>
          <cell r="C783" t="str">
            <v>199.1.50</v>
          </cell>
          <cell r="E783" t="str">
            <v>Documentation pour produits électrotechniques (DD?)</v>
          </cell>
          <cell r="G783" t="str">
            <v>SPP ACTIVATION CBTC</v>
          </cell>
          <cell r="I783" t="str">
            <v>D300</v>
          </cell>
          <cell r="J783" t="str">
            <v>UA</v>
          </cell>
          <cell r="K783" t="str">
            <v>D00053</v>
          </cell>
          <cell r="R783" t="str">
            <v>VPF</v>
          </cell>
          <cell r="S783" t="str">
            <v>AT</v>
          </cell>
          <cell r="T783" t="str">
            <v>EX</v>
          </cell>
          <cell r="U783" t="str">
            <v>W.BOSQUILLON</v>
          </cell>
          <cell r="AA783" t="str">
            <v>E</v>
          </cell>
          <cell r="AB783" t="str">
            <v>Mécanique</v>
          </cell>
          <cell r="AC783" t="str">
            <v>SME/EMR/EZ/ETS</v>
          </cell>
          <cell r="AD783" t="str">
            <v>ST ET.4-10546</v>
          </cell>
          <cell r="AE783" t="str">
            <v>Documentation relative à l’étude et à la réalisation de systèmes mécaniques, électrotechniques, pneumatiques et hydrauliques</v>
          </cell>
          <cell r="AF783" t="str">
            <v>3.1.2.1</v>
          </cell>
          <cell r="AI783">
            <v>1</v>
          </cell>
          <cell r="AP783" t="str">
            <v>FD</v>
          </cell>
          <cell r="CH783" t="e">
            <v>#N/A</v>
          </cell>
          <cell r="CI783" t="e">
            <v>#N/A</v>
          </cell>
          <cell r="CJ783" t="e">
            <v>#N/A</v>
          </cell>
        </row>
        <row r="784">
          <cell r="B784" t="str">
            <v>Ligne_199.2_PPD</v>
          </cell>
          <cell r="C784" t="str">
            <v>199.2</v>
          </cell>
          <cell r="E784" t="str">
            <v>Documentation pour produits électrotechniques (DD?)</v>
          </cell>
          <cell r="G784" t="str">
            <v>Schéma de dépannage</v>
          </cell>
          <cell r="R784" t="str">
            <v>VPF</v>
          </cell>
          <cell r="S784" t="str">
            <v>AT</v>
          </cell>
          <cell r="T784" t="str">
            <v>EX</v>
          </cell>
          <cell r="U784" t="str">
            <v>W.BOSQUILLON</v>
          </cell>
          <cell r="AA784" t="str">
            <v>E</v>
          </cell>
          <cell r="AB784" t="str">
            <v>Mécanique</v>
          </cell>
          <cell r="AC784" t="str">
            <v>SME/EMR/EZ/ETS</v>
          </cell>
          <cell r="AD784" t="str">
            <v>ST ET.4-10546</v>
          </cell>
          <cell r="AE784" t="str">
            <v>Documentation relative à l’étude et à la réalisation de systèmes mécaniques, électrotechniques, pneumatiques et hydrauliques</v>
          </cell>
          <cell r="AF784" t="str">
            <v>3.1.2.2</v>
          </cell>
          <cell r="AI784" t="str">
            <v>à décomposer</v>
          </cell>
          <cell r="AP784" t="str">
            <v>FD</v>
          </cell>
          <cell r="CH784" t="e">
            <v>#N/A</v>
          </cell>
          <cell r="CI784" t="e">
            <v>#N/A</v>
          </cell>
          <cell r="CJ784" t="e">
            <v>#N/A</v>
          </cell>
        </row>
        <row r="785">
          <cell r="B785" t="str">
            <v>Ligne_199.3_PPD</v>
          </cell>
          <cell r="C785" t="str">
            <v>199.3</v>
          </cell>
          <cell r="E785" t="str">
            <v>Documentation pour produits électrotechniques (DD?)</v>
          </cell>
          <cell r="G785" t="str">
            <v>Listing de câblage</v>
          </cell>
          <cell r="R785" t="str">
            <v>COE</v>
          </cell>
          <cell r="S785" t="str">
            <v>AT</v>
          </cell>
          <cell r="T785" t="str">
            <v>EX</v>
          </cell>
          <cell r="U785" t="str">
            <v>W.BOSQUILLON</v>
          </cell>
          <cell r="AA785" t="str">
            <v>E</v>
          </cell>
          <cell r="AB785" t="str">
            <v>Mécanique</v>
          </cell>
          <cell r="AC785" t="str">
            <v>SME / EMR / EZ</v>
          </cell>
          <cell r="AD785" t="str">
            <v>ST ET.4-10546</v>
          </cell>
          <cell r="AE785" t="str">
            <v>Documentation relative à l’étude et à la réalisation de systèmes mécaniques, électrotechniques, pneumatiques et hydrauliques</v>
          </cell>
          <cell r="AF785" t="str">
            <v>3.1.2.3</v>
          </cell>
          <cell r="AI785" t="str">
            <v>à décomposer</v>
          </cell>
          <cell r="AP785" t="str">
            <v>FD</v>
          </cell>
          <cell r="CH785" t="e">
            <v>#N/A</v>
          </cell>
          <cell r="CI785" t="e">
            <v>#N/A</v>
          </cell>
          <cell r="CJ785" t="e">
            <v>#N/A</v>
          </cell>
        </row>
        <row r="786">
          <cell r="B786" t="str">
            <v>Ligne_199.4_PPD</v>
          </cell>
          <cell r="C786" t="str">
            <v>199.4</v>
          </cell>
          <cell r="E786" t="str">
            <v>Documentation pour produits électrotechniques (DD?)</v>
          </cell>
          <cell r="G786" t="str">
            <v>Plans de gainage / toronnage et plan de cheminement du câblage interne</v>
          </cell>
          <cell r="R786" t="str">
            <v>COE</v>
          </cell>
          <cell r="S786" t="str">
            <v>AT</v>
          </cell>
          <cell r="T786" t="str">
            <v>EX</v>
          </cell>
          <cell r="U786" t="str">
            <v>W.BOSQUILLON</v>
          </cell>
          <cell r="AA786" t="str">
            <v>E</v>
          </cell>
          <cell r="AB786" t="str">
            <v>Mécanique</v>
          </cell>
          <cell r="AC786" t="str">
            <v>SME / EMR / EZ</v>
          </cell>
          <cell r="AD786" t="str">
            <v>ST ET.4-10546</v>
          </cell>
          <cell r="AE786" t="str">
            <v>Documentation relative à l’étude et à la réalisation de systèmes mécaniques, électrotechniques, pneumatiques et hydrauliques</v>
          </cell>
          <cell r="AF786" t="str">
            <v>3.1.2.4</v>
          </cell>
          <cell r="AI786" t="str">
            <v>à décomposer</v>
          </cell>
          <cell r="AP786" t="str">
            <v>FD</v>
          </cell>
          <cell r="CH786" t="e">
            <v>#N/A</v>
          </cell>
          <cell r="CI786" t="e">
            <v>#N/A</v>
          </cell>
          <cell r="CJ786" t="e">
            <v>#N/A</v>
          </cell>
        </row>
        <row r="787">
          <cell r="B787" t="str">
            <v>Ligne_199.5_PPD</v>
          </cell>
          <cell r="C787" t="str">
            <v>199.5</v>
          </cell>
          <cell r="E787" t="str">
            <v>Documentation pour produits électrotechniques (DD?)</v>
          </cell>
          <cell r="G787" t="str">
            <v>Plans des composants électrotechniques - Pièces catégorie A</v>
          </cell>
          <cell r="R787" t="str">
            <v>VPF</v>
          </cell>
          <cell r="S787" t="str">
            <v>AT</v>
          </cell>
          <cell r="T787" t="str">
            <v>EX</v>
          </cell>
          <cell r="U787" t="str">
            <v>W.BOSQUILLON</v>
          </cell>
          <cell r="AA787" t="str">
            <v>E</v>
          </cell>
          <cell r="AB787" t="str">
            <v>Mécanique</v>
          </cell>
          <cell r="AC787" t="str">
            <v>SME / EMR / EZ</v>
          </cell>
          <cell r="AD787" t="str">
            <v>ST ET.4-10546</v>
          </cell>
          <cell r="AE787" t="str">
            <v>Documentation relative à l’étude et à la réalisation de systèmes mécaniques, électrotechniques, pneumatiques et hydrauliques</v>
          </cell>
          <cell r="AF787" t="str">
            <v>3.1.2.5</v>
          </cell>
          <cell r="AG787" t="str">
            <v>Pièces critiques (ER3 ou ER4 / Nouveau fournisseur / Procédé spécial</v>
          </cell>
          <cell r="AI787" t="str">
            <v>à décomposer</v>
          </cell>
          <cell r="AP787" t="str">
            <v>FD</v>
          </cell>
          <cell r="CH787" t="e">
            <v>#N/A</v>
          </cell>
          <cell r="CI787" t="e">
            <v>#N/A</v>
          </cell>
          <cell r="CJ787" t="e">
            <v>#N/A</v>
          </cell>
        </row>
        <row r="788">
          <cell r="B788" t="str">
            <v>Ligne_199.6_PPD</v>
          </cell>
          <cell r="C788" t="str">
            <v>199.6</v>
          </cell>
          <cell r="E788" t="str">
            <v>Documentation pour produits électrotechniques (DD?)</v>
          </cell>
          <cell r="G788" t="str">
            <v>Plans des composants électrotechniques - Pièces catégorie B</v>
          </cell>
          <cell r="R788" t="str">
            <v>VPF</v>
          </cell>
          <cell r="S788" t="str">
            <v>AT</v>
          </cell>
          <cell r="T788" t="str">
            <v>EX</v>
          </cell>
          <cell r="U788" t="str">
            <v>W.BOSQUILLON</v>
          </cell>
          <cell r="AA788" t="str">
            <v>E</v>
          </cell>
          <cell r="AB788" t="str">
            <v>Mécanique</v>
          </cell>
          <cell r="AC788" t="str">
            <v>SME / EMR / EZ</v>
          </cell>
          <cell r="AD788" t="str">
            <v>ST ET.4-10546</v>
          </cell>
          <cell r="AE788" t="str">
            <v>Documentation relative à l’étude et à la réalisation de systèmes mécaniques, électrotechniques, pneumatiques et hydrauliques</v>
          </cell>
          <cell r="AF788" t="str">
            <v>3.1.2.5</v>
          </cell>
          <cell r="AG788" t="str">
            <v>Pièces non-critiques</v>
          </cell>
          <cell r="AI788" t="str">
            <v>à décomposer</v>
          </cell>
          <cell r="AP788" t="str">
            <v>FP</v>
          </cell>
          <cell r="AY788" t="str">
            <v>FD</v>
          </cell>
          <cell r="CH788" t="e">
            <v>#N/A</v>
          </cell>
          <cell r="CI788" t="e">
            <v>#N/A</v>
          </cell>
          <cell r="CJ788" t="e">
            <v>#N/A</v>
          </cell>
        </row>
        <row r="789">
          <cell r="B789" t="str">
            <v>Ligne_201_PPD</v>
          </cell>
          <cell r="C789">
            <v>201</v>
          </cell>
          <cell r="E789" t="str">
            <v>Programme d'essai  des mesures en ligne des contraintes et des fréquences d'excitation des structures.</v>
          </cell>
          <cell r="G789" t="str">
            <v/>
          </cell>
          <cell r="R789" t="str">
            <v>BT</v>
          </cell>
          <cell r="S789" t="str">
            <v>BT</v>
          </cell>
          <cell r="T789" t="str">
            <v>NA</v>
          </cell>
          <cell r="AA789" t="str">
            <v>E</v>
          </cell>
          <cell r="AB789" t="str">
            <v>Mécanique</v>
          </cell>
          <cell r="AC789" t="str">
            <v>EMR</v>
          </cell>
          <cell r="AD789" t="str">
            <v>ST EM.4-30021</v>
          </cell>
          <cell r="AE789" t="str">
            <v>Conception calcul et essais des structures du roulement MF19</v>
          </cell>
          <cell r="AF789">
            <v>6</v>
          </cell>
          <cell r="AI789">
            <v>1</v>
          </cell>
          <cell r="AQ789" t="str">
            <v>FD</v>
          </cell>
          <cell r="CH789" t="e">
            <v>#N/A</v>
          </cell>
          <cell r="CI789" t="e">
            <v>#N/A</v>
          </cell>
          <cell r="CJ789" t="e">
            <v>#N/A</v>
          </cell>
        </row>
        <row r="790">
          <cell r="B790" t="str">
            <v>Ligne_202_PPD</v>
          </cell>
          <cell r="C790">
            <v>202</v>
          </cell>
          <cell r="E790" t="str">
            <v>Programme d'essai de mesure de température du pont en ligne.</v>
          </cell>
          <cell r="G790" t="str">
            <v/>
          </cell>
          <cell r="R790" t="str">
            <v>BT</v>
          </cell>
          <cell r="S790" t="str">
            <v>BT</v>
          </cell>
          <cell r="T790" t="str">
            <v>EX</v>
          </cell>
          <cell r="U790" t="str">
            <v>Bogie</v>
          </cell>
          <cell r="AA790" t="str">
            <v>E</v>
          </cell>
          <cell r="AB790" t="str">
            <v>Mécanique</v>
          </cell>
          <cell r="AC790" t="str">
            <v>EMR</v>
          </cell>
          <cell r="AD790" t="str">
            <v>ST EM.4-70024</v>
          </cell>
          <cell r="AE790" t="str">
            <v>Roulement MF19</v>
          </cell>
          <cell r="AF790">
            <v>7</v>
          </cell>
          <cell r="AI790">
            <v>1</v>
          </cell>
          <cell r="AQ790" t="str">
            <v>FD</v>
          </cell>
          <cell r="CH790" t="e">
            <v>#N/A</v>
          </cell>
          <cell r="CI790" t="e">
            <v>#N/A</v>
          </cell>
          <cell r="CJ790" t="e">
            <v>#N/A</v>
          </cell>
        </row>
        <row r="791">
          <cell r="B791" t="str">
            <v>Ligne_203_PPD</v>
          </cell>
          <cell r="C791">
            <v>203</v>
          </cell>
          <cell r="E791" t="str">
            <v>Les programmes d'essais sur banc et en ligne des frotteurs positifs.</v>
          </cell>
          <cell r="G791" t="str">
            <v/>
          </cell>
          <cell r="R791" t="str">
            <v>BT</v>
          </cell>
          <cell r="S791" t="str">
            <v>BT</v>
          </cell>
          <cell r="T791" t="str">
            <v>EX</v>
          </cell>
          <cell r="U791" t="str">
            <v>Bogie</v>
          </cell>
          <cell r="AA791" t="str">
            <v>E</v>
          </cell>
          <cell r="AB791" t="str">
            <v>Mécanique</v>
          </cell>
          <cell r="AC791" t="str">
            <v>EMR</v>
          </cell>
          <cell r="AD791" t="str">
            <v>ST EM.4-70022</v>
          </cell>
          <cell r="AE791" t="str">
            <v>Capteurs de courant pour matériel roulant sur fer</v>
          </cell>
          <cell r="AF791" t="str">
            <v>7; 8</v>
          </cell>
          <cell r="AI791">
            <v>1</v>
          </cell>
          <cell r="AQ791" t="str">
            <v>FD</v>
          </cell>
          <cell r="CH791" t="e">
            <v>#N/A</v>
          </cell>
          <cell r="CI791" t="e">
            <v>#N/A</v>
          </cell>
          <cell r="CJ791" t="e">
            <v>#N/A</v>
          </cell>
        </row>
        <row r="792">
          <cell r="B792" t="str">
            <v>Ligne_204_PPD</v>
          </cell>
          <cell r="C792">
            <v>204</v>
          </cell>
          <cell r="E792" t="str">
            <v>Programme d'essais bruits et vibrations</v>
          </cell>
          <cell r="G792" t="str">
            <v/>
          </cell>
          <cell r="R792" t="str">
            <v>BT</v>
          </cell>
          <cell r="S792" t="str">
            <v>BT</v>
          </cell>
          <cell r="T792" t="str">
            <v>AT</v>
          </cell>
          <cell r="AA792" t="str">
            <v>E</v>
          </cell>
          <cell r="AB792" t="str">
            <v>Mécanique</v>
          </cell>
          <cell r="AC792" t="str">
            <v>EMR</v>
          </cell>
          <cell r="AD792" t="str">
            <v>ST EM.4-70048</v>
          </cell>
          <cell r="AE792" t="str">
            <v>Ambiance acoustique et vibratoire MF19</v>
          </cell>
          <cell r="AF792" t="str">
            <v>3.4.3 ; Annexe C</v>
          </cell>
          <cell r="AI792">
            <v>1</v>
          </cell>
          <cell r="AQ792" t="str">
            <v>FD</v>
          </cell>
          <cell r="CH792" t="e">
            <v>#N/A</v>
          </cell>
          <cell r="CI792" t="e">
            <v>#N/A</v>
          </cell>
          <cell r="CJ792" t="e">
            <v>#N/A</v>
          </cell>
        </row>
        <row r="793">
          <cell r="A793" t="str">
            <v>ADD0003308411</v>
          </cell>
          <cell r="B793" t="str">
            <v>Ligne_205_PPD</v>
          </cell>
          <cell r="C793">
            <v>205</v>
          </cell>
          <cell r="E793" t="str">
            <v>Engagement par écrit de la durée de vie minimum de la batterie.</v>
          </cell>
          <cell r="F793" t="str">
            <v>A</v>
          </cell>
          <cell r="G793" t="str">
            <v>HYPOTHESE DE DIMENSIONNEMENT DUREE DE VIE DE LA BATTERIE</v>
          </cell>
          <cell r="M793" t="str">
            <v>M-00_GENERALITES</v>
          </cell>
          <cell r="N793" t="str">
            <v>DJCC</v>
          </cell>
          <cell r="O793" t="str">
            <v>NC_NOTE DE CALCUL</v>
          </cell>
          <cell r="Q793">
            <v>0</v>
          </cell>
          <cell r="S793" t="str">
            <v>AT</v>
          </cell>
          <cell r="U793" t="str">
            <v>J.MALENGE</v>
          </cell>
          <cell r="V793" t="str">
            <v>ALSTOM</v>
          </cell>
          <cell r="W793" t="str">
            <v>N</v>
          </cell>
          <cell r="X793" t="str">
            <v>Document contractuel FP</v>
          </cell>
          <cell r="AA793" t="str">
            <v>E</v>
          </cell>
          <cell r="AB793" t="str">
            <v>Electrique</v>
          </cell>
          <cell r="AC793" t="str">
            <v>SME</v>
          </cell>
          <cell r="AD793" t="str">
            <v>ST EZ.4-05011</v>
          </cell>
          <cell r="AE793" t="str">
            <v>Batteries d'accumulateurs BT</v>
          </cell>
          <cell r="AF793" t="str">
            <v>3.2</v>
          </cell>
          <cell r="AI793">
            <v>1</v>
          </cell>
          <cell r="AJ793" t="str">
            <v>FP</v>
          </cell>
          <cell r="AU793" t="str">
            <v>FD</v>
          </cell>
          <cell r="CH793" t="str">
            <v>MF19_BORD_AT_00001</v>
          </cell>
          <cell r="CI793" t="str">
            <v>AR</v>
          </cell>
          <cell r="CJ793" t="str">
            <v>FP</v>
          </cell>
        </row>
        <row r="794">
          <cell r="B794" t="str">
            <v>Ligne_206_PPD</v>
          </cell>
          <cell r="C794">
            <v>206</v>
          </cell>
          <cell r="E794" t="str">
            <v>L'ensemble des documents (note, plans, notices, etc...) pour les batteries d'accumulateurs,</v>
          </cell>
          <cell r="G794" t="str">
            <v/>
          </cell>
          <cell r="S794" t="str">
            <v>AT</v>
          </cell>
          <cell r="AA794" t="str">
            <v>E</v>
          </cell>
          <cell r="AB794" t="str">
            <v>Electrique</v>
          </cell>
          <cell r="AC794" t="str">
            <v>SME</v>
          </cell>
          <cell r="AD794" t="str">
            <v>ST EZ.4-05011</v>
          </cell>
          <cell r="AE794" t="str">
            <v>Batteries d'accumulateurs BT</v>
          </cell>
          <cell r="AF794" t="str">
            <v>3.3 ; 3.5</v>
          </cell>
          <cell r="AI794">
            <v>30</v>
          </cell>
          <cell r="AP794" t="str">
            <v>FD</v>
          </cell>
          <cell r="CH794" t="e">
            <v>#N/A</v>
          </cell>
          <cell r="CI794" t="e">
            <v>#N/A</v>
          </cell>
          <cell r="CJ794" t="e">
            <v>#N/A</v>
          </cell>
        </row>
        <row r="795">
          <cell r="B795" t="str">
            <v>Ligne_207_PPD</v>
          </cell>
          <cell r="C795">
            <v>207</v>
          </cell>
          <cell r="E795" t="str">
            <v>La fiche de donnée de sécurité conforme avec la législation Française et relative à la batterie fournie.</v>
          </cell>
          <cell r="G795" t="str">
            <v/>
          </cell>
          <cell r="S795" t="str">
            <v>AT</v>
          </cell>
          <cell r="AA795" t="str">
            <v>E</v>
          </cell>
          <cell r="AB795" t="str">
            <v>Electrique</v>
          </cell>
          <cell r="AC795" t="str">
            <v>SME</v>
          </cell>
          <cell r="AD795" t="str">
            <v>ST EZ.4-05011</v>
          </cell>
          <cell r="AE795" t="str">
            <v>Batteries d'accumulateurs BT</v>
          </cell>
          <cell r="AF795" t="str">
            <v>4.2</v>
          </cell>
          <cell r="AI795">
            <v>1</v>
          </cell>
          <cell r="AP795" t="str">
            <v>FD</v>
          </cell>
          <cell r="CH795" t="e">
            <v>#N/A</v>
          </cell>
          <cell r="CI795" t="e">
            <v>#N/A</v>
          </cell>
          <cell r="CJ795" t="e">
            <v>#N/A</v>
          </cell>
        </row>
        <row r="796">
          <cell r="B796" t="str">
            <v>Ligne_208_PPD</v>
          </cell>
          <cell r="C796">
            <v>208</v>
          </cell>
          <cell r="E796" t="str">
            <v>un PAQ (Plan Assurance Qualité niveau ISO 9002) et un plan de contrôle.</v>
          </cell>
          <cell r="G796" t="str">
            <v>à lier à la spec de management pour chacun des produits de la LCPF (doublon avec PAQ 272)</v>
          </cell>
          <cell r="S796" t="str">
            <v>AT</v>
          </cell>
          <cell r="U796" t="str">
            <v>L.FREMY</v>
          </cell>
          <cell r="AA796" t="str">
            <v>E</v>
          </cell>
          <cell r="AB796" t="str">
            <v>Electrique</v>
          </cell>
          <cell r="AC796" t="str">
            <v>SME</v>
          </cell>
          <cell r="AD796" t="str">
            <v>ST EZ.4-05011</v>
          </cell>
          <cell r="AE796" t="str">
            <v>Batteries d'accumulateurs BT</v>
          </cell>
          <cell r="AF796" t="str">
            <v>5.1</v>
          </cell>
          <cell r="AI796">
            <v>1</v>
          </cell>
          <cell r="AP796" t="str">
            <v>FD</v>
          </cell>
          <cell r="CH796" t="e">
            <v>#N/A</v>
          </cell>
          <cell r="CI796" t="e">
            <v>#N/A</v>
          </cell>
          <cell r="CJ796" t="e">
            <v>#N/A</v>
          </cell>
        </row>
        <row r="797">
          <cell r="B797" t="str">
            <v>Ligne_209_PPD</v>
          </cell>
          <cell r="C797">
            <v>209</v>
          </cell>
          <cell r="E797" t="str">
            <v>Dossier CEM : 
- le plan de mâitrise de la CEM (mise à jour du plan fourni à l'offre)
- la description du matériel et des élements affectant ses caractéristiques
- le plan de fréquence du matériel
- la disposition du cablage et du plan de masse sur le train ou les organes
- les résultats des calculs et des simulations 
demandés dans le paragraphe "Caractérisation du matériel roulant" et l'annexe c de la norme EN 50238 (Applications ferroviaires - compatibilité entre matériel roulant et systèmes de détection de train).</v>
          </cell>
          <cell r="G797" t="str">
            <v>LIVRABLE</v>
          </cell>
          <cell r="R797" t="str">
            <v>NA</v>
          </cell>
          <cell r="S797" t="str">
            <v>AT</v>
          </cell>
          <cell r="T797" t="str">
            <v>NA</v>
          </cell>
          <cell r="U797" t="str">
            <v>NA</v>
          </cell>
          <cell r="AA797" t="str">
            <v>E</v>
          </cell>
          <cell r="AB797" t="str">
            <v>Electrique</v>
          </cell>
          <cell r="AC797" t="str">
            <v>SME</v>
          </cell>
          <cell r="AD797" t="str">
            <v xml:space="preserve">SM ET.4-10639
ST EZ.4-20044 </v>
          </cell>
          <cell r="AE797" t="str">
            <v>Spécification de management MF19
Compatibilité électromagnétique interne et externe matériel roualnt</v>
          </cell>
          <cell r="AF797" t="str">
            <v>12
4.3</v>
          </cell>
          <cell r="AI797">
            <v>2</v>
          </cell>
          <cell r="AJ797" t="str">
            <v>FP</v>
          </cell>
          <cell r="AP797" t="str">
            <v>FD</v>
          </cell>
          <cell r="AQ797" t="str">
            <v>Maj</v>
          </cell>
          <cell r="CH797" t="e">
            <v>#N/A</v>
          </cell>
          <cell r="CI797" t="e">
            <v>#N/A</v>
          </cell>
          <cell r="CJ797" t="e">
            <v>#N/A</v>
          </cell>
        </row>
        <row r="798">
          <cell r="A798" t="str">
            <v>ADD0003308412</v>
          </cell>
          <cell r="B798" t="str">
            <v>Ligne_209.1_PPD</v>
          </cell>
          <cell r="C798" t="str">
            <v>209.1</v>
          </cell>
          <cell r="E798" t="str">
            <v>Dossier CEM : 
- le plan de mâitrise de la CEM (mise à jour du plan fourni à l'offre)
- la description du matériel et des élements affectant ses caractéristiques
- le plan de fréquence du matériel
- la disposition du cablage et du plan de masse sur le train ou les organes
- les résultats des calculs et des simulations 
demandés dans le paragraphe "Caractérisation du matériel roulant" et l'annexe c de la norme EN 50238 (Applications ferroviaires - compatibilité entre matériel roulant et systèmes de détection de train).</v>
          </cell>
          <cell r="F798" t="str">
            <v>A</v>
          </cell>
          <cell r="G798" t="str">
            <v xml:space="preserve"> PLAN DE MANAGEMENT CEM</v>
          </cell>
          <cell r="M798" t="str">
            <v>M-00_GENERALITES</v>
          </cell>
          <cell r="N798" t="str">
            <v>DM</v>
          </cell>
          <cell r="O798" t="str">
            <v>PMN_PLAN MANAGMT</v>
          </cell>
          <cell r="Q798">
            <v>0</v>
          </cell>
          <cell r="S798" t="str">
            <v>AT</v>
          </cell>
          <cell r="U798" t="str">
            <v>C.CUELLAR</v>
          </cell>
          <cell r="V798" t="str">
            <v>ALSTOM</v>
          </cell>
          <cell r="W798" t="str">
            <v>N</v>
          </cell>
          <cell r="X798" t="str">
            <v>Contractuel Management</v>
          </cell>
          <cell r="AA798" t="str">
            <v>E</v>
          </cell>
          <cell r="AB798" t="str">
            <v>Electrique</v>
          </cell>
          <cell r="AC798" t="str">
            <v>SME</v>
          </cell>
          <cell r="AD798" t="str">
            <v xml:space="preserve">SM ET.4-10639
ST EZ.4-20044 </v>
          </cell>
          <cell r="AE798" t="str">
            <v>Spécification de management MF19
Compatibilité électromagnétique interne et externe matériel roualnt</v>
          </cell>
          <cell r="AF798" t="str">
            <v>12
4.3</v>
          </cell>
          <cell r="AI798">
            <v>1</v>
          </cell>
          <cell r="AJ798" t="str">
            <v>FP</v>
          </cell>
          <cell r="AP798" t="str">
            <v>FD</v>
          </cell>
          <cell r="AQ798" t="str">
            <v>Maj</v>
          </cell>
          <cell r="CH798" t="str">
            <v>MF19_BORD_AT_00001</v>
          </cell>
          <cell r="CI798" t="str">
            <v>AR</v>
          </cell>
          <cell r="CJ798" t="str">
            <v>FP</v>
          </cell>
        </row>
        <row r="799">
          <cell r="B799" t="str">
            <v>Ligne_209.2_PPD</v>
          </cell>
          <cell r="C799" t="str">
            <v>209.2</v>
          </cell>
          <cell r="E799" t="str">
            <v>Dossier CEM : 
- le plan de mâitrise de la CEM (mise à jour du plan fourni à l'offre)
- la description du matériel et des élements affectant ses caractéristiques
- le plan de fréquence du matériel
- la disposition du cablage et du plan de masse sur le train ou les organes
- les résultats des calculs et des simulations 
demandés dans le paragraphe "Caractérisation du matériel roulant" et l'annexe c de la norme EN 50238 (Applications ferroviaires - compatibilité entre matériel roulant et systèmes de détection de train).</v>
          </cell>
          <cell r="G799" t="str">
            <v>PLAN DE FREQUENCE DU MATERIEL</v>
          </cell>
          <cell r="S799" t="str">
            <v>AT</v>
          </cell>
          <cell r="U799" t="str">
            <v>C.CUELLAR</v>
          </cell>
          <cell r="AA799" t="str">
            <v>E</v>
          </cell>
          <cell r="AB799" t="str">
            <v>Electrique</v>
          </cell>
          <cell r="AC799" t="str">
            <v>SME</v>
          </cell>
          <cell r="AD799" t="str">
            <v xml:space="preserve">SM ET.4-10639
ST EZ.4-20044 </v>
          </cell>
          <cell r="AE799" t="str">
            <v>Spécification de management MF19
Compatibilité électromagnétique interne et externe matériel roualnt</v>
          </cell>
          <cell r="AF799" t="str">
            <v>12
4.3</v>
          </cell>
          <cell r="AI799">
            <v>1</v>
          </cell>
          <cell r="AP799" t="str">
            <v>FD</v>
          </cell>
          <cell r="AQ799" t="str">
            <v>Maj</v>
          </cell>
          <cell r="CH799" t="e">
            <v>#N/A</v>
          </cell>
          <cell r="CI799" t="e">
            <v>#N/A</v>
          </cell>
          <cell r="CJ799" t="e">
            <v>#N/A</v>
          </cell>
        </row>
        <row r="800">
          <cell r="B800" t="str">
            <v>Ligne_209.3_PPD</v>
          </cell>
          <cell r="C800" t="str">
            <v>209.3</v>
          </cell>
          <cell r="E800" t="str">
            <v>Dossier CEM : 
- le plan de mâitrise de la CEM (mise à jour du plan fourni à l'offre)
- la description du matériel et des élements affectant ses caractéristiques
- le plan de fréquence du matériel
- la disposition du cablage et du plan de masse sur le train ou les organes
- les résultats des calculs et des simulations 
demandés dans le paragraphe "Caractérisation du matériel roulant" et l'annexe c de la norme EN 50238 (Applications ferroviaires - compatibilité entre matériel roulant et systèmes de détection de train).</v>
          </cell>
          <cell r="G800" t="str">
            <v>RESULTATS CALCULS ET SIMULATIONS</v>
          </cell>
          <cell r="S800" t="str">
            <v>AT</v>
          </cell>
          <cell r="U800" t="str">
            <v>C.CUELLAR</v>
          </cell>
          <cell r="AA800" t="str">
            <v>E</v>
          </cell>
          <cell r="AB800" t="str">
            <v>Electrique</v>
          </cell>
          <cell r="AC800" t="str">
            <v>SME</v>
          </cell>
          <cell r="AD800" t="str">
            <v xml:space="preserve">SM ET.4-10639
ST EZ.4-20044 </v>
          </cell>
          <cell r="AE800" t="str">
            <v>Spécification de management MF19
Compatibilité électromagnétique interne et externe matériel roualnt</v>
          </cell>
          <cell r="AF800" t="str">
            <v>12
4.3</v>
          </cell>
          <cell r="AI800">
            <v>1</v>
          </cell>
          <cell r="AP800" t="str">
            <v>FD</v>
          </cell>
          <cell r="AQ800" t="str">
            <v>Maj</v>
          </cell>
          <cell r="CH800" t="e">
            <v>#N/A</v>
          </cell>
          <cell r="CI800" t="e">
            <v>#N/A</v>
          </cell>
          <cell r="CJ800" t="e">
            <v>#N/A</v>
          </cell>
        </row>
        <row r="801">
          <cell r="A801" t="str">
            <v>ADD0003308454</v>
          </cell>
          <cell r="B801" t="str">
            <v>Ligne_210_PPD</v>
          </cell>
          <cell r="C801">
            <v>210</v>
          </cell>
          <cell r="E801" t="str">
            <v>Document de synthèse des logiciels et des composants programmables (micro-contrôleurs, micro-processeurs, FPGA, CPLD…) montés sur le véhicule (Annexe 2 de la SM ET.4-10639) - Mise à jour annuelle à partir de la 1ère soumission</v>
          </cell>
          <cell r="G801" t="str">
            <v>DOCUMENT DE SYNTHESE DES LOGICIELS ET DES COMPOSANTS PROGRAMMABLES</v>
          </cell>
          <cell r="O801" t="str">
            <v>TDB_TABLEAU DE BORD</v>
          </cell>
          <cell r="R801" t="str">
            <v>VPF</v>
          </cell>
          <cell r="S801" t="str">
            <v>AT</v>
          </cell>
          <cell r="U801" t="str">
            <v>J.DOMAS</v>
          </cell>
          <cell r="AA801" t="str">
            <v>E</v>
          </cell>
          <cell r="AB801" t="str">
            <v>Projet</v>
          </cell>
          <cell r="AC801" t="str">
            <v>M2I</v>
          </cell>
          <cell r="AD801" t="str">
            <v>SM ET.4-10639</v>
          </cell>
          <cell r="AE801" t="str">
            <v>Spécification de management MF19</v>
          </cell>
          <cell r="AF801" t="str">
            <v>8.3.1.2</v>
          </cell>
          <cell r="AI801">
            <v>1</v>
          </cell>
          <cell r="AR801" t="str">
            <v>FD</v>
          </cell>
          <cell r="CH801" t="e">
            <v>#N/A</v>
          </cell>
          <cell r="CI801" t="e">
            <v>#N/A</v>
          </cell>
          <cell r="CJ801" t="e">
            <v>#N/A</v>
          </cell>
        </row>
        <row r="802">
          <cell r="A802" t="str">
            <v>ADD0003308455</v>
          </cell>
          <cell r="B802" t="str">
            <v>Ligne_211_PPD</v>
          </cell>
          <cell r="C802">
            <v>211</v>
          </cell>
          <cell r="E802" t="str">
            <v>Document de synthèse des outils logiciels de maintenance et de diagnostic ainsi que de leur documentation  (Annexe 3 de la SM ET.4-10639) - Mise à jour annuelle à partir de la 1ère soumission</v>
          </cell>
          <cell r="G802" t="str">
            <v>DOCUMENT DE SYNTHESE DES OUTILS LOGICIELS DE MAINTENANCE ET DE DIAGNOSTIC</v>
          </cell>
          <cell r="O802" t="str">
            <v>TDB_TABLEAU DE BORD</v>
          </cell>
          <cell r="R802" t="str">
            <v>VPF</v>
          </cell>
          <cell r="S802" t="str">
            <v>AT</v>
          </cell>
          <cell r="U802" t="str">
            <v>J.DOMAS</v>
          </cell>
          <cell r="AA802" t="str">
            <v>E</v>
          </cell>
          <cell r="AB802" t="str">
            <v>Projet</v>
          </cell>
          <cell r="AC802" t="str">
            <v>M2I</v>
          </cell>
          <cell r="AD802" t="str">
            <v>SM ET.4-10639</v>
          </cell>
          <cell r="AE802" t="str">
            <v>Spécification de management MF19</v>
          </cell>
          <cell r="AF802" t="str">
            <v>8.3.1.2</v>
          </cell>
          <cell r="AI802">
            <v>1</v>
          </cell>
          <cell r="AR802" t="str">
            <v>FD</v>
          </cell>
          <cell r="CH802" t="e">
            <v>#N/A</v>
          </cell>
          <cell r="CI802" t="e">
            <v>#N/A</v>
          </cell>
          <cell r="CJ802" t="e">
            <v>#N/A</v>
          </cell>
        </row>
        <row r="803">
          <cell r="A803" t="str">
            <v>ADD0003308456</v>
          </cell>
          <cell r="B803" t="str">
            <v>Ligne_212_PPD</v>
          </cell>
          <cell r="C803">
            <v>212</v>
          </cell>
          <cell r="E803" t="str">
            <v>Document de synthèse de la documentation des logiciels embarqués, des composants programmables et des logiciels débarqués  (Annexe 5 de la SM ET.4-10639)</v>
          </cell>
          <cell r="G803" t="str">
            <v>DOCUMENT DE SYNTHESE RELATIF A LA DOCUMENTATION DES LOGICIELS EMBARQUES ET DEBARQUES</v>
          </cell>
          <cell r="O803" t="str">
            <v>TDB_TABLEAU DE BORD</v>
          </cell>
          <cell r="R803" t="str">
            <v>VPF</v>
          </cell>
          <cell r="S803" t="str">
            <v>AT</v>
          </cell>
          <cell r="U803" t="str">
            <v>J.DOMAS</v>
          </cell>
          <cell r="AA803" t="str">
            <v>E</v>
          </cell>
          <cell r="AB803" t="str">
            <v>Projet</v>
          </cell>
          <cell r="AC803" t="str">
            <v>M2I</v>
          </cell>
          <cell r="AD803" t="str">
            <v>SM ET.4-10639</v>
          </cell>
          <cell r="AE803" t="str">
            <v>Spécification de management MF19</v>
          </cell>
          <cell r="AF803" t="str">
            <v>8.3.3</v>
          </cell>
          <cell r="AI803">
            <v>1</v>
          </cell>
          <cell r="AR803" t="str">
            <v>FP</v>
          </cell>
          <cell r="AU803" t="str">
            <v>FP</v>
          </cell>
          <cell r="AZ803" t="str">
            <v>FP</v>
          </cell>
          <cell r="BE803" t="str">
            <v>FD</v>
          </cell>
          <cell r="CH803" t="e">
            <v>#N/A</v>
          </cell>
          <cell r="CI803" t="e">
            <v>#N/A</v>
          </cell>
          <cell r="CJ803" t="e">
            <v>#N/A</v>
          </cell>
        </row>
        <row r="804">
          <cell r="B804" t="str">
            <v>Ligne_213_PPD</v>
          </cell>
          <cell r="C804">
            <v>213</v>
          </cell>
          <cell r="E804" t="str">
            <v>Spécification de contraintes et de définition des composants de puissance (semi-conducteurs, capteurs, résistances, condensateurs, inductances...).</v>
          </cell>
          <cell r="G804" t="str">
            <v/>
          </cell>
          <cell r="R804" t="str">
            <v>CHA</v>
          </cell>
          <cell r="S804" t="str">
            <v>AT</v>
          </cell>
          <cell r="T804" t="str">
            <v>EX</v>
          </cell>
          <cell r="U804" t="str">
            <v>A.MORETTI</v>
          </cell>
          <cell r="AA804" t="str">
            <v>E</v>
          </cell>
          <cell r="AB804" t="str">
            <v>Electrique</v>
          </cell>
          <cell r="AC804" t="str">
            <v>SME</v>
          </cell>
          <cell r="AD804" t="str">
            <v>ST EZ.4-05025</v>
          </cell>
          <cell r="AE804" t="str">
            <v>Transformation, stockage, distribution et gestion de l'énergie électrique</v>
          </cell>
          <cell r="AF804" t="str">
            <v>3.2</v>
          </cell>
          <cell r="AI804">
            <v>1</v>
          </cell>
          <cell r="AP804" t="str">
            <v>FD</v>
          </cell>
          <cell r="AY804" t="str">
            <v>Maj</v>
          </cell>
          <cell r="CH804" t="e">
            <v>#N/A</v>
          </cell>
          <cell r="CI804" t="e">
            <v>#N/A</v>
          </cell>
          <cell r="CJ804" t="e">
            <v>#N/A</v>
          </cell>
        </row>
        <row r="805">
          <cell r="B805" t="str">
            <v>Ligne_214_PPD</v>
          </cell>
          <cell r="C805">
            <v>214</v>
          </cell>
          <cell r="E805"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05" t="str">
            <v>LIVRABLE</v>
          </cell>
          <cell r="R805" t="str">
            <v>NA</v>
          </cell>
          <cell r="S805" t="str">
            <v>ABT</v>
          </cell>
          <cell r="T805" t="str">
            <v>NA</v>
          </cell>
          <cell r="U805" t="str">
            <v>NA</v>
          </cell>
          <cell r="AA805" t="str">
            <v>E</v>
          </cell>
          <cell r="AB805" t="str">
            <v>Logiciel</v>
          </cell>
          <cell r="AC805" t="str">
            <v>EAI</v>
          </cell>
          <cell r="AD805" t="str">
            <v xml:space="preserve">ST EZ.4-20051
ST EZ.4-20055
ST EZ.4-20058 </v>
          </cell>
          <cell r="AE805" t="str">
            <v xml:space="preserve">
Spécification pour la réalisation des logiciels embarqués
Composants électroniques complexes
Spécification pour la réalisation des outils de maintenance de niveau 1 sur PC portable
</v>
          </cell>
          <cell r="AF805" t="str">
            <v>8.1.2</v>
          </cell>
          <cell r="AI805" t="str">
            <v>LIVRABLE</v>
          </cell>
          <cell r="AU805" t="str">
            <v>FD</v>
          </cell>
          <cell r="CH805" t="e">
            <v>#N/A</v>
          </cell>
          <cell r="CI805" t="e">
            <v>#N/A</v>
          </cell>
          <cell r="CJ805" t="e">
            <v>#N/A</v>
          </cell>
        </row>
        <row r="806">
          <cell r="B806" t="str">
            <v>Ligne_214.1_PPD</v>
          </cell>
          <cell r="C806" t="str">
            <v>214.1</v>
          </cell>
          <cell r="E806"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06" t="str">
            <v>Tableau récapitulatif des logiciels et composants du Système</v>
          </cell>
          <cell r="R806" t="str">
            <v>NA</v>
          </cell>
          <cell r="S806" t="str">
            <v>ABT</v>
          </cell>
          <cell r="T806" t="str">
            <v>NA</v>
          </cell>
          <cell r="U806" t="str">
            <v>J.DOMAS</v>
          </cell>
          <cell r="Z806" t="str">
            <v>RTS 174 JS2 EAI 20/07/2020</v>
          </cell>
          <cell r="AA806" t="str">
            <v>E</v>
          </cell>
          <cell r="AB806" t="str">
            <v>Logiciel</v>
          </cell>
          <cell r="AC806" t="str">
            <v>EAI</v>
          </cell>
          <cell r="AD806" t="str">
            <v>ST EZ.4-20051</v>
          </cell>
          <cell r="AE806" t="str">
            <v xml:space="preserve">
Spécification pour la réalisation des logiciels embarqués
Composants électroniques complexes
Spécification pour la réalisation des outils de maintenance de niveau 1 sur PC portable
</v>
          </cell>
          <cell r="AF806" t="str">
            <v>8.1.2.1</v>
          </cell>
          <cell r="AI806" t="str">
            <v>LIVRABLE</v>
          </cell>
          <cell r="AM806" t="str">
            <v>FD</v>
          </cell>
          <cell r="CH806" t="e">
            <v>#N/A</v>
          </cell>
          <cell r="CI806" t="e">
            <v>#N/A</v>
          </cell>
          <cell r="CJ806" t="e">
            <v>#N/A</v>
          </cell>
        </row>
        <row r="807">
          <cell r="B807" t="str">
            <v>Ligne_214.1.1_PPD</v>
          </cell>
          <cell r="C807" t="str">
            <v>214.1.1</v>
          </cell>
          <cell r="E807"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07" t="str">
            <v>Tableau récapitulatif des logiciels et composants du Système HVAC (inclus dans PAQL 57.4)</v>
          </cell>
          <cell r="R807" t="str">
            <v>NA</v>
          </cell>
          <cell r="S807" t="str">
            <v>BT</v>
          </cell>
          <cell r="T807" t="str">
            <v>NA</v>
          </cell>
          <cell r="U807" t="str">
            <v>Boualem Aouchiche</v>
          </cell>
          <cell r="Z807" t="str">
            <v>RTS 174 JS2 EAI 20/07/2020</v>
          </cell>
          <cell r="AA807" t="str">
            <v>E</v>
          </cell>
          <cell r="AB807" t="str">
            <v>Logiciel</v>
          </cell>
          <cell r="AC807" t="str">
            <v>EAI</v>
          </cell>
          <cell r="AD807" t="str">
            <v>ST EZ.4-20051</v>
          </cell>
          <cell r="AE807" t="str">
            <v xml:space="preserve">
Spécification pour la réalisation des logiciels embarqués
Composants électroniques complexes
Spécification pour la réalisation des outils de maintenance de niveau 1 sur PC portable
</v>
          </cell>
          <cell r="AF807" t="str">
            <v>8.1.2.1</v>
          </cell>
          <cell r="AI807" t="str">
            <v>RENVOI</v>
          </cell>
          <cell r="AM807" t="str">
            <v>FD</v>
          </cell>
          <cell r="CH807" t="e">
            <v>#N/A</v>
          </cell>
          <cell r="CI807" t="e">
            <v>#N/A</v>
          </cell>
          <cell r="CJ807" t="e">
            <v>#N/A</v>
          </cell>
        </row>
        <row r="808">
          <cell r="B808" t="str">
            <v>Ligne_214.1.2_PPD</v>
          </cell>
          <cell r="C808" t="str">
            <v>214.1.2</v>
          </cell>
          <cell r="E808"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08" t="str">
            <v>Tableau récapitulatif des logiciels et composants du Système PORTES</v>
          </cell>
          <cell r="R808" t="str">
            <v>VPF</v>
          </cell>
          <cell r="S808" t="str">
            <v>AT</v>
          </cell>
          <cell r="T808" t="str">
            <v>NA</v>
          </cell>
          <cell r="U808" t="str">
            <v>J.DOMAS</v>
          </cell>
          <cell r="Z808" t="str">
            <v>RTS 174 JS2 EAI 20/07/2020</v>
          </cell>
          <cell r="AA808" t="str">
            <v>E</v>
          </cell>
          <cell r="AB808" t="str">
            <v>Logiciel</v>
          </cell>
          <cell r="AC808" t="str">
            <v>EAI</v>
          </cell>
          <cell r="AD808" t="str">
            <v>ST EZ.4-20051</v>
          </cell>
          <cell r="AE808" t="str">
            <v xml:space="preserve">
Spécification pour la réalisation des logiciels embarqués
Composants électroniques complexes
Spécification pour la réalisation des outils de maintenance de niveau 1 sur PC portable
</v>
          </cell>
          <cell r="AF808" t="str">
            <v>8.1.2.1</v>
          </cell>
          <cell r="AI808">
            <v>1</v>
          </cell>
          <cell r="AM808" t="str">
            <v>FD</v>
          </cell>
          <cell r="CH808" t="e">
            <v>#N/A</v>
          </cell>
          <cell r="CI808" t="e">
            <v>#N/A</v>
          </cell>
          <cell r="CJ808" t="e">
            <v>#N/A</v>
          </cell>
        </row>
        <row r="809">
          <cell r="B809" t="str">
            <v>Ligne_214.2_PPD</v>
          </cell>
          <cell r="C809" t="str">
            <v>214.2</v>
          </cell>
          <cell r="E809"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09" t="str">
            <v>PAQL : Plan d’Assurance Qualité du Logiciel repris dans 57.X</v>
          </cell>
          <cell r="R809" t="str">
            <v>NA</v>
          </cell>
          <cell r="S809" t="str">
            <v>ABT</v>
          </cell>
          <cell r="T809" t="str">
            <v>NA</v>
          </cell>
          <cell r="U809" t="str">
            <v>NA</v>
          </cell>
          <cell r="AA809" t="str">
            <v>E</v>
          </cell>
          <cell r="AB809" t="str">
            <v>Logiciel</v>
          </cell>
          <cell r="AC809" t="str">
            <v>EAI</v>
          </cell>
          <cell r="AD809" t="str">
            <v>ST EZ.4-20051</v>
          </cell>
          <cell r="AE809" t="str">
            <v xml:space="preserve">
Spécification pour la réalisation des logiciels embarqués
Composants électroniques complexes
Spécification pour la réalisation des outils de maintenance de niveau 1 sur PC portable
</v>
          </cell>
          <cell r="AF809" t="str">
            <v>8.1.2.2</v>
          </cell>
          <cell r="AI809" t="str">
            <v>RENVOI</v>
          </cell>
          <cell r="AL809" t="str">
            <v>FD</v>
          </cell>
          <cell r="CH809" t="e">
            <v>#N/A</v>
          </cell>
          <cell r="CI809" t="e">
            <v>#N/A</v>
          </cell>
          <cell r="CJ809" t="e">
            <v>#N/A</v>
          </cell>
        </row>
        <row r="810">
          <cell r="B810" t="str">
            <v>Ligne_214.3_PPD</v>
          </cell>
          <cell r="C810" t="str">
            <v>214.3</v>
          </cell>
          <cell r="E810"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10" t="str">
            <v>DDL : Dictionnaire de la Documentation du Logiciel</v>
          </cell>
          <cell r="R810" t="str">
            <v>NA</v>
          </cell>
          <cell r="S810" t="str">
            <v>ABT</v>
          </cell>
          <cell r="T810" t="str">
            <v>NA</v>
          </cell>
          <cell r="U810" t="str">
            <v>J.DOMAS</v>
          </cell>
          <cell r="Z810" t="str">
            <v>RTS 174 JS2 EAI 20/07/2020</v>
          </cell>
          <cell r="AA810" t="str">
            <v>E</v>
          </cell>
          <cell r="AB810" t="str">
            <v>Logiciel</v>
          </cell>
          <cell r="AC810" t="str">
            <v>EAI</v>
          </cell>
          <cell r="AD810" t="str">
            <v>ST EZ.4-20051</v>
          </cell>
          <cell r="AE810" t="str">
            <v xml:space="preserve">
Spécification pour la réalisation des logiciels embarqués
Composants électroniques complexes
Spécification pour la réalisation des outils de maintenance de niveau 1 sur PC portable
</v>
          </cell>
          <cell r="AF810" t="str">
            <v>8.1.2.3</v>
          </cell>
          <cell r="AI810" t="str">
            <v>LIVRABLE</v>
          </cell>
          <cell r="AN810" t="str">
            <v>FP</v>
          </cell>
          <cell r="AP810" t="str">
            <v>FD</v>
          </cell>
          <cell r="CG810" t="str">
            <v>30/09/2020 : la FD de JD2.2 était barrée, j'ai enlevé vider la case pour pouvoir importer dans la base arbo</v>
          </cell>
          <cell r="CH810" t="e">
            <v>#N/A</v>
          </cell>
          <cell r="CI810" t="e">
            <v>#N/A</v>
          </cell>
          <cell r="CJ810" t="e">
            <v>#N/A</v>
          </cell>
        </row>
        <row r="811">
          <cell r="A811" t="str">
            <v>ADD0003308469</v>
          </cell>
          <cell r="B811" t="str">
            <v>Ligne_214.3.1_PPD</v>
          </cell>
          <cell r="C811" t="str">
            <v>214.3.1</v>
          </cell>
          <cell r="E811"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11" t="str">
            <v>DDL INFORMATIQUE DE CONFORT</v>
          </cell>
          <cell r="R811" t="str">
            <v>VPF</v>
          </cell>
          <cell r="S811" t="str">
            <v>AT</v>
          </cell>
          <cell r="U811" t="str">
            <v>C.SION</v>
          </cell>
          <cell r="Z811" t="str">
            <v>RTS 174 JS2 EAI 20/07/2020</v>
          </cell>
          <cell r="AA811" t="str">
            <v>E</v>
          </cell>
          <cell r="AB811" t="str">
            <v>Logiciel</v>
          </cell>
          <cell r="AC811" t="str">
            <v>EAI</v>
          </cell>
          <cell r="AD811" t="str">
            <v>ST EZ.4-20051</v>
          </cell>
          <cell r="AE811" t="str">
            <v xml:space="preserve">
Spécification pour la réalisation des logiciels embarqués
Composants électroniques complexes
Spécification pour la réalisation des outils de maintenance de niveau 1 sur PC portable
</v>
          </cell>
          <cell r="AF811" t="str">
            <v>8.1.2.2</v>
          </cell>
          <cell r="AI811">
            <v>1</v>
          </cell>
          <cell r="AN811" t="str">
            <v>FP</v>
          </cell>
          <cell r="AP811" t="str">
            <v>FD</v>
          </cell>
          <cell r="AU811" t="str">
            <v>FD</v>
          </cell>
          <cell r="CH811" t="e">
            <v>#N/A</v>
          </cell>
          <cell r="CI811" t="e">
            <v>#N/A</v>
          </cell>
          <cell r="CJ811" t="e">
            <v>#N/A</v>
          </cell>
        </row>
        <row r="812">
          <cell r="B812" t="str">
            <v>Ligne_214.3.2_PPD</v>
          </cell>
          <cell r="C812" t="str">
            <v>214.3.2</v>
          </cell>
          <cell r="E812"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12" t="str">
            <v>DDL HVAC (inclus dans PAQL 57.4)</v>
          </cell>
          <cell r="R812" t="str">
            <v>NA</v>
          </cell>
          <cell r="S812" t="str">
            <v>BT</v>
          </cell>
          <cell r="T812" t="str">
            <v>NA</v>
          </cell>
          <cell r="U812" t="str">
            <v>Boualem Aouchiche</v>
          </cell>
          <cell r="Z812" t="str">
            <v>RTS 174 JS2 EAI 20/07/2020</v>
          </cell>
          <cell r="AA812" t="str">
            <v>E</v>
          </cell>
          <cell r="AB812" t="str">
            <v>Logiciel</v>
          </cell>
          <cell r="AC812" t="str">
            <v>EAI</v>
          </cell>
          <cell r="AD812" t="str">
            <v>ST EZ.4-20051</v>
          </cell>
          <cell r="AE812" t="str">
            <v xml:space="preserve">
Spécification pour la réalisation des logiciels embarqués
Composants électroniques complexes
Spécification pour la réalisation des outils de maintenance de niveau 1 sur PC portable
</v>
          </cell>
          <cell r="AF812" t="str">
            <v>8.1.2.2</v>
          </cell>
          <cell r="AI812" t="str">
            <v>RENVOI</v>
          </cell>
          <cell r="AN812" t="str">
            <v>FP</v>
          </cell>
          <cell r="AP812" t="str">
            <v>FD</v>
          </cell>
          <cell r="AU812" t="str">
            <v>FD</v>
          </cell>
          <cell r="CH812" t="e">
            <v>#N/A</v>
          </cell>
          <cell r="CI812" t="e">
            <v>#N/A</v>
          </cell>
          <cell r="CJ812" t="e">
            <v>#N/A</v>
          </cell>
        </row>
        <row r="813">
          <cell r="B813" t="str">
            <v>Ligne_214.3.3_PPD</v>
          </cell>
          <cell r="C813" t="str">
            <v>214.3.3</v>
          </cell>
          <cell r="E813"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13" t="str">
            <v>DDL ETF</v>
          </cell>
          <cell r="R813" t="str">
            <v>TRT</v>
          </cell>
          <cell r="S813" t="str">
            <v>AT</v>
          </cell>
          <cell r="U813" t="str">
            <v>G.BITRIA</v>
          </cell>
          <cell r="Z813" t="str">
            <v>RTS 174 JS2 EAI 20/07/2020</v>
          </cell>
          <cell r="AA813" t="str">
            <v>E</v>
          </cell>
          <cell r="AB813" t="str">
            <v>Logiciel</v>
          </cell>
          <cell r="AC813" t="str">
            <v>EAI</v>
          </cell>
          <cell r="AD813" t="str">
            <v>ST EZ.4-20051</v>
          </cell>
          <cell r="AE813" t="str">
            <v xml:space="preserve">
Spécification pour la réalisation des logiciels embarqués
Composants électroniques complexes
Spécification pour la réalisation des outils de maintenance de niveau 1 sur PC portable
</v>
          </cell>
          <cell r="AF813" t="str">
            <v>8.1.2.2</v>
          </cell>
          <cell r="AI813">
            <v>1</v>
          </cell>
          <cell r="AN813" t="str">
            <v>FP</v>
          </cell>
          <cell r="AP813" t="str">
            <v>FD</v>
          </cell>
          <cell r="AU813" t="str">
            <v>FD</v>
          </cell>
          <cell r="CH813" t="e">
            <v>#N/A</v>
          </cell>
          <cell r="CI813" t="e">
            <v>#N/A</v>
          </cell>
          <cell r="CJ813" t="e">
            <v>#N/A</v>
          </cell>
        </row>
        <row r="814">
          <cell r="B814" t="str">
            <v>Ligne_214.3.4_PPD</v>
          </cell>
          <cell r="C814" t="str">
            <v>214.3.4</v>
          </cell>
          <cell r="E814"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14" t="str">
            <v>DDL CVS</v>
          </cell>
          <cell r="R814" t="str">
            <v>CHA</v>
          </cell>
          <cell r="S814" t="str">
            <v>AT</v>
          </cell>
          <cell r="U814" t="str">
            <v>A.MORETTI</v>
          </cell>
          <cell r="Z814" t="str">
            <v>RTS 174 JS2 EAI 20/07/2020</v>
          </cell>
          <cell r="AA814" t="str">
            <v>E</v>
          </cell>
          <cell r="AB814" t="str">
            <v>Logiciel</v>
          </cell>
          <cell r="AC814" t="str">
            <v>EAI</v>
          </cell>
          <cell r="AD814" t="str">
            <v>ST EZ.4-20051</v>
          </cell>
          <cell r="AE814" t="str">
            <v xml:space="preserve">
Spécification pour la réalisation des logiciels embarqués
Composants électroniques complexes
Spécification pour la réalisation des outils de maintenance de niveau 1 sur PC portable
</v>
          </cell>
          <cell r="AF814" t="str">
            <v>8.1.2.2</v>
          </cell>
          <cell r="AI814">
            <v>1</v>
          </cell>
          <cell r="AN814" t="str">
            <v>FP</v>
          </cell>
          <cell r="AP814" t="str">
            <v>FD</v>
          </cell>
          <cell r="AU814" t="str">
            <v>FD</v>
          </cell>
          <cell r="CH814" t="e">
            <v>#N/A</v>
          </cell>
          <cell r="CI814" t="e">
            <v>#N/A</v>
          </cell>
          <cell r="CJ814" t="e">
            <v>#N/A</v>
          </cell>
        </row>
        <row r="815">
          <cell r="B815" t="str">
            <v>Ligne_214.3.5_PPD</v>
          </cell>
          <cell r="C815" t="str">
            <v>214.3.5</v>
          </cell>
          <cell r="E815"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15" t="str">
            <v>DDL IS</v>
          </cell>
          <cell r="R815" t="str">
            <v>AIX</v>
          </cell>
          <cell r="S815" t="str">
            <v>AT</v>
          </cell>
          <cell r="U815" t="str">
            <v>MA.SAILLARD</v>
          </cell>
          <cell r="Z815" t="str">
            <v>RTS 174 JS2 EAI 20/07/2020</v>
          </cell>
          <cell r="AA815" t="str">
            <v>E</v>
          </cell>
          <cell r="AB815" t="str">
            <v>Logiciel</v>
          </cell>
          <cell r="AC815" t="str">
            <v>EAI</v>
          </cell>
          <cell r="AD815" t="str">
            <v>ST EZ.4-20051</v>
          </cell>
          <cell r="AE815" t="str">
            <v xml:space="preserve">
Spécification pour la réalisation des logiciels embarqués
Composants électroniques complexes
Spécification pour la réalisation des outils de maintenance de niveau 1 sur PC portable
</v>
          </cell>
          <cell r="AF815" t="str">
            <v>8.1.2.2</v>
          </cell>
          <cell r="AI815">
            <v>1</v>
          </cell>
          <cell r="AN815" t="str">
            <v>FP</v>
          </cell>
          <cell r="AP815" t="str">
            <v>FD</v>
          </cell>
          <cell r="AU815" t="str">
            <v>FD</v>
          </cell>
          <cell r="CH815" t="e">
            <v>#N/A</v>
          </cell>
          <cell r="CI815" t="e">
            <v>#N/A</v>
          </cell>
          <cell r="CJ815" t="e">
            <v>#N/A</v>
          </cell>
        </row>
        <row r="816">
          <cell r="B816" t="str">
            <v>Ligne_214.3.6_PPD</v>
          </cell>
          <cell r="C816" t="str">
            <v>214.3.6</v>
          </cell>
          <cell r="E816"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16" t="str">
            <v>DDL IVSC</v>
          </cell>
          <cell r="R816" t="str">
            <v>VBN</v>
          </cell>
          <cell r="S816" t="str">
            <v>AT</v>
          </cell>
          <cell r="T816" t="str">
            <v>EX</v>
          </cell>
          <cell r="U816" t="str">
            <v>P.DENIS</v>
          </cell>
          <cell r="Z816" t="str">
            <v>RTS 174 JS2 EAI 20/07/2020</v>
          </cell>
          <cell r="AA816" t="str">
            <v>E</v>
          </cell>
          <cell r="AB816" t="str">
            <v>Logiciel</v>
          </cell>
          <cell r="AC816" t="str">
            <v>EAI</v>
          </cell>
          <cell r="AD816" t="str">
            <v>ST EZ.4-20051</v>
          </cell>
          <cell r="AE816" t="str">
            <v xml:space="preserve">
Spécification pour la réalisation des logiciels embarqués
Composants électroniques complexes
Spécification pour la réalisation des outils de maintenance de niveau 1 sur PC portable
</v>
          </cell>
          <cell r="AF816" t="str">
            <v>8.1.2.2</v>
          </cell>
          <cell r="AI816">
            <v>1</v>
          </cell>
          <cell r="AN816" t="str">
            <v>FP</v>
          </cell>
          <cell r="AP816" t="str">
            <v>FD</v>
          </cell>
          <cell r="AU816" t="str">
            <v>FD</v>
          </cell>
          <cell r="CH816" t="e">
            <v>#N/A</v>
          </cell>
          <cell r="CI816" t="e">
            <v>#N/A</v>
          </cell>
          <cell r="CJ816" t="e">
            <v>#N/A</v>
          </cell>
        </row>
        <row r="817">
          <cell r="B817" t="str">
            <v>Ligne_214.3.7_PPD</v>
          </cell>
          <cell r="C817" t="str">
            <v>214.3.7</v>
          </cell>
          <cell r="E817"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17" t="str">
            <v>DDL VP</v>
          </cell>
          <cell r="R817" t="str">
            <v>VBN</v>
          </cell>
          <cell r="S817" t="str">
            <v>AT</v>
          </cell>
          <cell r="T817" t="str">
            <v>EX</v>
          </cell>
          <cell r="U817" t="str">
            <v>P.DENIS</v>
          </cell>
          <cell r="Z817" t="str">
            <v>RTS 174 JS2 EAI 20/07/2020</v>
          </cell>
          <cell r="AA817" t="str">
            <v>E</v>
          </cell>
          <cell r="AB817" t="str">
            <v>Logiciel</v>
          </cell>
          <cell r="AC817" t="str">
            <v>EAI</v>
          </cell>
          <cell r="AD817" t="str">
            <v>ST EZ.4-20051</v>
          </cell>
          <cell r="AE817" t="str">
            <v xml:space="preserve">
Spécification pour la réalisation des logiciels embarqués
Composants électroniques complexes
Spécification pour la réalisation des outils de maintenance de niveau 1 sur PC portable
</v>
          </cell>
          <cell r="AF817" t="str">
            <v>8.1.2.2</v>
          </cell>
          <cell r="AI817">
            <v>1</v>
          </cell>
          <cell r="AN817" t="str">
            <v>FP</v>
          </cell>
          <cell r="AP817" t="str">
            <v>FD</v>
          </cell>
          <cell r="AU817" t="str">
            <v>FD</v>
          </cell>
          <cell r="CH817" t="e">
            <v>#N/A</v>
          </cell>
          <cell r="CI817" t="e">
            <v>#N/A</v>
          </cell>
          <cell r="CJ817" t="e">
            <v>#N/A</v>
          </cell>
        </row>
        <row r="818">
          <cell r="B818" t="str">
            <v>Ligne_214.3.8_PPD</v>
          </cell>
          <cell r="C818" t="str">
            <v>214.3.8</v>
          </cell>
          <cell r="E818"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18" t="str">
            <v>DDL - PASSERELLE SOL</v>
          </cell>
          <cell r="R818" t="str">
            <v>VBN</v>
          </cell>
          <cell r="S818" t="str">
            <v>AT</v>
          </cell>
          <cell r="T818" t="str">
            <v>EX</v>
          </cell>
          <cell r="U818" t="str">
            <v>P.DENIS</v>
          </cell>
          <cell r="Z818" t="str">
            <v>RTS 174 JS2 EAI 20/07/2020</v>
          </cell>
          <cell r="AA818" t="str">
            <v>E</v>
          </cell>
          <cell r="AB818" t="str">
            <v>Logiciel</v>
          </cell>
          <cell r="AC818" t="str">
            <v>EAI</v>
          </cell>
          <cell r="AD818" t="str">
            <v>ST EZ.4-20051</v>
          </cell>
          <cell r="AE818" t="str">
            <v xml:space="preserve">
Spécification pour la réalisation des logiciels embarqués
Composants électroniques complexes
Spécification pour la réalisation des outils de maintenance de niveau 1 sur PC portable
</v>
          </cell>
          <cell r="AF818" t="str">
            <v>8.1.2.2</v>
          </cell>
          <cell r="AI818">
            <v>1</v>
          </cell>
          <cell r="AN818" t="str">
            <v>FP</v>
          </cell>
          <cell r="AP818" t="str">
            <v>FD</v>
          </cell>
          <cell r="AU818" t="str">
            <v>FD</v>
          </cell>
          <cell r="CH818" t="e">
            <v>#N/A</v>
          </cell>
          <cell r="CI818" t="e">
            <v>#N/A</v>
          </cell>
          <cell r="CJ818" t="e">
            <v>#N/A</v>
          </cell>
        </row>
        <row r="819">
          <cell r="B819" t="str">
            <v>Ligne_214.3.9_PPD</v>
          </cell>
          <cell r="C819" t="str">
            <v>214.3.9</v>
          </cell>
          <cell r="E819"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19" t="str">
            <v>DDL - COMPTAGE PASSAGER</v>
          </cell>
          <cell r="R819" t="str">
            <v>VBN</v>
          </cell>
          <cell r="S819" t="str">
            <v>AT</v>
          </cell>
          <cell r="T819" t="str">
            <v>EX</v>
          </cell>
          <cell r="U819" t="str">
            <v>P.DENIS</v>
          </cell>
          <cell r="Z819" t="str">
            <v>RTS 174 JS2 EAI 20/07/2020</v>
          </cell>
          <cell r="AA819" t="str">
            <v>E</v>
          </cell>
          <cell r="AB819" t="str">
            <v>Logiciel</v>
          </cell>
          <cell r="AC819" t="str">
            <v>EAI</v>
          </cell>
          <cell r="AD819" t="str">
            <v>ST EZ.4-20051</v>
          </cell>
          <cell r="AE819" t="str">
            <v xml:space="preserve">
Spécification pour la réalisation des logiciels embarqués
Composants électroniques complexes
Spécification pour la réalisation des outils de maintenance de niveau 1 sur PC portable
</v>
          </cell>
          <cell r="AF819" t="str">
            <v>8.1.2.2</v>
          </cell>
          <cell r="AI819">
            <v>1</v>
          </cell>
          <cell r="AN819" t="str">
            <v>FP</v>
          </cell>
          <cell r="AP819" t="str">
            <v>FD</v>
          </cell>
          <cell r="AU819" t="str">
            <v>FD</v>
          </cell>
          <cell r="CH819" t="e">
            <v>#N/A</v>
          </cell>
          <cell r="CI819" t="e">
            <v>#N/A</v>
          </cell>
          <cell r="CJ819" t="e">
            <v>#N/A</v>
          </cell>
        </row>
        <row r="820">
          <cell r="B820" t="str">
            <v>Ligne_214.4_PPD</v>
          </cell>
          <cell r="C820" t="str">
            <v>214.4</v>
          </cell>
          <cell r="E820"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20" t="str">
            <v>PDL : Plan de Développement du Logiciel</v>
          </cell>
          <cell r="R820" t="str">
            <v>NA</v>
          </cell>
          <cell r="S820" t="str">
            <v>ABT</v>
          </cell>
          <cell r="T820" t="str">
            <v>NA</v>
          </cell>
          <cell r="U820" t="str">
            <v>J.DOMAS</v>
          </cell>
          <cell r="Z820" t="str">
            <v>RTS 174 JS2 EAI 20/07/2020</v>
          </cell>
          <cell r="AA820" t="str">
            <v>E</v>
          </cell>
          <cell r="AB820" t="str">
            <v>Logiciel</v>
          </cell>
          <cell r="AC820" t="str">
            <v>EAI</v>
          </cell>
          <cell r="AD820" t="str">
            <v>ST EZ.4-20051</v>
          </cell>
          <cell r="AE820" t="str">
            <v xml:space="preserve">
Spécification pour la réalisation des logiciels embarqués
Composants électroniques complexes
Spécification pour la réalisation des outils de maintenance de niveau 1 sur PC portable
</v>
          </cell>
          <cell r="AF820" t="str">
            <v>8.1.2.4</v>
          </cell>
          <cell r="AI820" t="str">
            <v>LIVRABLE</v>
          </cell>
          <cell r="AN820" t="str">
            <v>FP</v>
          </cell>
          <cell r="AP820" t="str">
            <v>FD</v>
          </cell>
          <cell r="CH820" t="e">
            <v>#N/A</v>
          </cell>
          <cell r="CI820" t="e">
            <v>#N/A</v>
          </cell>
          <cell r="CJ820" t="e">
            <v>#N/A</v>
          </cell>
        </row>
        <row r="821">
          <cell r="B821" t="str">
            <v>Ligne_214.4.1_PPD</v>
          </cell>
          <cell r="C821" t="str">
            <v>214.4.1</v>
          </cell>
          <cell r="E821"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21" t="str">
            <v>PDL ETF</v>
          </cell>
          <cell r="R821" t="str">
            <v>TRT</v>
          </cell>
          <cell r="S821" t="str">
            <v>AT</v>
          </cell>
          <cell r="T821" t="str">
            <v>NA</v>
          </cell>
          <cell r="U821" t="str">
            <v>J.DOMAS</v>
          </cell>
          <cell r="Z821" t="str">
            <v>RTS 174 JS2 EAI 20/07/2020</v>
          </cell>
          <cell r="AA821" t="str">
            <v>E</v>
          </cell>
          <cell r="AB821" t="str">
            <v>Logiciel</v>
          </cell>
          <cell r="AC821" t="str">
            <v>EAI</v>
          </cell>
          <cell r="AD821" t="str">
            <v>ST EZ.4-20051</v>
          </cell>
          <cell r="AE821" t="str">
            <v xml:space="preserve">
Spécification pour la réalisation des logiciels embarqués
Composants électroniques complexes
Spécification pour la réalisation des outils de maintenance de niveau 1 sur PC portable
</v>
          </cell>
          <cell r="AF821" t="str">
            <v>8.1.2.4</v>
          </cell>
          <cell r="AI821">
            <v>1</v>
          </cell>
          <cell r="AN821" t="str">
            <v>FP</v>
          </cell>
          <cell r="AP821" t="str">
            <v>FD</v>
          </cell>
          <cell r="CH821" t="e">
            <v>#N/A</v>
          </cell>
          <cell r="CI821" t="e">
            <v>#N/A</v>
          </cell>
          <cell r="CJ821" t="e">
            <v>#N/A</v>
          </cell>
        </row>
        <row r="822">
          <cell r="B822" t="str">
            <v>Ligne_214.4.2_PPD</v>
          </cell>
          <cell r="C822" t="str">
            <v>214.4.2</v>
          </cell>
          <cell r="E822"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22" t="str">
            <v>PDL PORTES</v>
          </cell>
          <cell r="R822" t="str">
            <v>VPF</v>
          </cell>
          <cell r="S822" t="str">
            <v>AT</v>
          </cell>
          <cell r="T822" t="str">
            <v>NA</v>
          </cell>
          <cell r="U822" t="str">
            <v>J.DOMAS</v>
          </cell>
          <cell r="Z822" t="str">
            <v>RTS 174 JS2 EAI 20/07/2020</v>
          </cell>
          <cell r="AA822" t="str">
            <v>E</v>
          </cell>
          <cell r="AB822" t="str">
            <v>Logiciel</v>
          </cell>
          <cell r="AC822" t="str">
            <v>EAI</v>
          </cell>
          <cell r="AD822" t="str">
            <v>ST EZ.4-20051</v>
          </cell>
          <cell r="AE822" t="str">
            <v xml:space="preserve">
Spécification pour la réalisation des logiciels embarqués
Composants électroniques complexes
Spécification pour la réalisation des outils de maintenance de niveau 1 sur PC portable
</v>
          </cell>
          <cell r="AF822" t="str">
            <v>8.1.2.4</v>
          </cell>
          <cell r="AI822">
            <v>1</v>
          </cell>
          <cell r="AN822" t="str">
            <v>FP</v>
          </cell>
          <cell r="AP822" t="str">
            <v>FD</v>
          </cell>
          <cell r="CH822" t="e">
            <v>#N/A</v>
          </cell>
          <cell r="CI822" t="e">
            <v>#N/A</v>
          </cell>
          <cell r="CJ822" t="e">
            <v>#N/A</v>
          </cell>
        </row>
        <row r="823">
          <cell r="B823" t="str">
            <v>Ligne_214.4.3_PPD</v>
          </cell>
          <cell r="C823" t="str">
            <v>214.4.3</v>
          </cell>
          <cell r="E823"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23" t="str">
            <v>PDL HVAC</v>
          </cell>
          <cell r="R823" t="str">
            <v>BT</v>
          </cell>
          <cell r="S823" t="str">
            <v>BT</v>
          </cell>
          <cell r="T823" t="str">
            <v>NA</v>
          </cell>
          <cell r="U823" t="str">
            <v>Boualem Aouchiche</v>
          </cell>
          <cell r="Z823" t="str">
            <v>RTS 174 JS2 EAI 20/07/2020</v>
          </cell>
          <cell r="AA823" t="str">
            <v>E</v>
          </cell>
          <cell r="AB823" t="str">
            <v>Logiciel</v>
          </cell>
          <cell r="AC823" t="str">
            <v>EAI</v>
          </cell>
          <cell r="AD823" t="str">
            <v>ST EZ.4-20051</v>
          </cell>
          <cell r="AE823" t="str">
            <v xml:space="preserve">
Spécification pour la réalisation des logiciels embarqués
Composants électroniques complexes
Spécification pour la réalisation des outils de maintenance de niveau 1 sur PC portable
</v>
          </cell>
          <cell r="AF823" t="str">
            <v>8.1.2.4</v>
          </cell>
          <cell r="AI823">
            <v>1</v>
          </cell>
          <cell r="AN823" t="str">
            <v>FP</v>
          </cell>
          <cell r="AP823" t="str">
            <v>FD</v>
          </cell>
          <cell r="CH823" t="e">
            <v>#N/A</v>
          </cell>
          <cell r="CI823" t="e">
            <v>#N/A</v>
          </cell>
          <cell r="CJ823" t="e">
            <v>#N/A</v>
          </cell>
        </row>
        <row r="824">
          <cell r="B824" t="str">
            <v>Ligne_214.4.4_PPD</v>
          </cell>
          <cell r="C824" t="str">
            <v>214.4.4</v>
          </cell>
          <cell r="E824"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24" t="str">
            <v>PDL IS</v>
          </cell>
          <cell r="R824" t="str">
            <v>AIX</v>
          </cell>
          <cell r="S824" t="str">
            <v>AT</v>
          </cell>
          <cell r="T824" t="str">
            <v>NA</v>
          </cell>
          <cell r="U824" t="str">
            <v>MA.SAILLARD</v>
          </cell>
          <cell r="Z824" t="str">
            <v>RTS 174 JS2 EAI 20/07/2020</v>
          </cell>
          <cell r="AA824" t="str">
            <v>E</v>
          </cell>
          <cell r="AB824" t="str">
            <v>Logiciel</v>
          </cell>
          <cell r="AC824" t="str">
            <v>EAI</v>
          </cell>
          <cell r="AD824" t="str">
            <v>ST EZ.4-20051</v>
          </cell>
          <cell r="AE824" t="str">
            <v xml:space="preserve">
Spécification pour la réalisation des logiciels embarqués
Composants électroniques complexes
Spécification pour la réalisation des outils de maintenance de niveau 1 sur PC portable
</v>
          </cell>
          <cell r="AF824" t="str">
            <v>8.1.2.4</v>
          </cell>
          <cell r="AI824">
            <v>1</v>
          </cell>
          <cell r="AN824" t="str">
            <v>FP</v>
          </cell>
          <cell r="AP824" t="str">
            <v>FD</v>
          </cell>
          <cell r="CH824" t="e">
            <v>#N/A</v>
          </cell>
          <cell r="CI824" t="e">
            <v>#N/A</v>
          </cell>
          <cell r="CJ824" t="e">
            <v>#N/A</v>
          </cell>
        </row>
        <row r="825">
          <cell r="B825" t="str">
            <v>Ligne_214.4.5_PPD</v>
          </cell>
          <cell r="C825" t="str">
            <v>214.4.5</v>
          </cell>
          <cell r="E825"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25" t="str">
            <v>PDL CVS - LOGICIEL APPLICATIF</v>
          </cell>
          <cell r="R825" t="str">
            <v>CHA</v>
          </cell>
          <cell r="S825" t="str">
            <v>AT</v>
          </cell>
          <cell r="T825" t="str">
            <v>NA</v>
          </cell>
          <cell r="U825" t="str">
            <v>J.DOMAS</v>
          </cell>
          <cell r="Z825" t="str">
            <v>RTS 174 JS2 EAI 20/07/2020</v>
          </cell>
          <cell r="AA825" t="str">
            <v>E</v>
          </cell>
          <cell r="AB825" t="str">
            <v>Logiciel</v>
          </cell>
          <cell r="AC825" t="str">
            <v>EAI</v>
          </cell>
          <cell r="AD825" t="str">
            <v>ST EZ.4-20051</v>
          </cell>
          <cell r="AE825" t="str">
            <v xml:space="preserve">
Spécification pour la réalisation des logiciels embarqués
Composants électroniques complexes
Spécification pour la réalisation des outils de maintenance de niveau 1 sur PC portable
</v>
          </cell>
          <cell r="AF825" t="str">
            <v>8.1.2.4</v>
          </cell>
          <cell r="AI825">
            <v>1</v>
          </cell>
          <cell r="AN825" t="str">
            <v>FP</v>
          </cell>
          <cell r="AP825" t="str">
            <v>FD</v>
          </cell>
          <cell r="CH825" t="e">
            <v>#N/A</v>
          </cell>
          <cell r="CI825" t="e">
            <v>#N/A</v>
          </cell>
          <cell r="CJ825" t="e">
            <v>#N/A</v>
          </cell>
        </row>
        <row r="826">
          <cell r="B826" t="str">
            <v>Ligne_214.4.6_PPD</v>
          </cell>
          <cell r="C826" t="str">
            <v>214.4.6</v>
          </cell>
          <cell r="E826"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26" t="str">
            <v>PDL CVS - LOGICIEL DE BASE</v>
          </cell>
          <cell r="R826" t="str">
            <v>CHA</v>
          </cell>
          <cell r="S826" t="str">
            <v>AT</v>
          </cell>
          <cell r="T826" t="str">
            <v>NA</v>
          </cell>
          <cell r="U826" t="str">
            <v>J.DOMAS</v>
          </cell>
          <cell r="Z826" t="str">
            <v>RTS 174 JS2 EAI 20/07/2020</v>
          </cell>
          <cell r="AA826" t="str">
            <v>E</v>
          </cell>
          <cell r="AB826" t="str">
            <v>Logiciel</v>
          </cell>
          <cell r="AC826" t="str">
            <v>EAI</v>
          </cell>
          <cell r="AD826" t="str">
            <v>ST EZ.4-20051</v>
          </cell>
          <cell r="AE826" t="str">
            <v xml:space="preserve">
Spécification pour la réalisation des logiciels embarqués
Composants électroniques complexes
Spécification pour la réalisation des outils de maintenance de niveau 1 sur PC portable
</v>
          </cell>
          <cell r="AF826" t="str">
            <v>8.1.2.4</v>
          </cell>
          <cell r="AI826">
            <v>1</v>
          </cell>
          <cell r="AN826" t="str">
            <v>FP</v>
          </cell>
          <cell r="AP826" t="str">
            <v>FD</v>
          </cell>
          <cell r="CH826" t="e">
            <v>#N/A</v>
          </cell>
          <cell r="CI826" t="e">
            <v>#N/A</v>
          </cell>
          <cell r="CJ826" t="e">
            <v>#N/A</v>
          </cell>
        </row>
        <row r="827">
          <cell r="B827" t="str">
            <v>ajout</v>
          </cell>
          <cell r="C827" t="str">
            <v>214.4.7</v>
          </cell>
          <cell r="E827"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27" t="str">
            <v>PDL IVSC (inclus dans PAQL 57.7)</v>
          </cell>
          <cell r="R827" t="str">
            <v>NA</v>
          </cell>
          <cell r="S827" t="str">
            <v>AT</v>
          </cell>
          <cell r="T827" t="str">
            <v>NA</v>
          </cell>
          <cell r="U827" t="str">
            <v>J.DOMAS</v>
          </cell>
          <cell r="Z827" t="str">
            <v>RTS 174 JS2 EAI 20/07/2020</v>
          </cell>
          <cell r="AA827" t="str">
            <v>E</v>
          </cell>
          <cell r="AB827" t="str">
            <v>Logiciel</v>
          </cell>
          <cell r="AC827" t="str">
            <v>EAI</v>
          </cell>
          <cell r="AD827" t="str">
            <v>ST EZ.4-20051</v>
          </cell>
          <cell r="AE827" t="str">
            <v xml:space="preserve">
Spécification pour la réalisation des logiciels embarqués
Composants électroniques complexes
Spécification pour la réalisation des outils de maintenance de niveau 1 sur PC portable
</v>
          </cell>
          <cell r="AF827" t="str">
            <v>8.1.2.4</v>
          </cell>
          <cell r="AI827" t="str">
            <v>RENVOI</v>
          </cell>
          <cell r="AN827" t="str">
            <v>FP</v>
          </cell>
          <cell r="AP827" t="str">
            <v>FD</v>
          </cell>
          <cell r="CH827" t="e">
            <v>#N/A</v>
          </cell>
          <cell r="CI827" t="e">
            <v>#N/A</v>
          </cell>
          <cell r="CJ827" t="e">
            <v>#N/A</v>
          </cell>
        </row>
        <row r="828">
          <cell r="B828" t="str">
            <v>ajout</v>
          </cell>
          <cell r="C828" t="str">
            <v>214.4.8</v>
          </cell>
          <cell r="E828"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28" t="str">
            <v>PDL VP (inclus dans PAQL 57.8)</v>
          </cell>
          <cell r="R828" t="str">
            <v>NA</v>
          </cell>
          <cell r="S828" t="str">
            <v>AT</v>
          </cell>
          <cell r="T828" t="str">
            <v>NA</v>
          </cell>
          <cell r="U828" t="str">
            <v>J.DOMAS</v>
          </cell>
          <cell r="Z828" t="str">
            <v>RTS 174 JS2 EAI 20/07/2020</v>
          </cell>
          <cell r="AA828" t="str">
            <v>E</v>
          </cell>
          <cell r="AB828" t="str">
            <v>Logiciel</v>
          </cell>
          <cell r="AC828" t="str">
            <v>EAI</v>
          </cell>
          <cell r="AD828" t="str">
            <v>ST EZ.4-20051</v>
          </cell>
          <cell r="AE828" t="str">
            <v xml:space="preserve">
Spécification pour la réalisation des logiciels embarqués
Composants électroniques complexes
Spécification pour la réalisation des outils de maintenance de niveau 1 sur PC portable
</v>
          </cell>
          <cell r="AF828" t="str">
            <v>8.1.2.4</v>
          </cell>
          <cell r="AI828" t="str">
            <v>RENVOI</v>
          </cell>
          <cell r="AN828" t="str">
            <v>FP</v>
          </cell>
          <cell r="AP828" t="str">
            <v>FD</v>
          </cell>
          <cell r="CH828" t="e">
            <v>#N/A</v>
          </cell>
          <cell r="CI828" t="e">
            <v>#N/A</v>
          </cell>
          <cell r="CJ828" t="e">
            <v>#N/A</v>
          </cell>
        </row>
        <row r="829">
          <cell r="B829" t="str">
            <v>Ligne_214.5_PPD</v>
          </cell>
          <cell r="C829" t="str">
            <v>214.5</v>
          </cell>
          <cell r="E829"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29" t="str">
            <v>PVeL : Plan de Vérification du Logiciel</v>
          </cell>
          <cell r="R829" t="str">
            <v>NA</v>
          </cell>
          <cell r="S829" t="str">
            <v>ABT</v>
          </cell>
          <cell r="T829" t="str">
            <v>NA</v>
          </cell>
          <cell r="U829" t="str">
            <v>J.DOMAS</v>
          </cell>
          <cell r="Z829" t="str">
            <v>RTS 174 JS2 EAI 20/07/2020</v>
          </cell>
          <cell r="AA829" t="str">
            <v>E</v>
          </cell>
          <cell r="AB829" t="str">
            <v>Logiciel</v>
          </cell>
          <cell r="AC829" t="str">
            <v>EAI</v>
          </cell>
          <cell r="AD829" t="str">
            <v>ST EZ.4-20051</v>
          </cell>
          <cell r="AE829" t="str">
            <v xml:space="preserve">
Spécification pour la réalisation des logiciels embarqués
Composants électroniques complexes
Spécification pour la réalisation des outils de maintenance de niveau 1 sur PC portable
</v>
          </cell>
          <cell r="AF829" t="str">
            <v>8.1.2.6</v>
          </cell>
          <cell r="AI829" t="str">
            <v>LIVRABLE</v>
          </cell>
          <cell r="AN829" t="str">
            <v>FP</v>
          </cell>
          <cell r="AP829" t="str">
            <v>FD</v>
          </cell>
          <cell r="CH829" t="e">
            <v>#N/A</v>
          </cell>
          <cell r="CI829" t="e">
            <v>#N/A</v>
          </cell>
          <cell r="CJ829" t="e">
            <v>#N/A</v>
          </cell>
        </row>
        <row r="830">
          <cell r="A830" t="str">
            <v>ADD0003308465</v>
          </cell>
          <cell r="B830" t="str">
            <v>Ligne_214.5.1_PPD</v>
          </cell>
          <cell r="C830" t="str">
            <v>214.5.1</v>
          </cell>
          <cell r="E830"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30" t="str">
            <v>PVEL INFORMATIQUE DE CONFORT</v>
          </cell>
          <cell r="R830" t="str">
            <v>VPF</v>
          </cell>
          <cell r="S830" t="str">
            <v>AT</v>
          </cell>
          <cell r="T830" t="str">
            <v>NA</v>
          </cell>
          <cell r="U830" t="str">
            <v>E.DELMAERE</v>
          </cell>
          <cell r="Z830" t="str">
            <v>RTS 174 JS2 EAI 20/07/2020</v>
          </cell>
          <cell r="AA830" t="str">
            <v>E</v>
          </cell>
          <cell r="AB830" t="str">
            <v>Logiciel</v>
          </cell>
          <cell r="AC830" t="str">
            <v>EAI</v>
          </cell>
          <cell r="AD830" t="str">
            <v>ST EZ.4-20051</v>
          </cell>
          <cell r="AE830" t="str">
            <v xml:space="preserve">
Spécification pour la réalisation des logiciels embarqués
Composants électroniques complexes
Spécification pour la réalisation des outils de maintenance de niveau 1 sur PC portable
</v>
          </cell>
          <cell r="AF830" t="str">
            <v>8.1.2.2</v>
          </cell>
          <cell r="AI830">
            <v>1</v>
          </cell>
          <cell r="AN830" t="str">
            <v>FP</v>
          </cell>
          <cell r="AP830" t="str">
            <v>FD</v>
          </cell>
          <cell r="CH830" t="e">
            <v>#N/A</v>
          </cell>
          <cell r="CI830" t="e">
            <v>#N/A</v>
          </cell>
          <cell r="CJ830" t="e">
            <v>#N/A</v>
          </cell>
        </row>
        <row r="831">
          <cell r="B831" t="str">
            <v>Ligne_214.5.2_PPD</v>
          </cell>
          <cell r="C831" t="str">
            <v>214.5.2</v>
          </cell>
          <cell r="E831"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31" t="str">
            <v>PVEL HVAC</v>
          </cell>
          <cell r="R831" t="str">
            <v>BT</v>
          </cell>
          <cell r="S831" t="str">
            <v>BT</v>
          </cell>
          <cell r="T831" t="str">
            <v>NA</v>
          </cell>
          <cell r="U831" t="str">
            <v>Boualem Aouchiche</v>
          </cell>
          <cell r="Z831" t="str">
            <v>RTS 174 JS2 EAI 20/07/2020</v>
          </cell>
          <cell r="AA831" t="str">
            <v>E</v>
          </cell>
          <cell r="AB831" t="str">
            <v>Logiciel</v>
          </cell>
          <cell r="AC831" t="str">
            <v>EAI</v>
          </cell>
          <cell r="AD831" t="str">
            <v>ST EZ.4-20051</v>
          </cell>
          <cell r="AE831" t="str">
            <v xml:space="preserve">
Spécification pour la réalisation des logiciels embarqués
Composants électroniques complexes
Spécification pour la réalisation des outils de maintenance de niveau 1 sur PC portable
</v>
          </cell>
          <cell r="AF831" t="str">
            <v>8.1.2.6</v>
          </cell>
          <cell r="AI831">
            <v>1</v>
          </cell>
          <cell r="AN831" t="str">
            <v>FP</v>
          </cell>
          <cell r="AP831" t="str">
            <v>FD</v>
          </cell>
          <cell r="CH831" t="e">
            <v>#N/A</v>
          </cell>
          <cell r="CI831" t="e">
            <v>#N/A</v>
          </cell>
          <cell r="CJ831" t="e">
            <v>#N/A</v>
          </cell>
        </row>
        <row r="832">
          <cell r="B832" t="str">
            <v>Ligne_214.5.3_PPD</v>
          </cell>
          <cell r="C832" t="str">
            <v>214.5.3</v>
          </cell>
          <cell r="E832"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32" t="str">
            <v>PVEL ETF</v>
          </cell>
          <cell r="R832" t="str">
            <v>TRT</v>
          </cell>
          <cell r="S832" t="str">
            <v>AT</v>
          </cell>
          <cell r="T832" t="str">
            <v>NA</v>
          </cell>
          <cell r="U832" t="str">
            <v>E.DELMAERE</v>
          </cell>
          <cell r="Z832" t="str">
            <v>RTS 174 JS2 EAI 20/07/2020</v>
          </cell>
          <cell r="AA832" t="str">
            <v>E</v>
          </cell>
          <cell r="AB832" t="str">
            <v>Logiciel</v>
          </cell>
          <cell r="AC832" t="str">
            <v>EAI</v>
          </cell>
          <cell r="AD832" t="str">
            <v>ST EZ.4-20051</v>
          </cell>
          <cell r="AE832" t="str">
            <v xml:space="preserve">
Spécification pour la réalisation des logiciels embarqués
Composants électroniques complexes
Spécification pour la réalisation des outils de maintenance de niveau 1 sur PC portable
</v>
          </cell>
          <cell r="AF832" t="str">
            <v>8.1.2.2</v>
          </cell>
          <cell r="AI832">
            <v>1</v>
          </cell>
          <cell r="AN832" t="str">
            <v>FP</v>
          </cell>
          <cell r="AP832" t="str">
            <v>FD</v>
          </cell>
          <cell r="CH832" t="e">
            <v>#N/A</v>
          </cell>
          <cell r="CI832" t="e">
            <v>#N/A</v>
          </cell>
          <cell r="CJ832" t="e">
            <v>#N/A</v>
          </cell>
        </row>
        <row r="833">
          <cell r="B833" t="str">
            <v>Ligne_214.5.4_PPD</v>
          </cell>
          <cell r="C833" t="str">
            <v>214.5.4</v>
          </cell>
          <cell r="E833"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33" t="str">
            <v>PVEL IS CP-MIS</v>
          </cell>
          <cell r="R833" t="str">
            <v>AIX</v>
          </cell>
          <cell r="S833" t="str">
            <v>AT</v>
          </cell>
          <cell r="T833" t="str">
            <v>NA</v>
          </cell>
          <cell r="U833" t="str">
            <v>MA.SAILLARD</v>
          </cell>
          <cell r="Z833" t="str">
            <v>RTS 174 JS2 EAI 20/07/2020</v>
          </cell>
          <cell r="AA833" t="str">
            <v>E</v>
          </cell>
          <cell r="AB833" t="str">
            <v>Logiciel</v>
          </cell>
          <cell r="AC833" t="str">
            <v>EAI</v>
          </cell>
          <cell r="AD833" t="str">
            <v>ST EZ.4-20051</v>
          </cell>
          <cell r="AE833" t="str">
            <v xml:space="preserve">
Spécification pour la réalisation des logiciels embarqués
Composants électroniques complexes
Spécification pour la réalisation des outils de maintenance de niveau 1 sur PC portable
</v>
          </cell>
          <cell r="AF833" t="str">
            <v>8.1.2.2</v>
          </cell>
          <cell r="AI833">
            <v>1</v>
          </cell>
          <cell r="AN833" t="str">
            <v>FP</v>
          </cell>
          <cell r="AP833" t="str">
            <v>FD</v>
          </cell>
          <cell r="CH833" t="e">
            <v>#N/A</v>
          </cell>
          <cell r="CI833" t="e">
            <v>#N/A</v>
          </cell>
          <cell r="CJ833" t="e">
            <v>#N/A</v>
          </cell>
        </row>
        <row r="834">
          <cell r="B834" t="str">
            <v>Ligne_214.5.5_PPD</v>
          </cell>
          <cell r="C834" t="str">
            <v>214.5.5</v>
          </cell>
          <cell r="E834"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34" t="str">
            <v>PVEL IS MINS</v>
          </cell>
          <cell r="R834" t="str">
            <v>AIX</v>
          </cell>
          <cell r="S834" t="str">
            <v>AT</v>
          </cell>
          <cell r="T834" t="str">
            <v>NA</v>
          </cell>
          <cell r="U834" t="str">
            <v>MA.SAILLARD</v>
          </cell>
          <cell r="Z834" t="str">
            <v>RTS 174 JS2 EAI 20/07/2020</v>
          </cell>
          <cell r="AA834" t="str">
            <v>E</v>
          </cell>
          <cell r="AB834" t="str">
            <v>Logiciel</v>
          </cell>
          <cell r="AC834" t="str">
            <v>EAI</v>
          </cell>
          <cell r="AD834" t="str">
            <v>ST EZ.4-20051</v>
          </cell>
          <cell r="AE834" t="str">
            <v xml:space="preserve">
Spécification pour la réalisation des logiciels embarqués
Composants électroniques complexes
Spécification pour la réalisation des outils de maintenance de niveau 1 sur PC portable
</v>
          </cell>
          <cell r="AF834" t="str">
            <v>8.1.2.2</v>
          </cell>
          <cell r="AI834">
            <v>1</v>
          </cell>
          <cell r="AN834" t="str">
            <v>FP</v>
          </cell>
          <cell r="AP834" t="str">
            <v>FD</v>
          </cell>
          <cell r="CH834" t="e">
            <v>#N/A</v>
          </cell>
          <cell r="CI834" t="e">
            <v>#N/A</v>
          </cell>
          <cell r="CJ834" t="e">
            <v>#N/A</v>
          </cell>
        </row>
        <row r="835">
          <cell r="B835" t="str">
            <v>ajout</v>
          </cell>
          <cell r="C835" t="str">
            <v>214.5.6</v>
          </cell>
          <cell r="E835"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35" t="str">
            <v>PVEL IVSC (inclus dans PAQL 57.7)</v>
          </cell>
          <cell r="R835" t="str">
            <v>NA</v>
          </cell>
          <cell r="S835" t="str">
            <v>AT</v>
          </cell>
          <cell r="T835" t="str">
            <v>NA</v>
          </cell>
          <cell r="U835" t="str">
            <v>P.DENIS</v>
          </cell>
          <cell r="Z835" t="str">
            <v>RTS 174 JS2 EAI 20/07/2020</v>
          </cell>
          <cell r="AA835" t="str">
            <v>E</v>
          </cell>
          <cell r="AB835" t="str">
            <v>Logiciel</v>
          </cell>
          <cell r="AC835" t="str">
            <v>EAI</v>
          </cell>
          <cell r="AD835" t="str">
            <v>ST EZ.4-20051</v>
          </cell>
          <cell r="AE835" t="str">
            <v xml:space="preserve">
Spécification pour la réalisation des logiciels embarqués
Composants électroniques complexes
Spécification pour la réalisation des outils de maintenance de niveau 1 sur PC portable
</v>
          </cell>
          <cell r="AF835" t="str">
            <v>8.1.2.2</v>
          </cell>
          <cell r="AI835" t="str">
            <v>RENVOI</v>
          </cell>
          <cell r="AN835" t="str">
            <v>FP</v>
          </cell>
          <cell r="AP835" t="str">
            <v>FD</v>
          </cell>
          <cell r="CH835" t="e">
            <v>#N/A</v>
          </cell>
          <cell r="CI835" t="e">
            <v>#N/A</v>
          </cell>
          <cell r="CJ835" t="e">
            <v>#N/A</v>
          </cell>
        </row>
        <row r="836">
          <cell r="B836" t="str">
            <v>ajout</v>
          </cell>
          <cell r="C836" t="str">
            <v>214.5.7</v>
          </cell>
          <cell r="E836"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36" t="str">
            <v>PVEL VP (inclus dans PAQL 57.8)</v>
          </cell>
          <cell r="R836" t="str">
            <v>NA</v>
          </cell>
          <cell r="S836" t="str">
            <v>AT</v>
          </cell>
          <cell r="T836" t="str">
            <v>NA</v>
          </cell>
          <cell r="U836" t="str">
            <v>P.DENIS</v>
          </cell>
          <cell r="Z836" t="str">
            <v>RTS 174 JS2 EAI 20/07/2020</v>
          </cell>
          <cell r="AA836" t="str">
            <v>E</v>
          </cell>
          <cell r="AB836" t="str">
            <v>Logiciel</v>
          </cell>
          <cell r="AC836" t="str">
            <v>EAI</v>
          </cell>
          <cell r="AD836" t="str">
            <v>ST EZ.4-20051</v>
          </cell>
          <cell r="AE836" t="str">
            <v xml:space="preserve">
Spécification pour la réalisation des logiciels embarqués
Composants électroniques complexes
Spécification pour la réalisation des outils de maintenance de niveau 1 sur PC portable
</v>
          </cell>
          <cell r="AF836" t="str">
            <v>8.1.2.2</v>
          </cell>
          <cell r="AI836" t="str">
            <v>RENVOI</v>
          </cell>
          <cell r="AN836" t="str">
            <v>FP</v>
          </cell>
          <cell r="AP836" t="str">
            <v>FD</v>
          </cell>
          <cell r="CH836" t="e">
            <v>#N/A</v>
          </cell>
          <cell r="CI836" t="e">
            <v>#N/A</v>
          </cell>
          <cell r="CJ836" t="e">
            <v>#N/A</v>
          </cell>
        </row>
        <row r="837">
          <cell r="B837" t="str">
            <v>Ligne_214.6_PPD</v>
          </cell>
          <cell r="C837" t="str">
            <v>214.6</v>
          </cell>
          <cell r="E837"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37" t="str">
            <v>PVL : Plan de Validation du Logiciel</v>
          </cell>
          <cell r="R837" t="str">
            <v>NA</v>
          </cell>
          <cell r="S837" t="str">
            <v>ABT</v>
          </cell>
          <cell r="T837" t="str">
            <v>NA</v>
          </cell>
          <cell r="U837" t="str">
            <v>J.DOMAS</v>
          </cell>
          <cell r="Z837" t="str">
            <v>RTS 174 JS2 EAI 20/07/2020</v>
          </cell>
          <cell r="AA837" t="str">
            <v>E</v>
          </cell>
          <cell r="AB837" t="str">
            <v>Logiciel</v>
          </cell>
          <cell r="AC837" t="str">
            <v>EAI</v>
          </cell>
          <cell r="AD837" t="str">
            <v>ST EZ.4-20051</v>
          </cell>
          <cell r="AE837" t="str">
            <v xml:space="preserve">
Spécification pour la réalisation des logiciels embarqués
Composants électroniques complexes
Spécification pour la réalisation des outils de maintenance de niveau 1 sur PC portable
</v>
          </cell>
          <cell r="AF837" t="str">
            <v>8.1.2.7</v>
          </cell>
          <cell r="AI837" t="str">
            <v>LIVRABLE</v>
          </cell>
          <cell r="AN837" t="str">
            <v>FP</v>
          </cell>
          <cell r="AP837" t="str">
            <v>FD</v>
          </cell>
          <cell r="CH837" t="e">
            <v>#N/A</v>
          </cell>
          <cell r="CI837" t="e">
            <v>#N/A</v>
          </cell>
          <cell r="CJ837" t="e">
            <v>#N/A</v>
          </cell>
        </row>
        <row r="838">
          <cell r="A838" t="str">
            <v>ADD0003308466</v>
          </cell>
          <cell r="B838" t="str">
            <v>Ligne_214.6.1_PPD</v>
          </cell>
          <cell r="C838" t="str">
            <v>214.6.1</v>
          </cell>
          <cell r="E838"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38" t="str">
            <v>PVL INFORMATIQUE DE CONFORT</v>
          </cell>
          <cell r="R838" t="str">
            <v>VPF</v>
          </cell>
          <cell r="S838" t="str">
            <v>AT</v>
          </cell>
          <cell r="U838" t="str">
            <v>E.DELMAERE</v>
          </cell>
          <cell r="Z838" t="str">
            <v>RTS 174 JS2 EAI 20/07/2020</v>
          </cell>
          <cell r="AA838" t="str">
            <v>E</v>
          </cell>
          <cell r="AB838" t="str">
            <v>Logiciel</v>
          </cell>
          <cell r="AC838" t="str">
            <v>EAI</v>
          </cell>
          <cell r="AD838" t="str">
            <v>ST EZ.4-20051</v>
          </cell>
          <cell r="AE838" t="str">
            <v xml:space="preserve">
Spécification pour la réalisation des logiciels embarqués
Composants électroniques complexes
Spécification pour la réalisation des outils de maintenance de niveau 1 sur PC portable
</v>
          </cell>
          <cell r="AF838" t="str">
            <v>8.1.2.2</v>
          </cell>
          <cell r="AI838">
            <v>1</v>
          </cell>
          <cell r="AN838" t="str">
            <v>FP</v>
          </cell>
          <cell r="AP838" t="str">
            <v>FD</v>
          </cell>
          <cell r="CH838" t="e">
            <v>#N/A</v>
          </cell>
          <cell r="CI838" t="e">
            <v>#N/A</v>
          </cell>
          <cell r="CJ838" t="e">
            <v>#N/A</v>
          </cell>
        </row>
        <row r="839">
          <cell r="B839" t="str">
            <v>Ligne_214.6.2_PPD</v>
          </cell>
          <cell r="C839" t="str">
            <v>214.6.2</v>
          </cell>
          <cell r="E839"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39" t="str">
            <v>PVL HVAC</v>
          </cell>
          <cell r="R839" t="str">
            <v>BT</v>
          </cell>
          <cell r="S839" t="str">
            <v>BT</v>
          </cell>
          <cell r="T839" t="str">
            <v>AT</v>
          </cell>
          <cell r="U839" t="str">
            <v>Boualem Aouchiche</v>
          </cell>
          <cell r="Z839" t="str">
            <v>RTS 174 JS2 EAI 20/07/2020</v>
          </cell>
          <cell r="AA839" t="str">
            <v>E</v>
          </cell>
          <cell r="AB839" t="str">
            <v>Logiciel</v>
          </cell>
          <cell r="AC839" t="str">
            <v>EAI</v>
          </cell>
          <cell r="AD839" t="str">
            <v>ST EZ.4-20051</v>
          </cell>
          <cell r="AE839" t="str">
            <v xml:space="preserve">
Spécification pour la réalisation des logiciels embarqués
Composants électroniques complexes
Spécification pour la réalisation des outils de maintenance de niveau 1 sur PC portable
</v>
          </cell>
          <cell r="AF839" t="str">
            <v>8.1.2.2</v>
          </cell>
          <cell r="AI839">
            <v>1</v>
          </cell>
          <cell r="AN839" t="str">
            <v>FP</v>
          </cell>
          <cell r="AP839" t="str">
            <v>FD</v>
          </cell>
          <cell r="CH839" t="e">
            <v>#N/A</v>
          </cell>
          <cell r="CI839" t="e">
            <v>#N/A</v>
          </cell>
          <cell r="CJ839" t="e">
            <v>#N/A</v>
          </cell>
        </row>
        <row r="840">
          <cell r="B840" t="str">
            <v>Ligne_214.6.3_PPD</v>
          </cell>
          <cell r="C840" t="str">
            <v>214.6.3</v>
          </cell>
          <cell r="E840"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40" t="str">
            <v>PVL ETF</v>
          </cell>
          <cell r="R840" t="str">
            <v>TRT</v>
          </cell>
          <cell r="S840" t="str">
            <v>AT</v>
          </cell>
          <cell r="Z840" t="str">
            <v>RTS 174 JS2 EAI 20/07/2020</v>
          </cell>
          <cell r="AA840" t="str">
            <v>E</v>
          </cell>
          <cell r="AB840" t="str">
            <v>Logiciel</v>
          </cell>
          <cell r="AC840" t="str">
            <v>EAI</v>
          </cell>
          <cell r="AD840" t="str">
            <v>ST EZ.4-20051</v>
          </cell>
          <cell r="AE840" t="str">
            <v xml:space="preserve">
Spécification pour la réalisation des logiciels embarqués
Composants électroniques complexes
Spécification pour la réalisation des outils de maintenance de niveau 1 sur PC portable
</v>
          </cell>
          <cell r="AF840" t="str">
            <v>8.1.2.2</v>
          </cell>
          <cell r="AI840">
            <v>1</v>
          </cell>
          <cell r="AN840" t="str">
            <v>FP</v>
          </cell>
          <cell r="AP840" t="str">
            <v>FD</v>
          </cell>
          <cell r="CH840" t="e">
            <v>#N/A</v>
          </cell>
          <cell r="CI840" t="e">
            <v>#N/A</v>
          </cell>
          <cell r="CJ840" t="e">
            <v>#N/A</v>
          </cell>
        </row>
        <row r="841">
          <cell r="B841" t="str">
            <v>Ligne_214.6.4_PPD</v>
          </cell>
          <cell r="C841" t="str">
            <v>214.6.4</v>
          </cell>
          <cell r="E841"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41" t="str">
            <v>PVL CVS APPLICATIF</v>
          </cell>
          <cell r="R841" t="str">
            <v>CHA</v>
          </cell>
          <cell r="S841" t="str">
            <v>AT</v>
          </cell>
          <cell r="Z841" t="str">
            <v>RTS 174 JS2 EAI 20/07/2020</v>
          </cell>
          <cell r="AA841" t="str">
            <v>E</v>
          </cell>
          <cell r="AB841" t="str">
            <v>Logiciel</v>
          </cell>
          <cell r="AC841" t="str">
            <v>EAI</v>
          </cell>
          <cell r="AD841" t="str">
            <v>ST EZ.4-20051</v>
          </cell>
          <cell r="AE841" t="str">
            <v xml:space="preserve">
Spécification pour la réalisation des logiciels embarqués
Composants électroniques complexes
Spécification pour la réalisation des outils de maintenance de niveau 1 sur PC portable
</v>
          </cell>
          <cell r="AF841" t="str">
            <v>8.1.2.2</v>
          </cell>
          <cell r="AI841">
            <v>1</v>
          </cell>
          <cell r="AN841" t="str">
            <v>FP</v>
          </cell>
          <cell r="AP841" t="str">
            <v>FD</v>
          </cell>
          <cell r="CH841" t="e">
            <v>#N/A</v>
          </cell>
          <cell r="CI841" t="e">
            <v>#N/A</v>
          </cell>
          <cell r="CJ841" t="e">
            <v>#N/A</v>
          </cell>
        </row>
        <row r="842">
          <cell r="B842" t="str">
            <v>Ligne_214.6.5_PPD</v>
          </cell>
          <cell r="C842" t="str">
            <v>214.6.5</v>
          </cell>
          <cell r="E842"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42" t="str">
            <v>PVL IVSC</v>
          </cell>
          <cell r="R842" t="str">
            <v>VBN</v>
          </cell>
          <cell r="S842" t="str">
            <v>AT</v>
          </cell>
          <cell r="T842" t="str">
            <v>EX</v>
          </cell>
          <cell r="U842" t="str">
            <v>P.DENIS</v>
          </cell>
          <cell r="Z842" t="str">
            <v>RTS 174 JS2 EAI 20/07/2020</v>
          </cell>
          <cell r="AA842" t="str">
            <v>E</v>
          </cell>
          <cell r="AB842" t="str">
            <v>Logiciel</v>
          </cell>
          <cell r="AC842" t="str">
            <v>EAI</v>
          </cell>
          <cell r="AD842" t="str">
            <v>ST EZ.4-20051</v>
          </cell>
          <cell r="AE842" t="str">
            <v xml:space="preserve">
Spécification pour la réalisation des logiciels embarqués
Composants électroniques complexes
Spécification pour la réalisation des outils de maintenance de niveau 1 sur PC portable
</v>
          </cell>
          <cell r="AF842" t="str">
            <v>8.1.2.2</v>
          </cell>
          <cell r="AI842">
            <v>1</v>
          </cell>
          <cell r="AN842" t="str">
            <v>FP</v>
          </cell>
          <cell r="AP842" t="str">
            <v>FD</v>
          </cell>
          <cell r="CH842" t="e">
            <v>#N/A</v>
          </cell>
          <cell r="CI842" t="e">
            <v>#N/A</v>
          </cell>
          <cell r="CJ842" t="e">
            <v>#N/A</v>
          </cell>
        </row>
        <row r="843">
          <cell r="B843" t="str">
            <v>Ligne_214.6.6_PPD</v>
          </cell>
          <cell r="C843" t="str">
            <v>214.6.6</v>
          </cell>
          <cell r="E843"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43" t="str">
            <v>PVL VP</v>
          </cell>
          <cell r="R843" t="str">
            <v>VBN</v>
          </cell>
          <cell r="S843" t="str">
            <v>AT</v>
          </cell>
          <cell r="T843" t="str">
            <v>EX</v>
          </cell>
          <cell r="U843" t="str">
            <v>P.DENIS</v>
          </cell>
          <cell r="Z843" t="str">
            <v>RTS 174 JS2 EAI 20/07/2020</v>
          </cell>
          <cell r="AA843" t="str">
            <v>E</v>
          </cell>
          <cell r="AB843" t="str">
            <v>Logiciel</v>
          </cell>
          <cell r="AC843" t="str">
            <v>EAI</v>
          </cell>
          <cell r="AD843" t="str">
            <v>ST EZ.4-20051</v>
          </cell>
          <cell r="AE843" t="str">
            <v xml:space="preserve">
Spécification pour la réalisation des logiciels embarqués
Composants électroniques complexes
Spécification pour la réalisation des outils de maintenance de niveau 1 sur PC portable
</v>
          </cell>
          <cell r="AF843" t="str">
            <v>8.1.2.2</v>
          </cell>
          <cell r="AI843">
            <v>1</v>
          </cell>
          <cell r="AN843" t="str">
            <v>FP</v>
          </cell>
          <cell r="AP843" t="str">
            <v>FD</v>
          </cell>
          <cell r="CH843" t="e">
            <v>#N/A</v>
          </cell>
          <cell r="CI843" t="e">
            <v>#N/A</v>
          </cell>
          <cell r="CJ843" t="e">
            <v>#N/A</v>
          </cell>
        </row>
        <row r="844">
          <cell r="B844" t="str">
            <v>Ligne_214.6.7_PPD</v>
          </cell>
          <cell r="C844" t="str">
            <v>214.6.7</v>
          </cell>
          <cell r="E844"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44" t="str">
            <v>PVL - PASSERELLE SOL ET COMPTAGE PASSAGER</v>
          </cell>
          <cell r="R844" t="str">
            <v>VBN</v>
          </cell>
          <cell r="S844" t="str">
            <v>AT</v>
          </cell>
          <cell r="T844" t="str">
            <v>EX</v>
          </cell>
          <cell r="U844" t="str">
            <v>P.DENIS</v>
          </cell>
          <cell r="Z844" t="str">
            <v>RTS 174 JS2 EAI 20/07/2020</v>
          </cell>
          <cell r="AA844" t="str">
            <v>E</v>
          </cell>
          <cell r="AB844" t="str">
            <v>Logiciel</v>
          </cell>
          <cell r="AC844" t="str">
            <v>EAI</v>
          </cell>
          <cell r="AD844" t="str">
            <v>ST EZ.4-20051</v>
          </cell>
          <cell r="AE844" t="str">
            <v xml:space="preserve">
Spécification pour la réalisation des logiciels embarqués
Composants électroniques complexes
Spécification pour la réalisation des outils de maintenance de niveau 1 sur PC portable
</v>
          </cell>
          <cell r="AF844" t="str">
            <v>8.1.2.2</v>
          </cell>
          <cell r="AI844">
            <v>1</v>
          </cell>
          <cell r="AN844" t="str">
            <v>FP</v>
          </cell>
          <cell r="AP844" t="str">
            <v>FD</v>
          </cell>
          <cell r="CH844" t="e">
            <v>#N/A</v>
          </cell>
          <cell r="CI844" t="e">
            <v>#N/A</v>
          </cell>
          <cell r="CJ844" t="e">
            <v>#N/A</v>
          </cell>
        </row>
        <row r="845">
          <cell r="B845" t="str">
            <v>Ligne_214.7_PPD</v>
          </cell>
          <cell r="C845" t="str">
            <v>214.7</v>
          </cell>
          <cell r="E845"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45" t="str">
            <v>PML : Plan de Maintenance du Logiciel</v>
          </cell>
          <cell r="R845" t="str">
            <v>NA</v>
          </cell>
          <cell r="S845" t="str">
            <v>ABT</v>
          </cell>
          <cell r="T845" t="str">
            <v>NA</v>
          </cell>
          <cell r="U845" t="str">
            <v>J.DOMAS</v>
          </cell>
          <cell r="Z845" t="str">
            <v>RTS 174 JS2 EAI 20/07/2020</v>
          </cell>
          <cell r="AA845" t="str">
            <v>E</v>
          </cell>
          <cell r="AB845" t="str">
            <v>Logiciel</v>
          </cell>
          <cell r="AC845" t="str">
            <v>EAI</v>
          </cell>
          <cell r="AD845" t="str">
            <v>ST EZ.4-20051</v>
          </cell>
          <cell r="AE845" t="str">
            <v xml:space="preserve">
Spécification pour la réalisation des logiciels embarqués
Composants électroniques complexes
Spécification pour la réalisation des outils de maintenance de niveau 1 sur PC portable
</v>
          </cell>
          <cell r="AF845" t="str">
            <v>8.1.2.8</v>
          </cell>
          <cell r="AI845" t="str">
            <v>LIVRABLE</v>
          </cell>
          <cell r="AN845" t="str">
            <v>FP</v>
          </cell>
          <cell r="AP845" t="str">
            <v>FD</v>
          </cell>
          <cell r="CH845" t="e">
            <v>#N/A</v>
          </cell>
          <cell r="CI845" t="e">
            <v>#N/A</v>
          </cell>
          <cell r="CJ845" t="e">
            <v>#N/A</v>
          </cell>
        </row>
        <row r="846">
          <cell r="B846" t="str">
            <v>Ligne_214.7.1_PPD</v>
          </cell>
          <cell r="C846" t="str">
            <v>214.7.1</v>
          </cell>
          <cell r="E846"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46" t="str">
            <v>PML HVAC (inclus dans PAQL 57.4)</v>
          </cell>
          <cell r="R846" t="str">
            <v>NA</v>
          </cell>
          <cell r="S846" t="str">
            <v>BT</v>
          </cell>
          <cell r="T846" t="str">
            <v>NA</v>
          </cell>
          <cell r="U846" t="str">
            <v>Boualem Aouchiche</v>
          </cell>
          <cell r="Z846" t="str">
            <v>RTS 174 JS2 EAI 20/07/2020</v>
          </cell>
          <cell r="AA846" t="str">
            <v>E</v>
          </cell>
          <cell r="AB846" t="str">
            <v>Logiciel</v>
          </cell>
          <cell r="AC846" t="str">
            <v>EAI</v>
          </cell>
          <cell r="AD846" t="str">
            <v>ST EZ.4-20051</v>
          </cell>
          <cell r="AE846" t="str">
            <v xml:space="preserve">
Spécification pour la réalisation des logiciels embarqués
Composants électroniques complexes
Spécification pour la réalisation des outils de maintenance de niveau 1 sur PC portable
</v>
          </cell>
          <cell r="AF846" t="str">
            <v>8.1.2.8</v>
          </cell>
          <cell r="AI846" t="str">
            <v>RENVOI</v>
          </cell>
          <cell r="AN846" t="str">
            <v>FP</v>
          </cell>
          <cell r="AP846" t="str">
            <v>FD</v>
          </cell>
          <cell r="CH846" t="e">
            <v>#N/A</v>
          </cell>
          <cell r="CI846" t="e">
            <v>#N/A</v>
          </cell>
          <cell r="CJ846" t="e">
            <v>#N/A</v>
          </cell>
        </row>
        <row r="847">
          <cell r="B847" t="str">
            <v>Ligne_214.7.2_PPD</v>
          </cell>
          <cell r="C847" t="str">
            <v>214.7.2</v>
          </cell>
          <cell r="E847"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47" t="str">
            <v>PML IVSC (inclus dans PAQL 57.7)</v>
          </cell>
          <cell r="R847" t="str">
            <v>NA</v>
          </cell>
          <cell r="S847" t="str">
            <v>AT</v>
          </cell>
          <cell r="T847" t="str">
            <v>NA</v>
          </cell>
          <cell r="U847" t="str">
            <v>J.DOMAS</v>
          </cell>
          <cell r="Z847" t="str">
            <v>RTS 174 JS2 EAI 20/07/2020</v>
          </cell>
          <cell r="AA847" t="str">
            <v>E</v>
          </cell>
          <cell r="AB847" t="str">
            <v>Logiciel</v>
          </cell>
          <cell r="AC847" t="str">
            <v>EAI</v>
          </cell>
          <cell r="AD847" t="str">
            <v>ST EZ.4-20051</v>
          </cell>
          <cell r="AE847" t="str">
            <v xml:space="preserve">
Spécification pour la réalisation des logiciels embarqués
Composants électroniques complexes
Spécification pour la réalisation des outils de maintenance de niveau 1 sur PC portable
</v>
          </cell>
          <cell r="AF847" t="str">
            <v>8.1.2.8</v>
          </cell>
          <cell r="AI847" t="str">
            <v>RENVOI</v>
          </cell>
          <cell r="AN847" t="str">
            <v>FP</v>
          </cell>
          <cell r="AP847" t="str">
            <v>FD</v>
          </cell>
          <cell r="CH847" t="e">
            <v>#N/A</v>
          </cell>
          <cell r="CI847" t="e">
            <v>#N/A</v>
          </cell>
          <cell r="CJ847" t="e">
            <v>#N/A</v>
          </cell>
        </row>
        <row r="848">
          <cell r="B848" t="str">
            <v>Ligne_214.7.3_PPD</v>
          </cell>
          <cell r="C848" t="str">
            <v>214.7.3</v>
          </cell>
          <cell r="E848"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48" t="str">
            <v>PML VP (inclus dans PAQL 57.8)</v>
          </cell>
          <cell r="R848" t="str">
            <v>NA</v>
          </cell>
          <cell r="S848" t="str">
            <v>AT</v>
          </cell>
          <cell r="T848" t="str">
            <v>NA</v>
          </cell>
          <cell r="U848" t="str">
            <v>J.DOMAS</v>
          </cell>
          <cell r="Z848" t="str">
            <v>RTS 174 JS2 EAI 20/07/2020</v>
          </cell>
          <cell r="AA848" t="str">
            <v>E</v>
          </cell>
          <cell r="AB848" t="str">
            <v>Logiciel</v>
          </cell>
          <cell r="AC848" t="str">
            <v>EAI</v>
          </cell>
          <cell r="AD848" t="str">
            <v>ST EZ.4-20051</v>
          </cell>
          <cell r="AE848" t="str">
            <v xml:space="preserve">
Spécification pour la réalisation des logiciels embarqués
Composants électroniques complexes
Spécification pour la réalisation des outils de maintenance de niveau 1 sur PC portable
</v>
          </cell>
          <cell r="AF848" t="str">
            <v>8.1.2.8</v>
          </cell>
          <cell r="AI848" t="str">
            <v>RENVOI</v>
          </cell>
          <cell r="AN848" t="str">
            <v>FP</v>
          </cell>
          <cell r="AP848" t="str">
            <v>FD</v>
          </cell>
          <cell r="CH848" t="e">
            <v>#N/A</v>
          </cell>
          <cell r="CI848" t="e">
            <v>#N/A</v>
          </cell>
          <cell r="CJ848" t="e">
            <v>#N/A</v>
          </cell>
        </row>
        <row r="849">
          <cell r="B849" t="str">
            <v>Ligne_214.8_PPD</v>
          </cell>
          <cell r="C849" t="str">
            <v>214.8</v>
          </cell>
          <cell r="E849"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49" t="str">
            <v>PEVAL : Plan d’Evaluation du Logiciel</v>
          </cell>
          <cell r="R849" t="str">
            <v>NA</v>
          </cell>
          <cell r="S849" t="str">
            <v>ABT</v>
          </cell>
          <cell r="T849" t="str">
            <v>NA</v>
          </cell>
          <cell r="U849" t="str">
            <v>J.DOMAS</v>
          </cell>
          <cell r="Z849" t="str">
            <v>RTS 174 JS2 EAI 20/07/2020</v>
          </cell>
          <cell r="AA849" t="str">
            <v>E</v>
          </cell>
          <cell r="AB849" t="str">
            <v>Logiciel</v>
          </cell>
          <cell r="AC849" t="str">
            <v>EAI</v>
          </cell>
          <cell r="AD849" t="str">
            <v>ST EZ.4-20051</v>
          </cell>
          <cell r="AE849" t="str">
            <v xml:space="preserve">
Spécification pour la réalisation des logiciels embarqués
Composants électroniques complexes
Spécification pour la réalisation des outils de maintenance de niveau 1 sur PC portable
</v>
          </cell>
          <cell r="AF849" t="str">
            <v>8.1.2.9</v>
          </cell>
          <cell r="AI849" t="str">
            <v>LIVRABLE</v>
          </cell>
          <cell r="AN849" t="str">
            <v>FP</v>
          </cell>
          <cell r="AP849" t="str">
            <v>FD</v>
          </cell>
          <cell r="CH849" t="e">
            <v>#N/A</v>
          </cell>
          <cell r="CI849" t="e">
            <v>#N/A</v>
          </cell>
          <cell r="CJ849" t="e">
            <v>#N/A</v>
          </cell>
        </row>
        <row r="850">
          <cell r="B850" t="str">
            <v>Ligne_214.8.1_PPD</v>
          </cell>
          <cell r="C850" t="str">
            <v>214.8.1</v>
          </cell>
          <cell r="E850"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50" t="str">
            <v>PEVAL ETF</v>
          </cell>
          <cell r="R850" t="str">
            <v>TRT</v>
          </cell>
          <cell r="S850" t="str">
            <v>AT</v>
          </cell>
          <cell r="T850" t="str">
            <v>BT</v>
          </cell>
          <cell r="U850" t="str">
            <v>J.DOMAS</v>
          </cell>
          <cell r="Z850" t="str">
            <v>RTS 174 JS2 EAI 20/07/2020</v>
          </cell>
          <cell r="AA850" t="str">
            <v>E</v>
          </cell>
          <cell r="AB850" t="str">
            <v>Logiciel</v>
          </cell>
          <cell r="AC850" t="str">
            <v>EAI</v>
          </cell>
          <cell r="AD850" t="str">
            <v>ST EZ.4-20051</v>
          </cell>
          <cell r="AE850" t="str">
            <v xml:space="preserve">
Spécification pour la réalisation des logiciels embarqués
Composants électroniques complexes
Spécification pour la réalisation des outils de maintenance de niveau 1 sur PC portable
</v>
          </cell>
          <cell r="AF850" t="str">
            <v>8.1.2.9</v>
          </cell>
          <cell r="AI850">
            <v>1</v>
          </cell>
          <cell r="AN850" t="str">
            <v>FP</v>
          </cell>
          <cell r="AP850" t="str">
            <v>FD</v>
          </cell>
          <cell r="CH850" t="e">
            <v>#N/A</v>
          </cell>
          <cell r="CI850" t="e">
            <v>#N/A</v>
          </cell>
          <cell r="CJ850" t="e">
            <v>#N/A</v>
          </cell>
        </row>
        <row r="851">
          <cell r="B851" t="str">
            <v>Ligne_214.8.2_PPD</v>
          </cell>
          <cell r="C851" t="str">
            <v>214.8.2</v>
          </cell>
          <cell r="E851"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51" t="str">
            <v>PEVAL PORTES</v>
          </cell>
          <cell r="R851" t="str">
            <v>VPF</v>
          </cell>
          <cell r="S851" t="str">
            <v>AT</v>
          </cell>
          <cell r="T851" t="str">
            <v>BT</v>
          </cell>
          <cell r="U851" t="str">
            <v>J.DOMAS</v>
          </cell>
          <cell r="Z851" t="str">
            <v>RTS 174 JS2 EAI 20/07/2020</v>
          </cell>
          <cell r="AA851" t="str">
            <v>E</v>
          </cell>
          <cell r="AB851" t="str">
            <v>Logiciel</v>
          </cell>
          <cell r="AC851" t="str">
            <v>EAI</v>
          </cell>
          <cell r="AD851" t="str">
            <v>ST EZ.4-20051</v>
          </cell>
          <cell r="AE851" t="str">
            <v xml:space="preserve">
Spécification pour la réalisation des logiciels embarqués
Composants électroniques complexes
Spécification pour la réalisation des outils de maintenance de niveau 1 sur PC portable
</v>
          </cell>
          <cell r="AF851" t="str">
            <v>8.1.2.9</v>
          </cell>
          <cell r="AI851">
            <v>1</v>
          </cell>
          <cell r="AN851" t="str">
            <v>FP</v>
          </cell>
          <cell r="AP851" t="str">
            <v>FD</v>
          </cell>
          <cell r="CH851" t="e">
            <v>#N/A</v>
          </cell>
          <cell r="CI851" t="e">
            <v>#N/A</v>
          </cell>
          <cell r="CJ851" t="e">
            <v>#N/A</v>
          </cell>
        </row>
        <row r="852">
          <cell r="B852" t="str">
            <v>Ligne_214.8.3_PPD</v>
          </cell>
          <cell r="C852" t="str">
            <v>214.8.3</v>
          </cell>
          <cell r="E852"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52" t="str">
            <v>PEVAL IS</v>
          </cell>
          <cell r="R852" t="str">
            <v>AIX</v>
          </cell>
          <cell r="S852" t="str">
            <v>AT</v>
          </cell>
          <cell r="T852" t="str">
            <v>BT</v>
          </cell>
          <cell r="U852" t="str">
            <v>MA.SAILLARD</v>
          </cell>
          <cell r="Z852" t="str">
            <v>RTS 174 JS2 EAI 20/07/2020</v>
          </cell>
          <cell r="AA852" t="str">
            <v>E</v>
          </cell>
          <cell r="AB852" t="str">
            <v>Logiciel</v>
          </cell>
          <cell r="AC852" t="str">
            <v>EAI</v>
          </cell>
          <cell r="AD852" t="str">
            <v>ST EZ.4-20051</v>
          </cell>
          <cell r="AE852" t="str">
            <v xml:space="preserve">
Spécification pour la réalisation des logiciels embarqués
Composants électroniques complexes
Spécification pour la réalisation des outils de maintenance de niveau 1 sur PC portable
</v>
          </cell>
          <cell r="AF852" t="str">
            <v>8.1.2.9</v>
          </cell>
          <cell r="AI852">
            <v>1</v>
          </cell>
          <cell r="AN852" t="str">
            <v>FP</v>
          </cell>
          <cell r="AP852" t="str">
            <v>FD</v>
          </cell>
          <cell r="CH852" t="e">
            <v>#N/A</v>
          </cell>
          <cell r="CI852" t="e">
            <v>#N/A</v>
          </cell>
          <cell r="CJ852" t="e">
            <v>#N/A</v>
          </cell>
        </row>
        <row r="853">
          <cell r="B853" t="str">
            <v>Ligne_214.8.4_PPD</v>
          </cell>
          <cell r="C853" t="str">
            <v>214.8.4</v>
          </cell>
          <cell r="E853"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53" t="str">
            <v>PEVAL HVAC (non applicable, logiciel non sécuritaire)</v>
          </cell>
          <cell r="R853" t="str">
            <v>NA</v>
          </cell>
          <cell r="S853" t="str">
            <v>BT</v>
          </cell>
          <cell r="T853" t="str">
            <v>NA</v>
          </cell>
          <cell r="U853" t="str">
            <v>Boualem Aouchiche</v>
          </cell>
          <cell r="Z853" t="str">
            <v>RTS 174 JS2 EAI 20/07/2020</v>
          </cell>
          <cell r="AA853" t="str">
            <v>E</v>
          </cell>
          <cell r="AB853" t="str">
            <v>Logiciel</v>
          </cell>
          <cell r="AC853" t="str">
            <v>EAI</v>
          </cell>
          <cell r="AD853" t="str">
            <v>ST EZ.4-20051</v>
          </cell>
          <cell r="AE853" t="str">
            <v xml:space="preserve">
Spécification pour la réalisation des logiciels embarqués
Composants électroniques complexes
Spécification pour la réalisation des outils de maintenance de niveau 1 sur PC portable
</v>
          </cell>
          <cell r="AF853" t="str">
            <v>8.1.2.9</v>
          </cell>
          <cell r="AI853" t="str">
            <v>SUPPRIME</v>
          </cell>
          <cell r="AN853" t="str">
            <v>FP</v>
          </cell>
          <cell r="AP853" t="str">
            <v>FD</v>
          </cell>
          <cell r="CH853" t="e">
            <v>#N/A</v>
          </cell>
          <cell r="CI853" t="e">
            <v>#N/A</v>
          </cell>
          <cell r="CJ853" t="e">
            <v>#N/A</v>
          </cell>
        </row>
        <row r="854">
          <cell r="B854" t="str">
            <v>Ligne_214.9_PPD</v>
          </cell>
          <cell r="C854" t="str">
            <v>214.9</v>
          </cell>
          <cell r="E854"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54" t="str">
            <v>Rapport de revue de phase de démarrage</v>
          </cell>
          <cell r="S854" t="str">
            <v>ABT</v>
          </cell>
          <cell r="T854" t="str">
            <v>BT</v>
          </cell>
          <cell r="U854" t="str">
            <v>J.DOMAS</v>
          </cell>
          <cell r="Z854" t="str">
            <v>RTS 174 JS2 EAI 20/07/2020</v>
          </cell>
          <cell r="AA854" t="str">
            <v>E</v>
          </cell>
          <cell r="AB854" t="str">
            <v>Logiciel</v>
          </cell>
          <cell r="AC854" t="str">
            <v>EAI</v>
          </cell>
          <cell r="AD854" t="str">
            <v>ST EZ.4-20051</v>
          </cell>
          <cell r="AE854" t="str">
            <v xml:space="preserve">
Spécification pour la réalisation des logiciels embarqués
Composants électroniques complexes
Spécification pour la réalisation des outils de maintenance de niveau 1 sur PC portable
</v>
          </cell>
          <cell r="AF854" t="str">
            <v>8.1.2.10</v>
          </cell>
          <cell r="AI854">
            <v>1</v>
          </cell>
          <cell r="AN854" t="str">
            <v>FP</v>
          </cell>
          <cell r="AP854" t="str">
            <v>FD</v>
          </cell>
          <cell r="CH854" t="e">
            <v>#N/A</v>
          </cell>
          <cell r="CI854" t="e">
            <v>#N/A</v>
          </cell>
          <cell r="CJ854" t="e">
            <v>#N/A</v>
          </cell>
        </row>
        <row r="855">
          <cell r="A855" t="str">
            <v>ADD0003308468</v>
          </cell>
          <cell r="B855" t="str">
            <v>Ligne_214.9.1_PPD</v>
          </cell>
          <cell r="C855" t="str">
            <v>214.9.1</v>
          </cell>
          <cell r="E855"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55" t="str">
            <v>RAPPORT DE REVUE DE FIN DE PHASES INFORMATIQUE DE CONFORT</v>
          </cell>
          <cell r="S855" t="str">
            <v>AT</v>
          </cell>
          <cell r="U855" t="str">
            <v>J.DOMAS</v>
          </cell>
          <cell r="Z855" t="str">
            <v>RTS 174 JS2 EAI 20/07/2020</v>
          </cell>
          <cell r="AA855" t="str">
            <v>E</v>
          </cell>
          <cell r="AB855" t="str">
            <v>Logiciel</v>
          </cell>
          <cell r="AC855" t="str">
            <v>EAI</v>
          </cell>
          <cell r="AD855" t="str">
            <v>ST EZ.4-20051</v>
          </cell>
          <cell r="AE855" t="str">
            <v xml:space="preserve">
Spécification pour la réalisation des logiciels embarqués
Composants électroniques complexes
Spécification pour la réalisation des outils de maintenance de niveau 1 sur PC portable
</v>
          </cell>
          <cell r="AF855" t="str">
            <v>8.1.2.2</v>
          </cell>
          <cell r="AI855">
            <v>1</v>
          </cell>
          <cell r="AN855" t="str">
            <v>FP</v>
          </cell>
          <cell r="AP855" t="str">
            <v>FP</v>
          </cell>
          <cell r="AU855" t="str">
            <v>FD</v>
          </cell>
          <cell r="CH855" t="e">
            <v>#N/A</v>
          </cell>
          <cell r="CI855" t="e">
            <v>#N/A</v>
          </cell>
          <cell r="CJ855" t="e">
            <v>#N/A</v>
          </cell>
        </row>
        <row r="856">
          <cell r="B856" t="str">
            <v>Ligne_214.9.2_PPD</v>
          </cell>
          <cell r="C856" t="str">
            <v>214.9.2</v>
          </cell>
          <cell r="E856"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56" t="str">
            <v>RAPPORT DE REVUE DE FIN DE PHASE ETF</v>
          </cell>
          <cell r="S856" t="str">
            <v>AT</v>
          </cell>
          <cell r="U856" t="str">
            <v>J.DOMAS</v>
          </cell>
          <cell r="Z856" t="str">
            <v>RTS 174 JS2 EAI 20/07/2020</v>
          </cell>
          <cell r="AA856" t="str">
            <v>E</v>
          </cell>
          <cell r="AB856" t="str">
            <v>Logiciel</v>
          </cell>
          <cell r="AC856" t="str">
            <v>EAI</v>
          </cell>
          <cell r="AD856" t="str">
            <v>ST EZ.4-20051</v>
          </cell>
          <cell r="AE856" t="str">
            <v xml:space="preserve">
Spécification pour la réalisation des logiciels embarqués
Composants électroniques complexes
Spécification pour la réalisation des outils de maintenance de niveau 1 sur PC portable
</v>
          </cell>
          <cell r="AF856" t="str">
            <v>8.1.2.2</v>
          </cell>
          <cell r="AI856">
            <v>1</v>
          </cell>
          <cell r="AN856" t="str">
            <v>FP</v>
          </cell>
          <cell r="AP856" t="str">
            <v>FP</v>
          </cell>
          <cell r="AU856" t="str">
            <v>FD</v>
          </cell>
          <cell r="CH856" t="e">
            <v>#N/A</v>
          </cell>
          <cell r="CI856" t="e">
            <v>#N/A</v>
          </cell>
          <cell r="CJ856" t="e">
            <v>#N/A</v>
          </cell>
        </row>
        <row r="857">
          <cell r="B857" t="str">
            <v>Ligne_214.9.3_PPD</v>
          </cell>
          <cell r="C857" t="str">
            <v>214.9.3</v>
          </cell>
          <cell r="E857"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57" t="str">
            <v>RAPPORT DE REVUE DE FIN DE PHASES CVS APPLICATIF</v>
          </cell>
          <cell r="S857" t="str">
            <v>AT</v>
          </cell>
          <cell r="U857" t="str">
            <v>J.DOMAS</v>
          </cell>
          <cell r="Z857" t="str">
            <v>RTS 174 JS2 EAI 20/07/2020</v>
          </cell>
          <cell r="AA857" t="str">
            <v>E</v>
          </cell>
          <cell r="AB857" t="str">
            <v>Logiciel</v>
          </cell>
          <cell r="AC857" t="str">
            <v>EAI</v>
          </cell>
          <cell r="AD857" t="str">
            <v>ST EZ.4-20051</v>
          </cell>
          <cell r="AE857" t="str">
            <v xml:space="preserve">
Spécification pour la réalisation des logiciels embarqués
Composants électroniques complexes
Spécification pour la réalisation des outils de maintenance de niveau 1 sur PC portable
</v>
          </cell>
          <cell r="AF857" t="str">
            <v>8.1.2.2</v>
          </cell>
          <cell r="AI857">
            <v>1</v>
          </cell>
          <cell r="AN857" t="str">
            <v>FP</v>
          </cell>
          <cell r="AP857" t="str">
            <v>FP</v>
          </cell>
          <cell r="AU857" t="str">
            <v>FD</v>
          </cell>
          <cell r="CH857" t="e">
            <v>#N/A</v>
          </cell>
          <cell r="CI857" t="e">
            <v>#N/A</v>
          </cell>
          <cell r="CJ857" t="e">
            <v>#N/A</v>
          </cell>
        </row>
        <row r="858">
          <cell r="B858" t="str">
            <v>Ligne_214.9.5_PPD</v>
          </cell>
          <cell r="C858" t="str">
            <v>214.9.5</v>
          </cell>
          <cell r="E858"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58" t="str">
            <v>RAPPORT DE REVUE DE FIN DE PHASES IS</v>
          </cell>
          <cell r="S858" t="str">
            <v>AT</v>
          </cell>
          <cell r="U858" t="str">
            <v>J.DOMAS</v>
          </cell>
          <cell r="Z858" t="str">
            <v>RTS 174 JS2 EAI 20/07/2020</v>
          </cell>
          <cell r="AA858" t="str">
            <v>E</v>
          </cell>
          <cell r="AB858" t="str">
            <v>Logiciel</v>
          </cell>
          <cell r="AC858" t="str">
            <v>EAI</v>
          </cell>
          <cell r="AD858" t="str">
            <v>ST EZ.4-20051</v>
          </cell>
          <cell r="AE858" t="str">
            <v xml:space="preserve">
Spécification pour la réalisation des logiciels embarqués
Composants électroniques complexes
Spécification pour la réalisation des outils de maintenance de niveau 1 sur PC portable
</v>
          </cell>
          <cell r="AF858" t="str">
            <v>8.1.2.2</v>
          </cell>
          <cell r="AI858">
            <v>1</v>
          </cell>
          <cell r="AN858" t="str">
            <v>FP</v>
          </cell>
          <cell r="AP858" t="str">
            <v>FP</v>
          </cell>
          <cell r="AU858" t="str">
            <v>FD</v>
          </cell>
          <cell r="CH858" t="e">
            <v>#N/A</v>
          </cell>
          <cell r="CI858" t="e">
            <v>#N/A</v>
          </cell>
          <cell r="CJ858" t="e">
            <v>#N/A</v>
          </cell>
        </row>
        <row r="859">
          <cell r="B859" t="str">
            <v>Ligne_214.9.4_PPD</v>
          </cell>
          <cell r="C859" t="str">
            <v>214.9.4</v>
          </cell>
          <cell r="E859"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59" t="str">
            <v>RAPPORT DE REVUE DE FIN DE PHASES IVSC</v>
          </cell>
          <cell r="S859" t="str">
            <v>AT</v>
          </cell>
          <cell r="U859" t="str">
            <v>J.DOMAS</v>
          </cell>
          <cell r="Z859" t="str">
            <v>RTS 174 JS2 EAI 20/07/2020</v>
          </cell>
          <cell r="AA859" t="str">
            <v>E</v>
          </cell>
          <cell r="AB859" t="str">
            <v>Logiciel</v>
          </cell>
          <cell r="AC859" t="str">
            <v>EAI</v>
          </cell>
          <cell r="AD859" t="str">
            <v>ST EZ.4-20051</v>
          </cell>
          <cell r="AE859" t="str">
            <v xml:space="preserve">
Spécification pour la réalisation des logiciels embarqués
Composants électroniques complexes
Spécification pour la réalisation des outils de maintenance de niveau 1 sur PC portable
</v>
          </cell>
          <cell r="AF859" t="str">
            <v>8.1.2.2</v>
          </cell>
          <cell r="AI859">
            <v>1</v>
          </cell>
          <cell r="AN859" t="str">
            <v>FP</v>
          </cell>
          <cell r="AP859" t="str">
            <v>FP</v>
          </cell>
          <cell r="AU859" t="str">
            <v>FD</v>
          </cell>
          <cell r="CH859" t="e">
            <v>#N/A</v>
          </cell>
          <cell r="CI859" t="e">
            <v>#N/A</v>
          </cell>
          <cell r="CJ859" t="e">
            <v>#N/A</v>
          </cell>
        </row>
        <row r="860">
          <cell r="B860" t="str">
            <v>Ligne_214.9.6_PPD</v>
          </cell>
          <cell r="C860" t="str">
            <v>214.9.6</v>
          </cell>
          <cell r="E860"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60" t="str">
            <v>RAPPORT DE REVUE DE FIN DE PHASES VP</v>
          </cell>
          <cell r="S860" t="str">
            <v>AT</v>
          </cell>
          <cell r="U860" t="str">
            <v>J.DOMAS</v>
          </cell>
          <cell r="Z860" t="str">
            <v>RTS 174 JS2 EAI 20/07/2020</v>
          </cell>
          <cell r="AA860" t="str">
            <v>E</v>
          </cell>
          <cell r="AB860" t="str">
            <v>Logiciel</v>
          </cell>
          <cell r="AC860" t="str">
            <v>EAI</v>
          </cell>
          <cell r="AD860" t="str">
            <v>ST EZ.4-20051</v>
          </cell>
          <cell r="AE860" t="str">
            <v xml:space="preserve">
Spécification pour la réalisation des logiciels embarqués
Composants électroniques complexes
Spécification pour la réalisation des outils de maintenance de niveau 1 sur PC portable
</v>
          </cell>
          <cell r="AF860" t="str">
            <v>8.1.2.2</v>
          </cell>
          <cell r="AI860">
            <v>1</v>
          </cell>
          <cell r="AN860" t="str">
            <v>FP</v>
          </cell>
          <cell r="AP860" t="str">
            <v>FP</v>
          </cell>
          <cell r="AU860" t="str">
            <v>FD</v>
          </cell>
          <cell r="CH860" t="e">
            <v>#N/A</v>
          </cell>
          <cell r="CI860" t="e">
            <v>#N/A</v>
          </cell>
          <cell r="CJ860" t="e">
            <v>#N/A</v>
          </cell>
        </row>
        <row r="861">
          <cell r="B861" t="str">
            <v>Ligne_214.10_PPD</v>
          </cell>
          <cell r="C861" t="str">
            <v>214.10</v>
          </cell>
          <cell r="E861"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61" t="str">
            <v>DSL : Spécification des Exigences du Logiciel</v>
          </cell>
          <cell r="S861" t="str">
            <v>AT</v>
          </cell>
          <cell r="T861" t="str">
            <v>BT</v>
          </cell>
          <cell r="U861" t="str">
            <v>J.DOMAS</v>
          </cell>
          <cell r="AA861" t="str">
            <v>E</v>
          </cell>
          <cell r="AB861" t="str">
            <v>Logiciel</v>
          </cell>
          <cell r="AC861" t="str">
            <v>EAI</v>
          </cell>
          <cell r="AD861" t="str">
            <v>ST EZ.4-20051</v>
          </cell>
          <cell r="AE861" t="str">
            <v xml:space="preserve">
Spécification pour la réalisation des logiciels embarqués
Composants électroniques complexes
Spécification pour la réalisation des outils de maintenance de niveau 1 sur PC portable
</v>
          </cell>
          <cell r="AF861" t="str">
            <v>8.1.2.11</v>
          </cell>
          <cell r="AI861">
            <v>1</v>
          </cell>
          <cell r="AR861" t="str">
            <v>FP</v>
          </cell>
          <cell r="AU861" t="str">
            <v>FD</v>
          </cell>
          <cell r="CH861" t="e">
            <v>#N/A</v>
          </cell>
          <cell r="CI861" t="e">
            <v>#N/A</v>
          </cell>
          <cell r="CJ861" t="e">
            <v>#N/A</v>
          </cell>
        </row>
        <row r="862">
          <cell r="B862" t="str">
            <v>Ligne_214.11_PPD</v>
          </cell>
          <cell r="C862" t="str">
            <v>214.11</v>
          </cell>
          <cell r="E862"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62" t="str">
            <v>DSIL : Spécifications d'Interface du Logiciel</v>
          </cell>
          <cell r="S862" t="str">
            <v>AT</v>
          </cell>
          <cell r="T862" t="str">
            <v>BT</v>
          </cell>
          <cell r="U862" t="str">
            <v>J.DOMAS</v>
          </cell>
          <cell r="AA862" t="str">
            <v>E</v>
          </cell>
          <cell r="AB862" t="str">
            <v>Logiciel</v>
          </cell>
          <cell r="AC862" t="str">
            <v>EAI</v>
          </cell>
          <cell r="AD862" t="str">
            <v>ST EZ.4-20051</v>
          </cell>
          <cell r="AE862" t="str">
            <v xml:space="preserve">
Spécification pour la réalisation des logiciels embarqués
Composants électroniques complexes
Spécification pour la réalisation des outils de maintenance de niveau 1 sur PC portable
</v>
          </cell>
          <cell r="AF862" t="str">
            <v>8.1.2.12</v>
          </cell>
          <cell r="AI862">
            <v>1</v>
          </cell>
          <cell r="AP862" t="str">
            <v>PI</v>
          </cell>
          <cell r="AR862" t="str">
            <v>FP</v>
          </cell>
          <cell r="AU862" t="str">
            <v>FD</v>
          </cell>
          <cell r="CH862" t="e">
            <v>#N/A</v>
          </cell>
          <cell r="CI862" t="e">
            <v>#N/A</v>
          </cell>
          <cell r="CJ862" t="e">
            <v>#N/A</v>
          </cell>
        </row>
        <row r="863">
          <cell r="B863" t="str">
            <v>Ligne_214.12_PPD</v>
          </cell>
          <cell r="C863" t="str">
            <v>214.12</v>
          </cell>
          <cell r="E863"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63" t="str">
            <v>DVL : Spécification des Tests d'Ensemble du Logiciel</v>
          </cell>
          <cell r="S863" t="str">
            <v>AT</v>
          </cell>
          <cell r="T863" t="str">
            <v>BT</v>
          </cell>
          <cell r="U863" t="str">
            <v>J.DOMAS</v>
          </cell>
          <cell r="AA863" t="str">
            <v>E</v>
          </cell>
          <cell r="AB863" t="str">
            <v>Logiciel</v>
          </cell>
          <cell r="AC863" t="str">
            <v>EAI</v>
          </cell>
          <cell r="AD863" t="str">
            <v>ST EZ.4-20051</v>
          </cell>
          <cell r="AE863" t="str">
            <v xml:space="preserve">
Spécification pour la réalisation des logiciels embarqués
Composants électroniques complexes
Spécification pour la réalisation des outils de maintenance de niveau 1 sur PC portable
</v>
          </cell>
          <cell r="AF863" t="str">
            <v>8.1.2.13</v>
          </cell>
          <cell r="AI863">
            <v>1</v>
          </cell>
          <cell r="AP863" t="str">
            <v>PI</v>
          </cell>
          <cell r="AR863" t="str">
            <v>FP</v>
          </cell>
          <cell r="AU863" t="str">
            <v>FD</v>
          </cell>
          <cell r="CH863" t="e">
            <v>#N/A</v>
          </cell>
          <cell r="CI863" t="e">
            <v>#N/A</v>
          </cell>
          <cell r="CJ863" t="e">
            <v>#N/A</v>
          </cell>
        </row>
        <row r="864">
          <cell r="B864" t="str">
            <v>Ligne_214.13_PPD</v>
          </cell>
          <cell r="C864" t="str">
            <v>214.13</v>
          </cell>
          <cell r="E864"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64" t="str">
            <v>RVEL Rapport de Vérification des Exigences du Logiciel</v>
          </cell>
          <cell r="S864" t="str">
            <v>AT</v>
          </cell>
          <cell r="T864" t="str">
            <v>BT</v>
          </cell>
          <cell r="U864" t="str">
            <v>J.DOMAS</v>
          </cell>
          <cell r="AA864" t="str">
            <v>E</v>
          </cell>
          <cell r="AB864" t="str">
            <v>Logiciel</v>
          </cell>
          <cell r="AC864" t="str">
            <v>EAI</v>
          </cell>
          <cell r="AD864" t="str">
            <v>ST EZ.4-20051</v>
          </cell>
          <cell r="AE864" t="str">
            <v xml:space="preserve">
Spécification pour la réalisation des logiciels embarqués
Composants électroniques complexes
Spécification pour la réalisation des outils de maintenance de niveau 1 sur PC portable
</v>
          </cell>
          <cell r="AF864" t="str">
            <v>8.1.2.14</v>
          </cell>
          <cell r="AI864">
            <v>1</v>
          </cell>
          <cell r="AR864" t="str">
            <v>FP</v>
          </cell>
          <cell r="AU864" t="str">
            <v>FD</v>
          </cell>
          <cell r="CH864" t="e">
            <v>#N/A</v>
          </cell>
          <cell r="CI864" t="e">
            <v>#N/A</v>
          </cell>
          <cell r="CJ864" t="e">
            <v>#N/A</v>
          </cell>
        </row>
        <row r="865">
          <cell r="B865" t="str">
            <v>Ligne_214.14_PPD</v>
          </cell>
          <cell r="C865" t="str">
            <v>214.14</v>
          </cell>
          <cell r="E865"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65" t="str">
            <v>Rapport d’évaluation de la spécification du logiciel</v>
          </cell>
          <cell r="S865" t="str">
            <v>AT</v>
          </cell>
          <cell r="T865" t="str">
            <v>BT</v>
          </cell>
          <cell r="U865" t="str">
            <v>J.DOMAS</v>
          </cell>
          <cell r="AA865" t="str">
            <v>E</v>
          </cell>
          <cell r="AB865" t="str">
            <v>Logiciel</v>
          </cell>
          <cell r="AC865" t="str">
            <v>EAI</v>
          </cell>
          <cell r="AD865" t="str">
            <v>ST EZ.4-20051</v>
          </cell>
          <cell r="AE865" t="str">
            <v xml:space="preserve">
Spécification pour la réalisation des logiciels embarqués
Composants électroniques complexes
Spécification pour la réalisation des outils de maintenance de niveau 1 sur PC portable
</v>
          </cell>
          <cell r="AF865" t="str">
            <v>8.1.2.15</v>
          </cell>
          <cell r="AI865">
            <v>1</v>
          </cell>
          <cell r="AR865" t="str">
            <v>FP</v>
          </cell>
          <cell r="AY865" t="str">
            <v>FD</v>
          </cell>
          <cell r="CH865" t="e">
            <v>#N/A</v>
          </cell>
          <cell r="CI865" t="e">
            <v>#N/A</v>
          </cell>
          <cell r="CJ865" t="e">
            <v>#N/A</v>
          </cell>
        </row>
        <row r="866">
          <cell r="B866" t="str">
            <v>Ligne_214.15_PPD</v>
          </cell>
          <cell r="C866" t="str">
            <v>214.15</v>
          </cell>
          <cell r="E866"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66" t="str">
            <v>Rapport de revue de phase de spécification</v>
          </cell>
          <cell r="S866" t="str">
            <v>AT</v>
          </cell>
          <cell r="T866" t="str">
            <v>BT</v>
          </cell>
          <cell r="U866" t="str">
            <v>J.DOMAS</v>
          </cell>
          <cell r="AA866" t="str">
            <v>E</v>
          </cell>
          <cell r="AB866" t="str">
            <v>Logiciel</v>
          </cell>
          <cell r="AC866" t="str">
            <v>EAI</v>
          </cell>
          <cell r="AD866" t="str">
            <v>ST EZ.4-20051</v>
          </cell>
          <cell r="AE866" t="str">
            <v xml:space="preserve">
Spécification pour la réalisation des logiciels embarqués
Composants électroniques complexes
Spécification pour la réalisation des outils de maintenance de niveau 1 sur PC portable
</v>
          </cell>
          <cell r="AF866" t="str">
            <v>8.1.2.16</v>
          </cell>
          <cell r="AI866">
            <v>1</v>
          </cell>
          <cell r="AR866" t="str">
            <v>FP</v>
          </cell>
          <cell r="AU866" t="str">
            <v>FD</v>
          </cell>
          <cell r="CH866" t="e">
            <v>#N/A</v>
          </cell>
          <cell r="CI866" t="e">
            <v>#N/A</v>
          </cell>
          <cell r="CJ866" t="e">
            <v>#N/A</v>
          </cell>
        </row>
        <row r="867">
          <cell r="B867" t="str">
            <v>Ligne_214.16_PPD</v>
          </cell>
          <cell r="C867" t="str">
            <v>214.16</v>
          </cell>
          <cell r="E867"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67" t="str">
            <v>DCPL : Dossier de Conception Préliminaire du Logiciel</v>
          </cell>
          <cell r="S867" t="str">
            <v>AT</v>
          </cell>
          <cell r="T867" t="str">
            <v>BT</v>
          </cell>
          <cell r="U867" t="str">
            <v>J.DOMAS</v>
          </cell>
          <cell r="AA867" t="str">
            <v>E</v>
          </cell>
          <cell r="AB867" t="str">
            <v>Logiciel</v>
          </cell>
          <cell r="AC867" t="str">
            <v>EAI</v>
          </cell>
          <cell r="AD867" t="str">
            <v>ST EZ.4-20051</v>
          </cell>
          <cell r="AE867" t="str">
            <v xml:space="preserve">
Spécification pour la réalisation des logiciels embarqués
Composants électroniques complexes
Spécification pour la réalisation des outils de maintenance de niveau 1 sur PC portable
</v>
          </cell>
          <cell r="AF867" t="str">
            <v>8.1.2.17</v>
          </cell>
          <cell r="AI867">
            <v>1</v>
          </cell>
          <cell r="AR867" t="str">
            <v>FP</v>
          </cell>
          <cell r="AU867" t="str">
            <v>FD</v>
          </cell>
          <cell r="CH867" t="e">
            <v>#N/A</v>
          </cell>
          <cell r="CI867" t="e">
            <v>#N/A</v>
          </cell>
          <cell r="CJ867" t="e">
            <v>#N/A</v>
          </cell>
        </row>
        <row r="868">
          <cell r="B868" t="str">
            <v>Ligne_214.17_PPD</v>
          </cell>
          <cell r="C868" t="str">
            <v>214.17</v>
          </cell>
          <cell r="E868"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68" t="str">
            <v>DSAL : Spécification de l’Architecture du Logiciel</v>
          </cell>
          <cell r="S868" t="str">
            <v>AT</v>
          </cell>
          <cell r="T868" t="str">
            <v>BT</v>
          </cell>
          <cell r="U868" t="str">
            <v>J.DOMAS</v>
          </cell>
          <cell r="AA868" t="str">
            <v>E</v>
          </cell>
          <cell r="AB868" t="str">
            <v>Logiciel</v>
          </cell>
          <cell r="AC868" t="str">
            <v>EAI</v>
          </cell>
          <cell r="AD868" t="str">
            <v>ST EZ.4-20051</v>
          </cell>
          <cell r="AE868" t="str">
            <v xml:space="preserve">
Spécification pour la réalisation des logiciels embarqués
Composants électroniques complexes
Spécification pour la réalisation des outils de maintenance de niveau 1 sur PC portable
</v>
          </cell>
          <cell r="AF868" t="str">
            <v>8.1.2.18</v>
          </cell>
          <cell r="AI868">
            <v>1</v>
          </cell>
          <cell r="AR868" t="str">
            <v>FP</v>
          </cell>
          <cell r="AU868" t="str">
            <v>FD</v>
          </cell>
          <cell r="CH868" t="e">
            <v>#N/A</v>
          </cell>
          <cell r="CI868" t="e">
            <v>#N/A</v>
          </cell>
          <cell r="CJ868" t="e">
            <v>#N/A</v>
          </cell>
        </row>
        <row r="869">
          <cell r="B869" t="str">
            <v>Ligne_214.18_PPD</v>
          </cell>
          <cell r="C869" t="str">
            <v>214.18</v>
          </cell>
          <cell r="E869"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69" t="str">
            <v>PIL : Plan de Test de l’intégration du Logiciel</v>
          </cell>
          <cell r="S869" t="str">
            <v>AT</v>
          </cell>
          <cell r="T869" t="str">
            <v>BT</v>
          </cell>
          <cell r="U869" t="str">
            <v>J.DOMAS</v>
          </cell>
          <cell r="AA869" t="str">
            <v>E</v>
          </cell>
          <cell r="AB869" t="str">
            <v>Logiciel</v>
          </cell>
          <cell r="AC869" t="str">
            <v>EAI</v>
          </cell>
          <cell r="AD869" t="str">
            <v>ST EZ.4-20051</v>
          </cell>
          <cell r="AE869" t="str">
            <v xml:space="preserve">
Spécification pour la réalisation des logiciels embarqués
Composants électroniques complexes
Spécification pour la réalisation des outils de maintenance de niveau 1 sur PC portable
</v>
          </cell>
          <cell r="AF869" t="str">
            <v>8.1.2.19</v>
          </cell>
          <cell r="AI869">
            <v>1</v>
          </cell>
          <cell r="AR869" t="str">
            <v>FP</v>
          </cell>
          <cell r="AU869" t="str">
            <v>FD</v>
          </cell>
          <cell r="CH869" t="e">
            <v>#N/A</v>
          </cell>
          <cell r="CI869" t="e">
            <v>#N/A</v>
          </cell>
          <cell r="CJ869" t="e">
            <v>#N/A</v>
          </cell>
        </row>
        <row r="870">
          <cell r="B870" t="str">
            <v>Ligne_214.19_PPD</v>
          </cell>
          <cell r="C870" t="str">
            <v>214.19</v>
          </cell>
          <cell r="E870"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70" t="str">
            <v>PILM : Plan de Test d’intégration Logiciel / Matériel</v>
          </cell>
          <cell r="S870" t="str">
            <v>AT</v>
          </cell>
          <cell r="T870" t="str">
            <v>BT</v>
          </cell>
          <cell r="U870" t="str">
            <v>J.DOMAS</v>
          </cell>
          <cell r="AA870" t="str">
            <v>E</v>
          </cell>
          <cell r="AB870" t="str">
            <v>Logiciel</v>
          </cell>
          <cell r="AC870" t="str">
            <v>EAI</v>
          </cell>
          <cell r="AD870" t="str">
            <v>ST EZ.4-20051</v>
          </cell>
          <cell r="AE870" t="str">
            <v xml:space="preserve">
Spécification pour la réalisation des logiciels embarqués
Composants électroniques complexes
Spécification pour la réalisation des outils de maintenance de niveau 1 sur PC portable
</v>
          </cell>
          <cell r="AF870" t="str">
            <v>8.1.2.20</v>
          </cell>
          <cell r="AI870">
            <v>1</v>
          </cell>
          <cell r="AR870" t="str">
            <v>FP</v>
          </cell>
          <cell r="AU870" t="str">
            <v>FD</v>
          </cell>
          <cell r="CH870" t="e">
            <v>#N/A</v>
          </cell>
          <cell r="CI870" t="e">
            <v>#N/A</v>
          </cell>
          <cell r="CJ870" t="e">
            <v>#N/A</v>
          </cell>
        </row>
        <row r="871">
          <cell r="B871" t="str">
            <v>Ligne_214.20_PPD</v>
          </cell>
          <cell r="C871" t="str">
            <v>214.20</v>
          </cell>
          <cell r="E871"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71" t="str">
            <v>Rapport de Vérification de l’architecture et de la conception du Logiciel</v>
          </cell>
          <cell r="S871" t="str">
            <v>AT</v>
          </cell>
          <cell r="T871" t="str">
            <v>BT</v>
          </cell>
          <cell r="U871" t="str">
            <v>J.DOMAS</v>
          </cell>
          <cell r="AA871" t="str">
            <v>E</v>
          </cell>
          <cell r="AB871" t="str">
            <v>Logiciel</v>
          </cell>
          <cell r="AC871" t="str">
            <v>EAI</v>
          </cell>
          <cell r="AD871" t="str">
            <v>ST EZ.4-20051</v>
          </cell>
          <cell r="AE871" t="str">
            <v xml:space="preserve">
Spécification pour la réalisation des logiciels embarqués
Composants électroniques complexes
Spécification pour la réalisation des outils de maintenance de niveau 1 sur PC portable
</v>
          </cell>
          <cell r="AF871" t="str">
            <v>8.1.2.21</v>
          </cell>
          <cell r="AI871">
            <v>1</v>
          </cell>
          <cell r="AR871" t="str">
            <v>FP</v>
          </cell>
          <cell r="AU871" t="str">
            <v>FD</v>
          </cell>
          <cell r="CH871" t="e">
            <v>#N/A</v>
          </cell>
          <cell r="CI871" t="e">
            <v>#N/A</v>
          </cell>
          <cell r="CJ871" t="e">
            <v>#N/A</v>
          </cell>
        </row>
        <row r="872">
          <cell r="B872" t="str">
            <v>Ligne_214.21_PPD</v>
          </cell>
          <cell r="C872" t="str">
            <v>214.21</v>
          </cell>
          <cell r="E872"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72" t="str">
            <v>Rapport d’évaluation de la conception préliminaire du logiciel</v>
          </cell>
          <cell r="S872" t="str">
            <v>AT</v>
          </cell>
          <cell r="T872" t="str">
            <v>BT</v>
          </cell>
          <cell r="U872" t="str">
            <v>J.DOMAS</v>
          </cell>
          <cell r="AA872" t="str">
            <v>E</v>
          </cell>
          <cell r="AB872" t="str">
            <v>Logiciel</v>
          </cell>
          <cell r="AC872" t="str">
            <v>EAI</v>
          </cell>
          <cell r="AD872" t="str">
            <v>ST EZ.4-20051</v>
          </cell>
          <cell r="AE872" t="str">
            <v xml:space="preserve">
Spécification pour la réalisation des logiciels embarqués
Composants électroniques complexes
Spécification pour la réalisation des outils de maintenance de niveau 1 sur PC portable
</v>
          </cell>
          <cell r="AF872" t="str">
            <v>8.1.2.22</v>
          </cell>
          <cell r="AI872">
            <v>1</v>
          </cell>
          <cell r="AR872" t="str">
            <v>FP</v>
          </cell>
          <cell r="AY872" t="str">
            <v>FD</v>
          </cell>
          <cell r="CH872" t="e">
            <v>#N/A</v>
          </cell>
          <cell r="CI872" t="e">
            <v>#N/A</v>
          </cell>
          <cell r="CJ872" t="e">
            <v>#N/A</v>
          </cell>
        </row>
        <row r="873">
          <cell r="B873" t="str">
            <v>Ligne_214.22_PPD</v>
          </cell>
          <cell r="C873" t="str">
            <v>214.22</v>
          </cell>
          <cell r="E873"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73" t="str">
            <v>Rapport de revue de phase de conception préliminaire</v>
          </cell>
          <cell r="S873" t="str">
            <v>AT</v>
          </cell>
          <cell r="T873" t="str">
            <v>BT</v>
          </cell>
          <cell r="U873" t="str">
            <v>J.DOMAS</v>
          </cell>
          <cell r="AA873" t="str">
            <v>E</v>
          </cell>
          <cell r="AB873" t="str">
            <v>Logiciel</v>
          </cell>
          <cell r="AC873" t="str">
            <v>EAI</v>
          </cell>
          <cell r="AD873" t="str">
            <v>ST EZ.4-20051</v>
          </cell>
          <cell r="AE873" t="str">
            <v xml:space="preserve">
Spécification pour la réalisation des logiciels embarqués
Composants électroniques complexes
Spécification pour la réalisation des outils de maintenance de niveau 1 sur PC portable
</v>
          </cell>
          <cell r="AF873" t="str">
            <v>8.1.2.23</v>
          </cell>
          <cell r="AI873">
            <v>1</v>
          </cell>
          <cell r="AR873" t="str">
            <v>FP</v>
          </cell>
          <cell r="AU873" t="str">
            <v>FD</v>
          </cell>
          <cell r="CH873" t="e">
            <v>#N/A</v>
          </cell>
          <cell r="CI873" t="e">
            <v>#N/A</v>
          </cell>
          <cell r="CJ873" t="e">
            <v>#N/A</v>
          </cell>
        </row>
        <row r="874">
          <cell r="B874" t="str">
            <v>Ligne_214.23_PPD</v>
          </cell>
          <cell r="C874" t="str">
            <v>214.23</v>
          </cell>
          <cell r="E874"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74" t="str">
            <v>DCDL : Dossier de Conception Détaillée du Logiciel</v>
          </cell>
          <cell r="S874" t="str">
            <v>AT</v>
          </cell>
          <cell r="T874" t="str">
            <v>BT</v>
          </cell>
          <cell r="U874" t="str">
            <v>J.DOMAS</v>
          </cell>
          <cell r="AA874" t="str">
            <v>E</v>
          </cell>
          <cell r="AB874" t="str">
            <v>Logiciel</v>
          </cell>
          <cell r="AC874" t="str">
            <v>EAI</v>
          </cell>
          <cell r="AD874" t="str">
            <v>ST EZ.4-20051</v>
          </cell>
          <cell r="AE874" t="str">
            <v xml:space="preserve">
Spécification pour la réalisation des logiciels embarqués
Composants électroniques complexes
Spécification pour la réalisation des outils de maintenance de niveau 1 sur PC portable
</v>
          </cell>
          <cell r="AF874" t="str">
            <v>8.1.2.24</v>
          </cell>
          <cell r="AI874">
            <v>1</v>
          </cell>
          <cell r="AR874" t="str">
            <v>FP</v>
          </cell>
          <cell r="AU874" t="str">
            <v>FD</v>
          </cell>
          <cell r="CH874" t="e">
            <v>#N/A</v>
          </cell>
          <cell r="CI874" t="e">
            <v>#N/A</v>
          </cell>
          <cell r="CJ874" t="e">
            <v>#N/A</v>
          </cell>
        </row>
        <row r="875">
          <cell r="B875" t="str">
            <v>Ligne_214.24_PPD</v>
          </cell>
          <cell r="C875" t="str">
            <v>214.24</v>
          </cell>
          <cell r="E875"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75" t="str">
            <v>PTU : Spécification des Tests de Composant Logiciel</v>
          </cell>
          <cell r="S875" t="str">
            <v>AT</v>
          </cell>
          <cell r="T875" t="str">
            <v>BT</v>
          </cell>
          <cell r="U875" t="str">
            <v>J.DOMAS</v>
          </cell>
          <cell r="AA875" t="str">
            <v>E</v>
          </cell>
          <cell r="AB875" t="str">
            <v>Logiciel</v>
          </cell>
          <cell r="AC875" t="str">
            <v>EAI</v>
          </cell>
          <cell r="AD875" t="str">
            <v>ST EZ.4-20051</v>
          </cell>
          <cell r="AE875" t="str">
            <v xml:space="preserve">
Spécification pour la réalisation des logiciels embarqués
Composants électroniques complexes
Spécification pour la réalisation des outils de maintenance de niveau 1 sur PC portable
</v>
          </cell>
          <cell r="AF875" t="str">
            <v>8.1.2.25</v>
          </cell>
          <cell r="AI875">
            <v>1</v>
          </cell>
          <cell r="AR875" t="str">
            <v>FP</v>
          </cell>
          <cell r="AU875" t="str">
            <v>FD</v>
          </cell>
          <cell r="CH875" t="e">
            <v>#N/A</v>
          </cell>
          <cell r="CI875" t="e">
            <v>#N/A</v>
          </cell>
          <cell r="CJ875" t="e">
            <v>#N/A</v>
          </cell>
        </row>
        <row r="876">
          <cell r="B876" t="str">
            <v>Ligne_214.25_PPD</v>
          </cell>
          <cell r="C876" t="str">
            <v>214.25</v>
          </cell>
          <cell r="E876"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76" t="str">
            <v>Rapport de Vérification des Modules du Logiciel</v>
          </cell>
          <cell r="S876" t="str">
            <v>AT</v>
          </cell>
          <cell r="T876" t="str">
            <v>BT</v>
          </cell>
          <cell r="U876" t="str">
            <v>J.DOMAS</v>
          </cell>
          <cell r="AA876" t="str">
            <v>E</v>
          </cell>
          <cell r="AB876" t="str">
            <v>Logiciel</v>
          </cell>
          <cell r="AC876" t="str">
            <v>EAI</v>
          </cell>
          <cell r="AD876" t="str">
            <v>ST EZ.4-20051</v>
          </cell>
          <cell r="AE876" t="str">
            <v xml:space="preserve">
Spécification pour la réalisation des logiciels embarqués
Composants électroniques complexes
Spécification pour la réalisation des outils de maintenance de niveau 1 sur PC portable
</v>
          </cell>
          <cell r="AF876" t="str">
            <v>8.1.2.26</v>
          </cell>
          <cell r="AI876">
            <v>1</v>
          </cell>
          <cell r="AR876" t="str">
            <v>FP</v>
          </cell>
          <cell r="AU876" t="str">
            <v>FD</v>
          </cell>
          <cell r="CH876" t="e">
            <v>#N/A</v>
          </cell>
          <cell r="CI876" t="e">
            <v>#N/A</v>
          </cell>
          <cell r="CJ876" t="e">
            <v>#N/A</v>
          </cell>
        </row>
        <row r="877">
          <cell r="B877" t="str">
            <v>Ligne_214.26_PPD</v>
          </cell>
          <cell r="C877" t="str">
            <v>214.26</v>
          </cell>
          <cell r="E877"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77" t="str">
            <v>MUL Manuel d’Utilisation et d’Exploitation</v>
          </cell>
          <cell r="S877" t="str">
            <v>AT</v>
          </cell>
          <cell r="T877" t="str">
            <v>BT</v>
          </cell>
          <cell r="U877" t="str">
            <v>J.DOMAS</v>
          </cell>
          <cell r="AA877" t="str">
            <v>E</v>
          </cell>
          <cell r="AB877" t="str">
            <v>Logiciel</v>
          </cell>
          <cell r="AC877" t="str">
            <v>EAI</v>
          </cell>
          <cell r="AD877" t="str">
            <v>ST EZ.4-20051</v>
          </cell>
          <cell r="AE877" t="str">
            <v xml:space="preserve">
Spécification pour la réalisation des logiciels embarqués
Composants électroniques complexes
Spécification pour la réalisation des outils de maintenance de niveau 1 sur PC portable
</v>
          </cell>
          <cell r="AF877" t="str">
            <v>8.1.2.27</v>
          </cell>
          <cell r="AI877">
            <v>1</v>
          </cell>
          <cell r="AR877" t="str">
            <v>FP</v>
          </cell>
          <cell r="AU877" t="str">
            <v>FD</v>
          </cell>
          <cell r="CH877" t="e">
            <v>#N/A</v>
          </cell>
          <cell r="CI877" t="e">
            <v>#N/A</v>
          </cell>
          <cell r="CJ877" t="e">
            <v>#N/A</v>
          </cell>
        </row>
        <row r="878">
          <cell r="B878" t="str">
            <v>Ligne_214.27_PPD</v>
          </cell>
          <cell r="C878" t="str">
            <v>214.27</v>
          </cell>
          <cell r="E878"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78" t="str">
            <v>Rapport d’évaluation de la conception détaillée du logiciel</v>
          </cell>
          <cell r="S878" t="str">
            <v>AT</v>
          </cell>
          <cell r="T878" t="str">
            <v>BT</v>
          </cell>
          <cell r="U878" t="str">
            <v>J.DOMAS</v>
          </cell>
          <cell r="AA878" t="str">
            <v>E</v>
          </cell>
          <cell r="AB878" t="str">
            <v>Logiciel</v>
          </cell>
          <cell r="AC878" t="str">
            <v>EAI</v>
          </cell>
          <cell r="AD878" t="str">
            <v>ST EZ.4-20051</v>
          </cell>
          <cell r="AE878" t="str">
            <v xml:space="preserve">
Spécification pour la réalisation des logiciels embarqués
Composants électroniques complexes
Spécification pour la réalisation des outils de maintenance de niveau 1 sur PC portable
</v>
          </cell>
          <cell r="AF878" t="str">
            <v>8.1.2.28</v>
          </cell>
          <cell r="AI878">
            <v>1</v>
          </cell>
          <cell r="AR878" t="str">
            <v>FP</v>
          </cell>
          <cell r="AY878" t="str">
            <v>FD</v>
          </cell>
          <cell r="CH878" t="e">
            <v>#N/A</v>
          </cell>
          <cell r="CI878" t="e">
            <v>#N/A</v>
          </cell>
          <cell r="CJ878" t="e">
            <v>#N/A</v>
          </cell>
        </row>
        <row r="879">
          <cell r="B879" t="str">
            <v>Ligne_214.28_PPD</v>
          </cell>
          <cell r="C879" t="str">
            <v>214.28</v>
          </cell>
          <cell r="E879"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879" t="str">
            <v>Rapport de revue de phase de conception détaillée</v>
          </cell>
          <cell r="S879" t="str">
            <v>AT</v>
          </cell>
          <cell r="T879" t="str">
            <v>BT</v>
          </cell>
          <cell r="U879" t="str">
            <v>J.DOMAS</v>
          </cell>
          <cell r="AA879" t="str">
            <v>E</v>
          </cell>
          <cell r="AB879" t="str">
            <v>Logiciel</v>
          </cell>
          <cell r="AC879" t="str">
            <v>EAI</v>
          </cell>
          <cell r="AD879" t="str">
            <v>ST EZ.4-20051</v>
          </cell>
          <cell r="AE879" t="str">
            <v xml:space="preserve">
Spécification pour la réalisation des logiciels embarqués
Composants électroniques complexes
Spécification pour la réalisation des outils de maintenance de niveau 1 sur PC portable
</v>
          </cell>
          <cell r="AF879" t="str">
            <v>8.1.2.29</v>
          </cell>
          <cell r="AI879">
            <v>1</v>
          </cell>
          <cell r="AR879" t="str">
            <v>FP</v>
          </cell>
          <cell r="AU879" t="str">
            <v>FD</v>
          </cell>
          <cell r="CH879" t="e">
            <v>#N/A</v>
          </cell>
          <cell r="CI879" t="e">
            <v>#N/A</v>
          </cell>
          <cell r="CJ879" t="e">
            <v>#N/A</v>
          </cell>
        </row>
        <row r="880">
          <cell r="B880" t="str">
            <v>Ligne_214.29_PPD</v>
          </cell>
          <cell r="C880" t="str">
            <v>214.29</v>
          </cell>
          <cell r="E880" t="str">
            <v xml:space="preserve">Fourniture des fichiers sources des logiciels et des composants programmables et preuve de régénération à l'identique des fichiers de programmation et des fichiers exécutables </v>
          </cell>
          <cell r="G880" t="str">
            <v>Code Source du Logiciel (commenté)</v>
          </cell>
          <cell r="S880" t="str">
            <v>AT</v>
          </cell>
          <cell r="T880" t="str">
            <v>BT</v>
          </cell>
          <cell r="U880" t="str">
            <v>J.DOMAS</v>
          </cell>
          <cell r="AA880" t="str">
            <v>E</v>
          </cell>
          <cell r="AB880" t="str">
            <v>Logiciel</v>
          </cell>
          <cell r="AC880" t="str">
            <v>EAI</v>
          </cell>
          <cell r="AD880" t="str">
            <v>ST EZ.4-20051</v>
          </cell>
          <cell r="AE880" t="str">
            <v xml:space="preserve">
Spécification pour la réalisation des logiciels embarqués
Composants électroniques complexes
Spécification pour la réalisation des outils de maintenance de niveau 1 sur PC portable
</v>
          </cell>
          <cell r="AF880" t="str">
            <v>8.1.2.30</v>
          </cell>
          <cell r="AI880">
            <v>1</v>
          </cell>
          <cell r="AW880" t="str">
            <v>FD</v>
          </cell>
          <cell r="CG880" t="str">
            <v>30/09/2020 : la FD de JD2.2 était barrée, j'ai enlevé vider la case pour pouvoir importer dans la base arbo</v>
          </cell>
          <cell r="CH880" t="e">
            <v>#N/A</v>
          </cell>
          <cell r="CI880" t="e">
            <v>#N/A</v>
          </cell>
          <cell r="CJ880" t="e">
            <v>#N/A</v>
          </cell>
        </row>
        <row r="881">
          <cell r="B881" t="str">
            <v>Ligne_214.30_PPD</v>
          </cell>
          <cell r="C881" t="str">
            <v>214.30</v>
          </cell>
          <cell r="E881" t="str">
            <v>Documents des logiciels et documents des composants programmables non livrés au jalon JD1  comprenant les documents demandés dans les spécifications techniques de référence  EZ.4-20051 (cf. §8.1.2), EZ.4-20055 (cf. §8.1.2) et EZ.4-20058 (cf. §6)</v>
          </cell>
          <cell r="G881" t="str">
            <v>Rapport de Vérification du Code Source du Logiciel</v>
          </cell>
          <cell r="S881" t="str">
            <v>AT</v>
          </cell>
          <cell r="T881" t="str">
            <v>BT</v>
          </cell>
          <cell r="U881" t="str">
            <v>J.DOMAS</v>
          </cell>
          <cell r="AA881" t="str">
            <v>E</v>
          </cell>
          <cell r="AB881" t="str">
            <v>Logiciel</v>
          </cell>
          <cell r="AC881" t="str">
            <v>EAI</v>
          </cell>
          <cell r="AD881" t="str">
            <v>ST EZ.4-20051</v>
          </cell>
          <cell r="AE881" t="str">
            <v xml:space="preserve">
Spécification pour la réalisation des logiciels embarqués
Composants électroniques complexes
Spécification pour la réalisation des outils de maintenance de niveau 1 sur PC portable
</v>
          </cell>
          <cell r="AF881" t="str">
            <v>8.1.2.31</v>
          </cell>
          <cell r="AI881">
            <v>1</v>
          </cell>
          <cell r="AU881" t="str">
            <v>FD</v>
          </cell>
          <cell r="CH881" t="e">
            <v>#N/A</v>
          </cell>
          <cell r="CI881" t="e">
            <v>#N/A</v>
          </cell>
          <cell r="CJ881" t="e">
            <v>#N/A</v>
          </cell>
        </row>
        <row r="882">
          <cell r="B882" t="str">
            <v>Ligne_214.31_PPD</v>
          </cell>
          <cell r="C882" t="str">
            <v>214.31</v>
          </cell>
          <cell r="E882" t="str">
            <v>Documents des logiciels et documents des composants programmables non livrés au jalon JD1  comprenant les documents demandés dans les spécifications techniques de référence  EZ.4-20051 (cf. §8.1.2), EZ.4-20055 (cf. §8.1.2) et EZ.4-20058 (cf. §6)</v>
          </cell>
          <cell r="G882" t="str">
            <v>Rapport d’évaluation du code source du logiciel</v>
          </cell>
          <cell r="S882" t="str">
            <v>AT</v>
          </cell>
          <cell r="T882" t="str">
            <v>BT</v>
          </cell>
          <cell r="U882" t="str">
            <v>J.DOMAS</v>
          </cell>
          <cell r="AA882" t="str">
            <v>E</v>
          </cell>
          <cell r="AB882" t="str">
            <v>Logiciel</v>
          </cell>
          <cell r="AC882" t="str">
            <v>EAI</v>
          </cell>
          <cell r="AD882" t="str">
            <v>ST EZ.4-20051</v>
          </cell>
          <cell r="AE882" t="str">
            <v xml:space="preserve">
Spécification pour la réalisation des logiciels embarqués
Composants électroniques complexes
Spécification pour la réalisation des outils de maintenance de niveau 1 sur PC portable
</v>
          </cell>
          <cell r="AF882" t="str">
            <v>8.1.2.32</v>
          </cell>
          <cell r="AI882">
            <v>1</v>
          </cell>
          <cell r="AY882" t="str">
            <v>FD</v>
          </cell>
          <cell r="CH882" t="e">
            <v>#N/A</v>
          </cell>
          <cell r="CI882" t="e">
            <v>#N/A</v>
          </cell>
          <cell r="CJ882" t="e">
            <v>#N/A</v>
          </cell>
        </row>
        <row r="883">
          <cell r="B883" t="str">
            <v>Ligne_214.32_PPD</v>
          </cell>
          <cell r="C883" t="str">
            <v>214.32</v>
          </cell>
          <cell r="E883" t="str">
            <v>Documents des logiciels et documents des composants programmables non livrés au jalon JD1  comprenant les documents demandés dans les spécifications techniques de référence  EZ.4-20051 (cf. §8.1.2), EZ.4-20055 (cf. §8.1.2) et EZ.4-20058 (cf. §6)</v>
          </cell>
          <cell r="G883" t="str">
            <v>Rapport de revue de phase de codage</v>
          </cell>
          <cell r="S883" t="str">
            <v>AT</v>
          </cell>
          <cell r="T883" t="str">
            <v>BT</v>
          </cell>
          <cell r="U883" t="str">
            <v>J.DOMAS</v>
          </cell>
          <cell r="AA883" t="str">
            <v>E</v>
          </cell>
          <cell r="AB883" t="str">
            <v>Logiciel</v>
          </cell>
          <cell r="AC883" t="str">
            <v>EAI</v>
          </cell>
          <cell r="AD883" t="str">
            <v>ST EZ.4-20051</v>
          </cell>
          <cell r="AE883" t="str">
            <v xml:space="preserve">
Spécification pour la réalisation des logiciels embarqués
Composants électroniques complexes
Spécification pour la réalisation des outils de maintenance de niveau 1 sur PC portable
</v>
          </cell>
          <cell r="AF883" t="str">
            <v>8.1.2.33</v>
          </cell>
          <cell r="AI883">
            <v>1</v>
          </cell>
          <cell r="AU883" t="str">
            <v>FD</v>
          </cell>
          <cell r="CH883" t="e">
            <v>#N/A</v>
          </cell>
          <cell r="CI883" t="e">
            <v>#N/A</v>
          </cell>
          <cell r="CJ883" t="e">
            <v>#N/A</v>
          </cell>
        </row>
        <row r="884">
          <cell r="B884" t="str">
            <v>Ligne_214.33_PPD</v>
          </cell>
          <cell r="C884" t="str">
            <v>214.33</v>
          </cell>
          <cell r="E884" t="str">
            <v xml:space="preserve">Fourniture des fichiers sources des logiciels et des composants programmables et preuve de régénération à l'identique des fichiers de programmation et des fichiers exécutables </v>
          </cell>
          <cell r="G884" t="str">
            <v>Procédure de Régénération des Logiciels</v>
          </cell>
          <cell r="S884" t="str">
            <v>AT</v>
          </cell>
          <cell r="T884" t="str">
            <v>BT</v>
          </cell>
          <cell r="U884" t="str">
            <v>J.DOMAS</v>
          </cell>
          <cell r="AA884" t="str">
            <v>E</v>
          </cell>
          <cell r="AB884" t="str">
            <v>Logiciel</v>
          </cell>
          <cell r="AC884" t="str">
            <v>EAI</v>
          </cell>
          <cell r="AD884" t="str">
            <v>ST EZ.4-20051</v>
          </cell>
          <cell r="AE884" t="str">
            <v xml:space="preserve">
Spécification pour la réalisation des logiciels embarqués
Composants électroniques complexes
Spécification pour la réalisation des outils de maintenance de niveau 1 sur PC portable
</v>
          </cell>
          <cell r="AF884" t="str">
            <v>8.1.2.34</v>
          </cell>
          <cell r="AI884">
            <v>1</v>
          </cell>
          <cell r="AW884" t="str">
            <v>FD</v>
          </cell>
          <cell r="CG884" t="str">
            <v>30/09/2020 : la FD de JD2.2 était barrée, j'ai enlevé vider la case pour pouvoir importer dans la base arbo</v>
          </cell>
          <cell r="CH884" t="e">
            <v>#N/A</v>
          </cell>
          <cell r="CI884" t="e">
            <v>#N/A</v>
          </cell>
          <cell r="CJ884" t="e">
            <v>#N/A</v>
          </cell>
        </row>
        <row r="885">
          <cell r="B885" t="str">
            <v>Ligne_214.34_PPD</v>
          </cell>
          <cell r="C885" t="str">
            <v>214.34</v>
          </cell>
          <cell r="E885" t="str">
            <v>Documents des logiciels et documents des composants programmables non livrés au jalon JD1  comprenant les documents demandés dans les spécifications techniques de référence  EZ.4-20051 (cf. §8.1.2), EZ.4-20055 (cf. §8.1.2) et EZ.4-20058 (cf. §6)</v>
          </cell>
          <cell r="G885" t="str">
            <v>RTU : Rapport de Tests Unitaires du Logiciel</v>
          </cell>
          <cell r="S885" t="str">
            <v>AT</v>
          </cell>
          <cell r="T885" t="str">
            <v>BT</v>
          </cell>
          <cell r="U885" t="str">
            <v>J.DOMAS</v>
          </cell>
          <cell r="AA885" t="str">
            <v>E</v>
          </cell>
          <cell r="AB885" t="str">
            <v>Logiciel</v>
          </cell>
          <cell r="AC885" t="str">
            <v>EAI</v>
          </cell>
          <cell r="AD885" t="str">
            <v>ST EZ.4-20051</v>
          </cell>
          <cell r="AE885" t="str">
            <v xml:space="preserve">
Spécification pour la réalisation des logiciels embarqués
Composants électroniques complexes
Spécification pour la réalisation des outils de maintenance de niveau 1 sur PC portable
</v>
          </cell>
          <cell r="AF885" t="str">
            <v>8.1.2.35</v>
          </cell>
          <cell r="AI885">
            <v>1</v>
          </cell>
          <cell r="AU885" t="str">
            <v>FD</v>
          </cell>
          <cell r="CH885" t="e">
            <v>#N/A</v>
          </cell>
          <cell r="CI885" t="e">
            <v>#N/A</v>
          </cell>
          <cell r="CJ885" t="e">
            <v>#N/A</v>
          </cell>
        </row>
        <row r="886">
          <cell r="B886" t="str">
            <v>Ligne_214.35_PPD</v>
          </cell>
          <cell r="C886" t="str">
            <v>214.35</v>
          </cell>
          <cell r="E886" t="str">
            <v>Documents des logiciels et documents des composants programmables non livrés au jalon JD1  comprenant les documents demandés dans les spécifications techniques de référence  EZ.4-20051 (cf. §8.1.2), EZ.4-20055 (cf. §8.1.2) et EZ.4-20058 (cf. §6)</v>
          </cell>
          <cell r="G886" t="str">
            <v>Rapport d’évaluation des tests unitaires du Logiciel</v>
          </cell>
          <cell r="S886" t="str">
            <v>AT</v>
          </cell>
          <cell r="T886" t="str">
            <v>BT</v>
          </cell>
          <cell r="U886" t="str">
            <v>J.DOMAS</v>
          </cell>
          <cell r="AA886" t="str">
            <v>E</v>
          </cell>
          <cell r="AB886" t="str">
            <v>Logiciel</v>
          </cell>
          <cell r="AC886" t="str">
            <v>EAI</v>
          </cell>
          <cell r="AD886" t="str">
            <v>ST EZ.4-20051</v>
          </cell>
          <cell r="AE886" t="str">
            <v xml:space="preserve">
Spécification pour la réalisation des logiciels embarqués
Composants électroniques complexes
Spécification pour la réalisation des outils de maintenance de niveau 1 sur PC portable
</v>
          </cell>
          <cell r="AF886" t="str">
            <v>8.1.2.36</v>
          </cell>
          <cell r="AI886">
            <v>1</v>
          </cell>
          <cell r="AY886" t="str">
            <v>FD</v>
          </cell>
          <cell r="CH886" t="e">
            <v>#N/A</v>
          </cell>
          <cell r="CI886" t="e">
            <v>#N/A</v>
          </cell>
          <cell r="CJ886" t="e">
            <v>#N/A</v>
          </cell>
        </row>
        <row r="887">
          <cell r="B887" t="str">
            <v>Ligne_214.36_PPD</v>
          </cell>
          <cell r="C887" t="str">
            <v>214.36</v>
          </cell>
          <cell r="E887" t="str">
            <v>Documents des logiciels et documents des composants programmables non livrés au jalon JD1  comprenant les documents demandés dans les spécifications techniques de référence  EZ.4-20051 (cf. §8.1.2), EZ.4-20055 (cf. §8.1.2) et EZ.4-20058 (cf. §6)</v>
          </cell>
          <cell r="G887" t="str">
            <v>Rapport de revue de phase de tests unitaire</v>
          </cell>
          <cell r="S887" t="str">
            <v>AT</v>
          </cell>
          <cell r="T887" t="str">
            <v>BT</v>
          </cell>
          <cell r="U887" t="str">
            <v>J.DOMAS</v>
          </cell>
          <cell r="AA887" t="str">
            <v>E</v>
          </cell>
          <cell r="AB887" t="str">
            <v>Logiciel</v>
          </cell>
          <cell r="AC887" t="str">
            <v>EAI</v>
          </cell>
          <cell r="AD887" t="str">
            <v>ST EZ.4-20051</v>
          </cell>
          <cell r="AE887" t="str">
            <v xml:space="preserve">
Spécification pour la réalisation des logiciels embarqués
Composants électroniques complexes
Spécification pour la réalisation des outils de maintenance de niveau 1 sur PC portable
</v>
          </cell>
          <cell r="AF887" t="str">
            <v>8.1.2.37</v>
          </cell>
          <cell r="AI887">
            <v>1</v>
          </cell>
          <cell r="AU887" t="str">
            <v>FD</v>
          </cell>
          <cell r="CH887" t="e">
            <v>#N/A</v>
          </cell>
          <cell r="CI887" t="e">
            <v>#N/A</v>
          </cell>
          <cell r="CJ887" t="e">
            <v>#N/A</v>
          </cell>
        </row>
        <row r="888">
          <cell r="B888" t="str">
            <v>Ligne_214.37_PPD</v>
          </cell>
          <cell r="C888" t="str">
            <v>214.37</v>
          </cell>
          <cell r="E888" t="str">
            <v>Documents des logiciels et documents des composants programmables non livrés au jalon JD1  comprenant les documents demandés dans les spécifications techniques de référence  EZ.4-20051 (cf. §8.1.2), EZ.4-20055 (cf. §8.1.2) et EZ.4-20058 (cf. §6)</v>
          </cell>
          <cell r="G888" t="str">
            <v>RTI : Rapport de Test d’Intégration du Logiciel</v>
          </cell>
          <cell r="S888" t="str">
            <v>AT</v>
          </cell>
          <cell r="T888" t="str">
            <v>BT</v>
          </cell>
          <cell r="U888" t="str">
            <v>J.DOMAS</v>
          </cell>
          <cell r="AA888" t="str">
            <v>E</v>
          </cell>
          <cell r="AB888" t="str">
            <v>Logiciel</v>
          </cell>
          <cell r="AC888" t="str">
            <v>EAI</v>
          </cell>
          <cell r="AD888" t="str">
            <v>ST EZ.4-20051</v>
          </cell>
          <cell r="AE888" t="str">
            <v xml:space="preserve">
Spécification pour la réalisation des logiciels embarqués
Composants électroniques complexes
Spécification pour la réalisation des outils de maintenance de niveau 1 sur PC portable
</v>
          </cell>
          <cell r="AF888" t="str">
            <v>8.1.2.38</v>
          </cell>
          <cell r="AI888">
            <v>1</v>
          </cell>
          <cell r="AU888" t="str">
            <v>FD</v>
          </cell>
          <cell r="CH888" t="e">
            <v>#N/A</v>
          </cell>
          <cell r="CI888" t="e">
            <v>#N/A</v>
          </cell>
          <cell r="CJ888" t="e">
            <v>#N/A</v>
          </cell>
        </row>
        <row r="889">
          <cell r="B889" t="str">
            <v>Ligne_214.38_PPD</v>
          </cell>
          <cell r="C889" t="str">
            <v>214.38</v>
          </cell>
          <cell r="E889" t="str">
            <v>Documents des logiciels et documents des composants programmables non livrés au jalon JD1  comprenant les documents demandés dans les spécifications techniques de référence  EZ.4-20051 (cf. §8.1.2), EZ.4-20055 (cf. §8.1.2) et EZ.4-20058 (cf. §6)</v>
          </cell>
          <cell r="G889" t="str">
            <v>Rapport d’évaluation de l’intégration Logiciel</v>
          </cell>
          <cell r="S889" t="str">
            <v>AT</v>
          </cell>
          <cell r="T889" t="str">
            <v>BT</v>
          </cell>
          <cell r="U889" t="str">
            <v>J.DOMAS</v>
          </cell>
          <cell r="AA889" t="str">
            <v>E</v>
          </cell>
          <cell r="AB889" t="str">
            <v>Logiciel</v>
          </cell>
          <cell r="AC889" t="str">
            <v>EAI</v>
          </cell>
          <cell r="AD889" t="str">
            <v>ST EZ.4-20051</v>
          </cell>
          <cell r="AE889" t="str">
            <v xml:space="preserve">
Spécification pour la réalisation des logiciels embarqués
Composants électroniques complexes
Spécification pour la réalisation des outils de maintenance de niveau 1 sur PC portable
</v>
          </cell>
          <cell r="AF889" t="str">
            <v>8.1.2.39</v>
          </cell>
          <cell r="AI889">
            <v>1</v>
          </cell>
          <cell r="AY889" t="str">
            <v>FD</v>
          </cell>
          <cell r="CH889" t="e">
            <v>#N/A</v>
          </cell>
          <cell r="CI889" t="e">
            <v>#N/A</v>
          </cell>
          <cell r="CJ889" t="e">
            <v>#N/A</v>
          </cell>
        </row>
        <row r="890">
          <cell r="B890" t="str">
            <v>Ligne_214.39_PPD</v>
          </cell>
          <cell r="C890" t="str">
            <v>214.39</v>
          </cell>
          <cell r="E890" t="str">
            <v>Documents des logiciels et documents des composants programmables non livrés au jalon JD1  comprenant les documents demandés dans les spécifications techniques de référence  EZ.4-20051 (cf. §8.1.2), EZ.4-20055 (cf. §8.1.2) et EZ.4-20058 (cf. §6)</v>
          </cell>
          <cell r="G890" t="str">
            <v>Rapport de revue de phase de tests d’intégration Logiciel</v>
          </cell>
          <cell r="S890" t="str">
            <v>AT</v>
          </cell>
          <cell r="T890" t="str">
            <v>BT</v>
          </cell>
          <cell r="U890" t="str">
            <v>J.DOMAS</v>
          </cell>
          <cell r="AA890" t="str">
            <v>E</v>
          </cell>
          <cell r="AB890" t="str">
            <v>Logiciel</v>
          </cell>
          <cell r="AC890" t="str">
            <v>EAI</v>
          </cell>
          <cell r="AD890" t="str">
            <v>ST EZ.4-20051</v>
          </cell>
          <cell r="AE890" t="str">
            <v xml:space="preserve">
Spécification pour la réalisation des logiciels embarqués
Composants électroniques complexes
Spécification pour la réalisation des outils de maintenance de niveau 1 sur PC portable
</v>
          </cell>
          <cell r="AF890" t="str">
            <v>8.1.2.40</v>
          </cell>
          <cell r="AI890">
            <v>1</v>
          </cell>
          <cell r="AU890" t="str">
            <v>FD</v>
          </cell>
          <cell r="CH890" t="e">
            <v>#N/A</v>
          </cell>
          <cell r="CI890" t="e">
            <v>#N/A</v>
          </cell>
          <cell r="CJ890" t="e">
            <v>#N/A</v>
          </cell>
        </row>
        <row r="891">
          <cell r="B891" t="str">
            <v>Ligne_214.40_PPD</v>
          </cell>
          <cell r="C891" t="str">
            <v>214.40</v>
          </cell>
          <cell r="E891" t="str">
            <v>Documents des logiciels et documents des composants programmables non livrés au jalon JD1  comprenant les documents demandés dans les spécifications techniques de référence  EZ.4-20051 (cf. §8.1.2), EZ.4-20055 (cf. §8.1.2) et EZ.4-20058 (cf. §6)</v>
          </cell>
          <cell r="G891" t="str">
            <v>RTIM : Rapport de Test d’Intégration duLogiciel / Matériel</v>
          </cell>
          <cell r="S891" t="str">
            <v>AT</v>
          </cell>
          <cell r="T891" t="str">
            <v>BT</v>
          </cell>
          <cell r="U891" t="str">
            <v>J.DOMAS</v>
          </cell>
          <cell r="AA891" t="str">
            <v>E</v>
          </cell>
          <cell r="AB891" t="str">
            <v>Logiciel</v>
          </cell>
          <cell r="AC891" t="str">
            <v>EAI</v>
          </cell>
          <cell r="AD891" t="str">
            <v>ST EZ.4-20051</v>
          </cell>
          <cell r="AE891" t="str">
            <v xml:space="preserve">
Spécification pour la réalisation des logiciels embarqués
Composants électroniques complexes
Spécification pour la réalisation des outils de maintenance de niveau 1 sur PC portable
</v>
          </cell>
          <cell r="AF891" t="str">
            <v>8.1.2.41</v>
          </cell>
          <cell r="AI891">
            <v>1</v>
          </cell>
          <cell r="AU891" t="str">
            <v>FD</v>
          </cell>
          <cell r="CH891" t="e">
            <v>#N/A</v>
          </cell>
          <cell r="CI891" t="e">
            <v>#N/A</v>
          </cell>
          <cell r="CJ891" t="e">
            <v>#N/A</v>
          </cell>
        </row>
        <row r="892">
          <cell r="B892" t="str">
            <v>Ligne_214.41_PPD</v>
          </cell>
          <cell r="C892" t="str">
            <v>214.41</v>
          </cell>
          <cell r="E892" t="str">
            <v>Documents des logiciels et documents des composants programmables non livrés au jalon JD1  comprenant les documents demandés dans les spécifications techniques de référence  EZ.4-20051 (cf. §8.1.2), EZ.4-20055 (cf. §8.1.2) et EZ.4-20058 (cf. §6)</v>
          </cell>
          <cell r="G892" t="str">
            <v>Rapport d’évaluation de l’intégration Logiciel / Matériel</v>
          </cell>
          <cell r="S892" t="str">
            <v>AT</v>
          </cell>
          <cell r="T892" t="str">
            <v>BT</v>
          </cell>
          <cell r="U892" t="str">
            <v>J.DOMAS</v>
          </cell>
          <cell r="AA892" t="str">
            <v>E</v>
          </cell>
          <cell r="AB892" t="str">
            <v>Logiciel</v>
          </cell>
          <cell r="AC892" t="str">
            <v>EAI</v>
          </cell>
          <cell r="AD892" t="str">
            <v>ST EZ.4-20051</v>
          </cell>
          <cell r="AE892" t="str">
            <v xml:space="preserve">
Spécification pour la réalisation des logiciels embarqués
Composants électroniques complexes
Spécification pour la réalisation des outils de maintenance de niveau 1 sur PC portable
</v>
          </cell>
          <cell r="AF892" t="str">
            <v>8.1.2.42</v>
          </cell>
          <cell r="AI892">
            <v>1</v>
          </cell>
          <cell r="AY892" t="str">
            <v>FD</v>
          </cell>
          <cell r="CH892" t="e">
            <v>#N/A</v>
          </cell>
          <cell r="CI892" t="e">
            <v>#N/A</v>
          </cell>
          <cell r="CJ892" t="e">
            <v>#N/A</v>
          </cell>
        </row>
        <row r="893">
          <cell r="B893" t="str">
            <v>Ligne_214.42_PPD</v>
          </cell>
          <cell r="C893" t="str">
            <v>214.42</v>
          </cell>
          <cell r="E893" t="str">
            <v>Documents des logiciels et documents des composants programmables non livrés au jalon JD1  comprenant les documents demandés dans les spécifications techniques de référence  EZ.4-20051 (cf. §8.1.2), EZ.4-20055 (cf. §8.1.2) et EZ.4-20058 (cf. §6)</v>
          </cell>
          <cell r="G893" t="str">
            <v>Rapport de revue de phase d’intégration Logiciel / Matériel</v>
          </cell>
          <cell r="S893" t="str">
            <v>AT</v>
          </cell>
          <cell r="T893" t="str">
            <v>BT</v>
          </cell>
          <cell r="U893" t="str">
            <v>J.DOMAS</v>
          </cell>
          <cell r="AA893" t="str">
            <v>E</v>
          </cell>
          <cell r="AB893" t="str">
            <v>Logiciel</v>
          </cell>
          <cell r="AC893" t="str">
            <v>EAI</v>
          </cell>
          <cell r="AD893" t="str">
            <v>ST EZ.4-20051</v>
          </cell>
          <cell r="AE893" t="str">
            <v xml:space="preserve">
Spécification pour la réalisation des logiciels embarqués
Composants électroniques complexes
Spécification pour la réalisation des outils de maintenance de niveau 1 sur PC portable
</v>
          </cell>
          <cell r="AF893" t="str">
            <v>8.1.2.43</v>
          </cell>
          <cell r="AI893">
            <v>1</v>
          </cell>
          <cell r="AU893" t="str">
            <v>FD</v>
          </cell>
          <cell r="CH893" t="e">
            <v>#N/A</v>
          </cell>
          <cell r="CI893" t="e">
            <v>#N/A</v>
          </cell>
          <cell r="CJ893" t="e">
            <v>#N/A</v>
          </cell>
        </row>
        <row r="894">
          <cell r="B894" t="str">
            <v>Ligne_214.43_PPD</v>
          </cell>
          <cell r="C894" t="str">
            <v>214.43</v>
          </cell>
          <cell r="E894" t="str">
            <v>Documents des logiciels et documents des composants programmables non livrés au jalon JD1  comprenant les documents demandés dans les spécifications techniques de référence  EZ.4-20051 (cf. §8.1.2), EZ.4-20055 (cf. §8.1.2) et EZ.4-20058 (cf. §6)</v>
          </cell>
          <cell r="G894" t="str">
            <v>Rapport de Validation du Logiciel</v>
          </cell>
          <cell r="S894" t="str">
            <v>AT</v>
          </cell>
          <cell r="T894" t="str">
            <v>BT</v>
          </cell>
          <cell r="U894" t="str">
            <v>J.DOMAS</v>
          </cell>
          <cell r="AA894" t="str">
            <v>E</v>
          </cell>
          <cell r="AB894" t="str">
            <v>Logiciel</v>
          </cell>
          <cell r="AC894" t="str">
            <v>EAI</v>
          </cell>
          <cell r="AD894" t="str">
            <v>ST EZ.4-20051</v>
          </cell>
          <cell r="AE894" t="str">
            <v xml:space="preserve">
Spécification pour la réalisation des logiciels embarqués
Composants électroniques complexes
Spécification pour la réalisation des outils de maintenance de niveau 1 sur PC portable
</v>
          </cell>
          <cell r="AF894" t="str">
            <v>8.1.2.44</v>
          </cell>
          <cell r="AI894">
            <v>1</v>
          </cell>
          <cell r="AW894" t="str">
            <v>FD</v>
          </cell>
          <cell r="CH894" t="e">
            <v>#N/A</v>
          </cell>
          <cell r="CI894" t="e">
            <v>#N/A</v>
          </cell>
          <cell r="CJ894" t="e">
            <v>#N/A</v>
          </cell>
        </row>
        <row r="895">
          <cell r="B895" t="str">
            <v>Ligne_214.44_PPD</v>
          </cell>
          <cell r="C895" t="str">
            <v>214.44</v>
          </cell>
          <cell r="E895" t="str">
            <v>Documents des logiciels et documents des composants programmables non livrés au jalon JD1  comprenant les documents demandés dans les spécifications techniques de référence  EZ.4-20051 (cf. §8.1.2), EZ.4-20055 (cf. §8.1.2) et EZ.4-20058 (cf. §6)</v>
          </cell>
          <cell r="G895" t="str">
            <v>Rapport des Tests d’ensemble du logiciel</v>
          </cell>
          <cell r="S895" t="str">
            <v>AT</v>
          </cell>
          <cell r="T895" t="str">
            <v>BT</v>
          </cell>
          <cell r="U895" t="str">
            <v>J.DOMAS</v>
          </cell>
          <cell r="AA895" t="str">
            <v>E</v>
          </cell>
          <cell r="AB895" t="str">
            <v>Logiciel</v>
          </cell>
          <cell r="AC895" t="str">
            <v>EAI</v>
          </cell>
          <cell r="AD895" t="str">
            <v>ST EZ.4-20051</v>
          </cell>
          <cell r="AE895" t="str">
            <v xml:space="preserve">
Spécification pour la réalisation des logiciels embarqués
Composants électroniques complexes
Spécification pour la réalisation des outils de maintenance de niveau 1 sur PC portable
</v>
          </cell>
          <cell r="AF895" t="str">
            <v>8.1.2.45</v>
          </cell>
          <cell r="AI895">
            <v>1</v>
          </cell>
          <cell r="AU895" t="str">
            <v>FD</v>
          </cell>
          <cell r="CH895" t="e">
            <v>#N/A</v>
          </cell>
          <cell r="CI895" t="e">
            <v>#N/A</v>
          </cell>
          <cell r="CJ895" t="e">
            <v>#N/A</v>
          </cell>
        </row>
        <row r="896">
          <cell r="B896" t="str">
            <v>Ligne_214.45_PPD</v>
          </cell>
          <cell r="C896" t="str">
            <v>214.45</v>
          </cell>
          <cell r="E896" t="str">
            <v>Documents des logiciels et documents des composants programmables non livrés au jalon JD1  comprenant les documents demandés dans les spécifications techniques de référence  EZ.4-20051 (cf. §8.1.2), EZ.4-20055 (cf. §8.1.2) et EZ.4-20058 (cf. §6)</v>
          </cell>
          <cell r="G896" t="str">
            <v>Rapport d’évaluation de la validation du Logiciel</v>
          </cell>
          <cell r="S896" t="str">
            <v>AT</v>
          </cell>
          <cell r="T896" t="str">
            <v>BT</v>
          </cell>
          <cell r="U896" t="str">
            <v>J.DOMAS</v>
          </cell>
          <cell r="AA896" t="str">
            <v>E</v>
          </cell>
          <cell r="AB896" t="str">
            <v>Logiciel</v>
          </cell>
          <cell r="AC896" t="str">
            <v>EAI</v>
          </cell>
          <cell r="AD896" t="str">
            <v>ST EZ.4-20051</v>
          </cell>
          <cell r="AE896" t="str">
            <v xml:space="preserve">
Spécification pour la réalisation des logiciels embarqués
Composants électroniques complexes
Spécification pour la réalisation des outils de maintenance de niveau 1 sur PC portable
</v>
          </cell>
          <cell r="AF896" t="str">
            <v>8.1.2.46</v>
          </cell>
          <cell r="AI896">
            <v>1</v>
          </cell>
          <cell r="AY896" t="str">
            <v>FD</v>
          </cell>
          <cell r="CH896" t="e">
            <v>#N/A</v>
          </cell>
          <cell r="CI896" t="e">
            <v>#N/A</v>
          </cell>
          <cell r="CJ896" t="e">
            <v>#N/A</v>
          </cell>
        </row>
        <row r="897">
          <cell r="B897" t="str">
            <v>Ligne_214.46_PPD</v>
          </cell>
          <cell r="C897" t="str">
            <v>214.46</v>
          </cell>
          <cell r="E897" t="str">
            <v>Documents des logiciels et documents des composants programmables non livrés au jalon JD1  comprenant les documents demandés dans les spécifications techniques de référence  EZ.4-20051 (cf. §8.1.2), EZ.4-20055 (cf. §8.1.2) et EZ.4-20058 (cf. §6)</v>
          </cell>
          <cell r="G897" t="str">
            <v>BULTEC : Bulletin technique</v>
          </cell>
          <cell r="S897" t="str">
            <v>AT</v>
          </cell>
          <cell r="T897" t="str">
            <v>BT</v>
          </cell>
          <cell r="U897" t="str">
            <v>J.DOMAS</v>
          </cell>
          <cell r="AA897" t="str">
            <v>E</v>
          </cell>
          <cell r="AB897" t="str">
            <v>Logiciel</v>
          </cell>
          <cell r="AC897" t="str">
            <v>EAI</v>
          </cell>
          <cell r="AD897" t="str">
            <v>ST EZ.4-20051</v>
          </cell>
          <cell r="AE897" t="str">
            <v xml:space="preserve">
Spécification pour la réalisation des logiciels embarqués
Composants électroniques complexes
Spécification pour la réalisation des outils de maintenance de niveau 1 sur PC portable
</v>
          </cell>
          <cell r="AF897" t="str">
            <v>8.1.2.47</v>
          </cell>
          <cell r="AI897">
            <v>1</v>
          </cell>
          <cell r="AW897" t="str">
            <v>FD</v>
          </cell>
          <cell r="CH897" t="e">
            <v>#N/A</v>
          </cell>
          <cell r="CI897" t="e">
            <v>#N/A</v>
          </cell>
          <cell r="CJ897" t="e">
            <v>#N/A</v>
          </cell>
        </row>
        <row r="898">
          <cell r="B898" t="str">
            <v>Ligne_214.47_PPD</v>
          </cell>
          <cell r="C898" t="str">
            <v>214.47</v>
          </cell>
          <cell r="E898" t="str">
            <v>Documents des logiciels et documents des composants programmables non livrés au jalon JD1  comprenant les documents demandés dans les spécifications techniques de référence  EZ.4-20051 (cf. §8.1.2), EZ.4-20055 (cf. §8.1.2) et EZ.4-20058 (cf. §6)</v>
          </cell>
          <cell r="G898" t="str">
            <v>Rapport de revue de phase de validation</v>
          </cell>
          <cell r="S898" t="str">
            <v>AT</v>
          </cell>
          <cell r="T898" t="str">
            <v>BT</v>
          </cell>
          <cell r="U898" t="str">
            <v>J.DOMAS</v>
          </cell>
          <cell r="AA898" t="str">
            <v>E</v>
          </cell>
          <cell r="AB898" t="str">
            <v>Logiciel</v>
          </cell>
          <cell r="AC898" t="str">
            <v>EAI</v>
          </cell>
          <cell r="AD898" t="str">
            <v>ST EZ.4-20051</v>
          </cell>
          <cell r="AE898" t="str">
            <v xml:space="preserve">
Spécification pour la réalisation des logiciels embarqués
Composants électroniques complexes
Spécification pour la réalisation des outils de maintenance de niveau 1 sur PC portable
</v>
          </cell>
          <cell r="AF898" t="str">
            <v>8.1.2.48</v>
          </cell>
          <cell r="AI898">
            <v>1</v>
          </cell>
          <cell r="AW898" t="str">
            <v>FD</v>
          </cell>
          <cell r="CH898" t="e">
            <v>#N/A</v>
          </cell>
          <cell r="CI898" t="e">
            <v>#N/A</v>
          </cell>
          <cell r="CJ898" t="e">
            <v>#N/A</v>
          </cell>
        </row>
        <row r="899">
          <cell r="B899" t="str">
            <v>Ligne_214.48_PPD</v>
          </cell>
          <cell r="C899" t="str">
            <v>214.48</v>
          </cell>
          <cell r="E899" t="str">
            <v>Documents des logiciels et documents des composants programmables non livrés au jalon JD1  comprenant les documents demandés dans les spécifications techniques de référence  EZ.4-20051 (cf. §8.1.2), EZ.4-20055 (cf. §8.1.2) et EZ.4-20058 (cf. §6)</v>
          </cell>
          <cell r="G899" t="str">
            <v>Rapport d’évaluation finale du Logiciel</v>
          </cell>
          <cell r="S899" t="str">
            <v>AT</v>
          </cell>
          <cell r="T899" t="str">
            <v>BT</v>
          </cell>
          <cell r="U899" t="str">
            <v>J.DOMAS</v>
          </cell>
          <cell r="AA899" t="str">
            <v>E</v>
          </cell>
          <cell r="AB899" t="str">
            <v>Logiciel</v>
          </cell>
          <cell r="AC899" t="str">
            <v>EAI</v>
          </cell>
          <cell r="AD899" t="str">
            <v>ST EZ.4-20051</v>
          </cell>
          <cell r="AE899" t="str">
            <v xml:space="preserve">
Spécification pour la réalisation des logiciels embarqués
Composants électroniques complexes
Spécification pour la réalisation des outils de maintenance de niveau 1 sur PC portable
</v>
          </cell>
          <cell r="AF899" t="str">
            <v>8.1.2.49</v>
          </cell>
          <cell r="AI899">
            <v>1</v>
          </cell>
          <cell r="AY899" t="str">
            <v>FD</v>
          </cell>
          <cell r="CH899" t="e">
            <v>#N/A</v>
          </cell>
          <cell r="CI899" t="e">
            <v>#N/A</v>
          </cell>
          <cell r="CJ899" t="e">
            <v>#N/A</v>
          </cell>
        </row>
        <row r="900">
          <cell r="B900" t="str">
            <v>Ligne_214.49_PPD</v>
          </cell>
          <cell r="C900" t="str">
            <v>214.49</v>
          </cell>
          <cell r="E900" t="str">
            <v>Documents des logiciels et documents des composants programmables non livrés au jalon JD1  comprenant les documents demandés dans les spécifications techniques de référence  EZ.4-20051 (cf. §8.1.2), EZ.4-20055 (cf. §8.1.2) et EZ.4-20058 (cf. §6)</v>
          </cell>
          <cell r="G900" t="str">
            <v>Bordereau de livraison</v>
          </cell>
          <cell r="S900" t="str">
            <v>AT</v>
          </cell>
          <cell r="T900" t="str">
            <v>BT</v>
          </cell>
          <cell r="U900" t="str">
            <v>J.DOMAS</v>
          </cell>
          <cell r="AA900" t="str">
            <v>E</v>
          </cell>
          <cell r="AB900" t="str">
            <v>Logiciel</v>
          </cell>
          <cell r="AC900" t="str">
            <v>EAI</v>
          </cell>
          <cell r="AD900" t="str">
            <v>ST EZ.4-20051</v>
          </cell>
          <cell r="AE900" t="str">
            <v xml:space="preserve">
Spécification pour la réalisation des logiciels embarqués
Composants électroniques complexes
Spécification pour la réalisation des outils de maintenance de niveau 1 sur PC portable
</v>
          </cell>
          <cell r="AF900" t="str">
            <v>8.1.2.50</v>
          </cell>
          <cell r="AI900">
            <v>1</v>
          </cell>
          <cell r="AW900" t="str">
            <v>FD</v>
          </cell>
          <cell r="CH900" t="e">
            <v>#N/A</v>
          </cell>
          <cell r="CI900" t="e">
            <v>#N/A</v>
          </cell>
          <cell r="CJ900" t="e">
            <v>#N/A</v>
          </cell>
        </row>
        <row r="901">
          <cell r="B901" t="str">
            <v>Ligne_214.50_PPD</v>
          </cell>
          <cell r="C901" t="str">
            <v>214.50</v>
          </cell>
          <cell r="E901" t="str">
            <v>Documents des logiciels et documents des composants programmables non livrés au jalon JD1  comprenant les documents demandés dans les spécifications techniques de référence  EZ.4-20051 (cf. §8.1.2), EZ.4-20055 (cf. §8.1.2) et EZ.4-20058 (cf. §6)</v>
          </cell>
          <cell r="G901" t="str">
            <v>Procès-verbal de qualification du Logiciel</v>
          </cell>
          <cell r="S901" t="str">
            <v>AT</v>
          </cell>
          <cell r="T901" t="str">
            <v>BT</v>
          </cell>
          <cell r="U901" t="str">
            <v>J.DOMAS</v>
          </cell>
          <cell r="AA901" t="str">
            <v>E</v>
          </cell>
          <cell r="AB901" t="str">
            <v>Logiciel</v>
          </cell>
          <cell r="AC901" t="str">
            <v>EAI</v>
          </cell>
          <cell r="AD901" t="str">
            <v>ST EZ.4-20051</v>
          </cell>
          <cell r="AE901" t="str">
            <v xml:space="preserve">
Spécification pour la réalisation des logiciels embarqués
Composants électroniques complexes
Spécification pour la réalisation des outils de maintenance de niveau 1 sur PC portable
</v>
          </cell>
          <cell r="AF901" t="str">
            <v>8.1.2.51</v>
          </cell>
          <cell r="AI901">
            <v>10</v>
          </cell>
          <cell r="AW901" t="str">
            <v>FD</v>
          </cell>
          <cell r="CH901" t="e">
            <v>#N/A</v>
          </cell>
          <cell r="CI901" t="e">
            <v>#N/A</v>
          </cell>
          <cell r="CJ901" t="e">
            <v>#N/A</v>
          </cell>
        </row>
        <row r="902">
          <cell r="B902" t="str">
            <v>Ligne_214.51_PPD</v>
          </cell>
          <cell r="C902" t="str">
            <v>214.51</v>
          </cell>
          <cell r="E902" t="str">
            <v>Documents des logiciels et documents des composants programmables non livrés au jalon JD1  comprenant les documents demandés dans les spécifications techniques de référence  EZ.4-20051 (cf. §8.1.2), EZ.4-20055 (cf. §8.1.2) et EZ.4-20058 (cf. §6)</v>
          </cell>
          <cell r="G902" t="str">
            <v>Fiches d’anomalies</v>
          </cell>
          <cell r="S902" t="str">
            <v>AT</v>
          </cell>
          <cell r="T902" t="str">
            <v>BT</v>
          </cell>
          <cell r="U902" t="str">
            <v>J.DOMAS</v>
          </cell>
          <cell r="AA902" t="str">
            <v>E</v>
          </cell>
          <cell r="AB902" t="str">
            <v>Logiciel</v>
          </cell>
          <cell r="AC902" t="str">
            <v>EAI</v>
          </cell>
          <cell r="AD902" t="str">
            <v>ST EZ.4-20051</v>
          </cell>
          <cell r="AE902" t="str">
            <v xml:space="preserve">
Spécification pour la réalisation des logiciels embarqués
Composants électroniques complexes
Spécification pour la réalisation des outils de maintenance de niveau 1 sur PC portable
</v>
          </cell>
          <cell r="AF902" t="str">
            <v>8.1.2.52</v>
          </cell>
          <cell r="AI902">
            <v>10</v>
          </cell>
          <cell r="AW902" t="str">
            <v>FD</v>
          </cell>
          <cell r="CH902" t="e">
            <v>#N/A</v>
          </cell>
          <cell r="CI902" t="e">
            <v>#N/A</v>
          </cell>
          <cell r="CJ902" t="e">
            <v>#N/A</v>
          </cell>
        </row>
        <row r="903">
          <cell r="B903" t="str">
            <v>Ligne_214.52_PPD</v>
          </cell>
          <cell r="C903" t="str">
            <v>214.52</v>
          </cell>
          <cell r="E903" t="str">
            <v>Documents des logiciels et documents des composants programmables non livrés au jalon JD1  comprenant les documents demandés dans les spécifications techniques de référence  EZ.4-20051 (cf. §8.1.2), EZ.4-20055 (cf. §8.1.2) et EZ.4-20058 (cf. §6)</v>
          </cell>
          <cell r="G903" t="str">
            <v>Demande de modification</v>
          </cell>
          <cell r="S903" t="str">
            <v>AT</v>
          </cell>
          <cell r="T903" t="str">
            <v>BT</v>
          </cell>
          <cell r="U903" t="str">
            <v>J.DOMAS</v>
          </cell>
          <cell r="AA903" t="str">
            <v>E</v>
          </cell>
          <cell r="AB903" t="str">
            <v>Logiciel</v>
          </cell>
          <cell r="AC903" t="str">
            <v>EAI</v>
          </cell>
          <cell r="AD903" t="str">
            <v>ST EZ.4-20051</v>
          </cell>
          <cell r="AE903" t="str">
            <v xml:space="preserve">
Spécification pour la réalisation des logiciels embarqués
Composants électroniques complexes
Spécification pour la réalisation des outils de maintenance de niveau 1 sur PC portable
</v>
          </cell>
          <cell r="AF903" t="str">
            <v>8.1.2.53</v>
          </cell>
          <cell r="AI903">
            <v>1</v>
          </cell>
          <cell r="AW903" t="str">
            <v>FD</v>
          </cell>
          <cell r="CH903" t="e">
            <v>#N/A</v>
          </cell>
          <cell r="CI903" t="e">
            <v>#N/A</v>
          </cell>
          <cell r="CJ903" t="e">
            <v>#N/A</v>
          </cell>
        </row>
        <row r="904">
          <cell r="B904" t="str">
            <v>Ligne_214.53_PPD</v>
          </cell>
          <cell r="C904" t="str">
            <v>214.53</v>
          </cell>
          <cell r="E904" t="str">
            <v>Documents des logiciels et documents des composants programmables non livrés au jalon JD1  comprenant les documents demandés dans les spécifications techniques de référence  EZ.4-20051 (cf. §8.1.2), EZ.4-20055 (cf. §8.1.2) et EZ.4-20058 (cf. §6)</v>
          </cell>
          <cell r="G904" t="str">
            <v>Fiche de modification</v>
          </cell>
          <cell r="S904" t="str">
            <v>AT</v>
          </cell>
          <cell r="T904" t="str">
            <v>BT</v>
          </cell>
          <cell r="U904" t="str">
            <v>J.DOMAS</v>
          </cell>
          <cell r="AA904" t="str">
            <v>E</v>
          </cell>
          <cell r="AB904" t="str">
            <v>Logiciel</v>
          </cell>
          <cell r="AC904" t="str">
            <v>EAI</v>
          </cell>
          <cell r="AD904" t="str">
            <v>ST EZ.4-20051</v>
          </cell>
          <cell r="AE904" t="str">
            <v xml:space="preserve">
Spécification pour la réalisation des logiciels embarqués
Composants électroniques complexes
Spécification pour la réalisation des outils de maintenance de niveau 1 sur PC portable
</v>
          </cell>
          <cell r="AF904" t="str">
            <v>8.1.2.54</v>
          </cell>
          <cell r="AI904">
            <v>10</v>
          </cell>
          <cell r="AW904" t="str">
            <v>FD</v>
          </cell>
          <cell r="CH904" t="e">
            <v>#N/A</v>
          </cell>
          <cell r="CI904" t="e">
            <v>#N/A</v>
          </cell>
          <cell r="CJ904" t="e">
            <v>#N/A</v>
          </cell>
        </row>
        <row r="905">
          <cell r="B905" t="str">
            <v>Ligne_214.54_PPD</v>
          </cell>
          <cell r="C905" t="str">
            <v>214.54</v>
          </cell>
          <cell r="E905" t="str">
            <v>Documents des logiciels et documents des composants programmables non livrés au jalon JD1  comprenant les documents demandés dans les spécifications techniques de référence  EZ.4-20051 (cf. §8.1.2), EZ.4-20055 (cf. §8.1.2) et EZ.4-20058 (cf. §6)</v>
          </cell>
          <cell r="G905" t="str">
            <v>Ordre de modification</v>
          </cell>
          <cell r="S905" t="str">
            <v>AT</v>
          </cell>
          <cell r="T905" t="str">
            <v>BT</v>
          </cell>
          <cell r="U905" t="str">
            <v>J.DOMAS</v>
          </cell>
          <cell r="AA905" t="str">
            <v>E</v>
          </cell>
          <cell r="AB905" t="str">
            <v>Logiciel</v>
          </cell>
          <cell r="AC905" t="str">
            <v>EAI</v>
          </cell>
          <cell r="AD905" t="str">
            <v>ST EZ.4-20051</v>
          </cell>
          <cell r="AE905" t="str">
            <v xml:space="preserve">
Spécification pour la réalisation des logiciels embarqués
Composants électroniques complexes
Spécification pour la réalisation des outils de maintenance de niveau 1 sur PC portable
</v>
          </cell>
          <cell r="AF905" t="str">
            <v>8.1.2.55</v>
          </cell>
          <cell r="AI905">
            <v>10</v>
          </cell>
          <cell r="AW905" t="str">
            <v>FD</v>
          </cell>
          <cell r="CH905" t="e">
            <v>#N/A</v>
          </cell>
          <cell r="CI905" t="e">
            <v>#N/A</v>
          </cell>
          <cell r="CJ905" t="e">
            <v>#N/A</v>
          </cell>
        </row>
        <row r="906">
          <cell r="B906" t="str">
            <v>Ligne_214.55_PPD</v>
          </cell>
          <cell r="C906" t="str">
            <v>214.55</v>
          </cell>
          <cell r="E906" t="str">
            <v>Documents des logiciels et documents des composants programmables non livrés au jalon JD1  comprenant les documents demandés dans les spécifications techniques de référence  EZ.4-20051 (cf. §8.1.2), EZ.4-20055 (cf. §8.1.2) et EZ.4-20058 (cf. §6)</v>
          </cell>
          <cell r="G906" t="str">
            <v>Enregistrements de la Maintenance du Logiciel</v>
          </cell>
          <cell r="S906" t="str">
            <v>AT</v>
          </cell>
          <cell r="T906" t="str">
            <v>BT</v>
          </cell>
          <cell r="U906" t="str">
            <v>J.DOMAS</v>
          </cell>
          <cell r="AA906" t="str">
            <v>E</v>
          </cell>
          <cell r="AB906" t="str">
            <v>Logiciel</v>
          </cell>
          <cell r="AC906" t="str">
            <v>EAI</v>
          </cell>
          <cell r="AD906" t="str">
            <v>ST EZ.4-20051</v>
          </cell>
          <cell r="AE906" t="str">
            <v xml:space="preserve">
Spécification pour la réalisation des logiciels embarqués
Composants électroniques complexes
Spécification pour la réalisation des outils de maintenance de niveau 1 sur PC portable
</v>
          </cell>
          <cell r="AF906" t="str">
            <v>8.1.2.56</v>
          </cell>
          <cell r="AI906">
            <v>10</v>
          </cell>
          <cell r="AW906" t="str">
            <v>FD</v>
          </cell>
          <cell r="CH906" t="e">
            <v>#N/A</v>
          </cell>
          <cell r="CI906" t="e">
            <v>#N/A</v>
          </cell>
          <cell r="CJ906" t="e">
            <v>#N/A</v>
          </cell>
        </row>
        <row r="907">
          <cell r="B907" t="str">
            <v>Ligne_214.56_PPD</v>
          </cell>
          <cell r="C907" t="str">
            <v>214.56</v>
          </cell>
          <cell r="E907" t="str">
            <v>Documents des logiciels et documents des composants programmables non livrés au jalon JD1  comprenant les documents demandés dans les spécifications techniques de référence  EZ.4-20051 (cf. §8.1.2), EZ.4-20055 (cf. §8.1.2) et EZ.4-20058 (cf. §6)</v>
          </cell>
          <cell r="G907" t="str">
            <v>Procédure de chargement du logiciel</v>
          </cell>
          <cell r="S907" t="str">
            <v>AT</v>
          </cell>
          <cell r="T907" t="str">
            <v>BT</v>
          </cell>
          <cell r="U907" t="str">
            <v>J.DOMAS</v>
          </cell>
          <cell r="AA907" t="str">
            <v>E</v>
          </cell>
          <cell r="AB907" t="str">
            <v>Logiciel</v>
          </cell>
          <cell r="AC907" t="str">
            <v>EAI</v>
          </cell>
          <cell r="AD907" t="str">
            <v>ST EZ.4-20051</v>
          </cell>
          <cell r="AE907" t="str">
            <v xml:space="preserve">
Spécification pour la réalisation des logiciels embarqués
Composants électroniques complexes
Spécification pour la réalisation des outils de maintenance de niveau 1 sur PC portable
</v>
          </cell>
          <cell r="AF907" t="str">
            <v>8.1.2.63</v>
          </cell>
          <cell r="AI907">
            <v>1</v>
          </cell>
          <cell r="AU907" t="str">
            <v>FD</v>
          </cell>
          <cell r="CH907" t="e">
            <v>#N/A</v>
          </cell>
          <cell r="CI907" t="e">
            <v>#N/A</v>
          </cell>
          <cell r="CJ907" t="e">
            <v>#N/A</v>
          </cell>
        </row>
        <row r="908">
          <cell r="B908" t="str">
            <v>Ligne_214.57_PPD</v>
          </cell>
          <cell r="C908" t="str">
            <v>214.57</v>
          </cell>
          <cell r="E908"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08" t="str">
            <v>Plan de préparation des données</v>
          </cell>
          <cell r="S908" t="str">
            <v>AT</v>
          </cell>
          <cell r="T908" t="str">
            <v>BT</v>
          </cell>
          <cell r="U908" t="str">
            <v>J.DOMAS</v>
          </cell>
          <cell r="AA908" t="str">
            <v>E</v>
          </cell>
          <cell r="AB908" t="str">
            <v>Logiciel</v>
          </cell>
          <cell r="AC908" t="str">
            <v>EAI</v>
          </cell>
          <cell r="AD908" t="str">
            <v>ST EZ.4-20051</v>
          </cell>
          <cell r="AE908" t="str">
            <v xml:space="preserve">
Spécification pour la réalisation des logiciels embarqués
Composants électroniques complexes
Spécification pour la réalisation des outils de maintenance de niveau 1 sur PC portable
</v>
          </cell>
          <cell r="AF908" t="str">
            <v>8.1.2.57</v>
          </cell>
          <cell r="AI908">
            <v>1</v>
          </cell>
          <cell r="AU908" t="str">
            <v>FD</v>
          </cell>
          <cell r="CH908" t="e">
            <v>#N/A</v>
          </cell>
          <cell r="CI908" t="e">
            <v>#N/A</v>
          </cell>
          <cell r="CJ908" t="e">
            <v>#N/A</v>
          </cell>
        </row>
        <row r="909">
          <cell r="B909" t="str">
            <v>Ligne_214.58_PPD</v>
          </cell>
          <cell r="C909" t="str">
            <v>214.58</v>
          </cell>
          <cell r="E909"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09" t="str">
            <v>Plan de Test des Données</v>
          </cell>
          <cell r="S909" t="str">
            <v>AT</v>
          </cell>
          <cell r="T909" t="str">
            <v>BT</v>
          </cell>
          <cell r="U909" t="str">
            <v>J.DOMAS</v>
          </cell>
          <cell r="AA909" t="str">
            <v>E</v>
          </cell>
          <cell r="AB909" t="str">
            <v>Logiciel</v>
          </cell>
          <cell r="AC909" t="str">
            <v>EAI</v>
          </cell>
          <cell r="AD909" t="str">
            <v>ST EZ.4-20051</v>
          </cell>
          <cell r="AE909" t="str">
            <v xml:space="preserve">
Spécification pour la réalisation des logiciels embarqués
Composants électroniques complexes
Spécification pour la réalisation des outils de maintenance de niveau 1 sur PC portable
</v>
          </cell>
          <cell r="AF909" t="str">
            <v>8.1.2.58</v>
          </cell>
          <cell r="AI909">
            <v>1</v>
          </cell>
          <cell r="AU909" t="str">
            <v>FD</v>
          </cell>
          <cell r="CH909" t="e">
            <v>#N/A</v>
          </cell>
          <cell r="CI909" t="e">
            <v>#N/A</v>
          </cell>
          <cell r="CJ909" t="e">
            <v>#N/A</v>
          </cell>
        </row>
        <row r="910">
          <cell r="B910" t="str">
            <v>Ligne_214.59_PPD</v>
          </cell>
          <cell r="C910" t="str">
            <v>214.59</v>
          </cell>
          <cell r="E910" t="str">
            <v xml:space="preserve">Fourniture des fichiers sources des logiciels et des composants programmables et preuve de régénération à l'identique des fichiers de programmation et des fichiers exécutables </v>
          </cell>
          <cell r="G910" t="str">
            <v>Rapport de Test des Données</v>
          </cell>
          <cell r="S910" t="str">
            <v>AT</v>
          </cell>
          <cell r="T910" t="str">
            <v>BT</v>
          </cell>
          <cell r="U910" t="str">
            <v>J.DOMAS</v>
          </cell>
          <cell r="AA910" t="str">
            <v>E</v>
          </cell>
          <cell r="AB910" t="str">
            <v>Logiciel</v>
          </cell>
          <cell r="AC910" t="str">
            <v>EAI</v>
          </cell>
          <cell r="AD910" t="str">
            <v>ST EZ.4-20051</v>
          </cell>
          <cell r="AE910" t="str">
            <v xml:space="preserve">
Spécification pour la réalisation des logiciels embarqués
Composants électroniques complexes
Spécification pour la réalisation des outils de maintenance de niveau 1 sur PC portable
</v>
          </cell>
          <cell r="AF910" t="str">
            <v>8.1.2.59</v>
          </cell>
          <cell r="AI910">
            <v>1</v>
          </cell>
          <cell r="AU910" t="str">
            <v>FD</v>
          </cell>
          <cell r="CH910" t="e">
            <v>#N/A</v>
          </cell>
          <cell r="CI910" t="e">
            <v>#N/A</v>
          </cell>
          <cell r="CJ910" t="e">
            <v>#N/A</v>
          </cell>
        </row>
        <row r="911">
          <cell r="B911" t="str">
            <v>Ligne_214.60_PPD</v>
          </cell>
          <cell r="C911" t="str">
            <v>214.60</v>
          </cell>
          <cell r="E911" t="str">
            <v xml:space="preserve">Fourniture des fichiers sources des logiciels et des composants programmables et preuve de régénération à l'identique des fichiers de programmation et des fichiers exécutables </v>
          </cell>
          <cell r="G911" t="str">
            <v xml:space="preserve">Validation des données </v>
          </cell>
          <cell r="S911" t="str">
            <v>AT</v>
          </cell>
          <cell r="T911" t="str">
            <v>BT</v>
          </cell>
          <cell r="U911" t="str">
            <v>J.DOMAS</v>
          </cell>
          <cell r="AA911" t="str">
            <v>E</v>
          </cell>
          <cell r="AB911" t="str">
            <v>Logiciel</v>
          </cell>
          <cell r="AC911" t="str">
            <v>EAI</v>
          </cell>
          <cell r="AD911" t="str">
            <v>ST EZ.4-20051</v>
          </cell>
          <cell r="AE911" t="str">
            <v xml:space="preserve">
Spécification pour la réalisation des logiciels embarqués
Composants électroniques complexes
Spécification pour la réalisation des outils de maintenance de niveau 1 sur PC portable
</v>
          </cell>
          <cell r="AF911" t="str">
            <v>8.1.2.60</v>
          </cell>
          <cell r="AI911">
            <v>1</v>
          </cell>
          <cell r="AU911" t="str">
            <v>FD</v>
          </cell>
          <cell r="CH911" t="e">
            <v>#N/A</v>
          </cell>
          <cell r="CI911" t="e">
            <v>#N/A</v>
          </cell>
          <cell r="CJ911" t="e">
            <v>#N/A</v>
          </cell>
        </row>
        <row r="912">
          <cell r="B912" t="str">
            <v>Ligne_214.61_PPD</v>
          </cell>
          <cell r="C912" t="str">
            <v>214.61</v>
          </cell>
          <cell r="E912" t="str">
            <v xml:space="preserve">Fourniture des fichiers sources des logiciels et des composants programmables et preuve de régénération à l'identique des fichiers de programmation et des fichiers exécutables </v>
          </cell>
          <cell r="G912" t="str">
            <v xml:space="preserve">Validation des données </v>
          </cell>
          <cell r="S912" t="str">
            <v>AT</v>
          </cell>
          <cell r="T912" t="str">
            <v>BT</v>
          </cell>
          <cell r="U912" t="str">
            <v>J.DOMAS</v>
          </cell>
          <cell r="AA912" t="str">
            <v>E</v>
          </cell>
          <cell r="AB912" t="str">
            <v>Logiciel</v>
          </cell>
          <cell r="AC912" t="str">
            <v>EAI</v>
          </cell>
          <cell r="AD912" t="str">
            <v>ST EZ.4-20051</v>
          </cell>
          <cell r="AE912" t="str">
            <v xml:space="preserve">
Spécification pour la réalisation des logiciels embarqués
Composants électroniques complexes
Spécification pour la réalisation des outils de maintenance de niveau 1 sur PC portable
</v>
          </cell>
          <cell r="AF912" t="str">
            <v>8.1.2.61</v>
          </cell>
          <cell r="AI912">
            <v>1</v>
          </cell>
          <cell r="AU912" t="str">
            <v>FD</v>
          </cell>
          <cell r="CH912" t="e">
            <v>#N/A</v>
          </cell>
          <cell r="CI912" t="e">
            <v>#N/A</v>
          </cell>
          <cell r="CJ912" t="e">
            <v>#N/A</v>
          </cell>
        </row>
        <row r="913">
          <cell r="B913" t="str">
            <v>Ligne_214.62_PPD</v>
          </cell>
          <cell r="C913" t="str">
            <v>214.62</v>
          </cell>
          <cell r="E913" t="str">
            <v xml:space="preserve">Fourniture des fichiers sources des logiciels et des composants programmables et preuve de régénération à l'identique des fichiers de programmation et des fichiers exécutables </v>
          </cell>
          <cell r="G913" t="str">
            <v>Évaluation des données</v>
          </cell>
          <cell r="S913" t="str">
            <v>AT</v>
          </cell>
          <cell r="T913" t="str">
            <v>BT</v>
          </cell>
          <cell r="U913" t="str">
            <v>J.DOMAS</v>
          </cell>
          <cell r="AA913" t="str">
            <v>E</v>
          </cell>
          <cell r="AB913" t="str">
            <v>Logiciel</v>
          </cell>
          <cell r="AC913" t="str">
            <v>EAI</v>
          </cell>
          <cell r="AD913" t="str">
            <v>ST EZ.4-20051</v>
          </cell>
          <cell r="AE913" t="str">
            <v xml:space="preserve">
Spécification pour la réalisation des logiciels embarqués
Composants électroniques complexes
Spécification pour la réalisation des outils de maintenance de niveau 1 sur PC portable
</v>
          </cell>
          <cell r="AF913" t="str">
            <v>8.1.2.61</v>
          </cell>
          <cell r="AI913">
            <v>1</v>
          </cell>
          <cell r="AY913" t="str">
            <v>FD</v>
          </cell>
          <cell r="CH913" t="e">
            <v>#N/A</v>
          </cell>
          <cell r="CI913" t="e">
            <v>#N/A</v>
          </cell>
          <cell r="CJ913" t="e">
            <v>#N/A</v>
          </cell>
        </row>
        <row r="914">
          <cell r="B914" t="str">
            <v>Ligne_214.63_PPD</v>
          </cell>
          <cell r="C914" t="str">
            <v>214.63</v>
          </cell>
          <cell r="E914"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14" t="str">
            <v>Tableau récapitulatif des LCEC  et composants du Système.</v>
          </cell>
          <cell r="S914" t="str">
            <v>AT</v>
          </cell>
          <cell r="T914" t="str">
            <v>BT</v>
          </cell>
          <cell r="U914" t="str">
            <v>J.DOMAS</v>
          </cell>
          <cell r="Z914" t="str">
            <v>RTS 174 JS2 EAI 20/07/2020</v>
          </cell>
          <cell r="AA914" t="str">
            <v>E</v>
          </cell>
          <cell r="AB914" t="str">
            <v>Logiciel</v>
          </cell>
          <cell r="AC914" t="str">
            <v>EAI</v>
          </cell>
          <cell r="AD914" t="str">
            <v>ST EZ.4-20055</v>
          </cell>
          <cell r="AE914" t="str">
            <v xml:space="preserve">
Spécification pour la réalisation des logiciels embarqués
Composants électroniques complexes
Spécification pour la réalisation des outils de maintenance de niveau 1 sur PC portable
</v>
          </cell>
          <cell r="AF914" t="str">
            <v>8.1.2.1</v>
          </cell>
          <cell r="AI914">
            <v>1</v>
          </cell>
          <cell r="AM914" t="str">
            <v>FD</v>
          </cell>
          <cell r="AU914" t="str">
            <v>FD</v>
          </cell>
          <cell r="CH914" t="e">
            <v>#N/A</v>
          </cell>
          <cell r="CI914" t="e">
            <v>#N/A</v>
          </cell>
          <cell r="CJ914" t="e">
            <v>#N/A</v>
          </cell>
        </row>
        <row r="915">
          <cell r="B915" t="str">
            <v>Ligne_214.65_PPD</v>
          </cell>
          <cell r="C915" t="str">
            <v>214.65</v>
          </cell>
          <cell r="E915"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15" t="str">
            <v>DDL : Dictionnaire de la Documentation du LCEC</v>
          </cell>
          <cell r="R915" t="str">
            <v>NA</v>
          </cell>
          <cell r="S915" t="str">
            <v>AT</v>
          </cell>
          <cell r="T915" t="str">
            <v>NA</v>
          </cell>
          <cell r="U915" t="str">
            <v>J.DOMAS</v>
          </cell>
          <cell r="Z915" t="str">
            <v>RTS 174 JS2 EAI 20/07/2020</v>
          </cell>
          <cell r="AA915" t="str">
            <v>E</v>
          </cell>
          <cell r="AB915" t="str">
            <v>Logiciel</v>
          </cell>
          <cell r="AC915" t="str">
            <v>EAI</v>
          </cell>
          <cell r="AD915" t="str">
            <v>ST EZ.4-20055</v>
          </cell>
          <cell r="AE915" t="str">
            <v xml:space="preserve">
Spécification pour la réalisation des logiciels embarqués
Composants électroniques complexes
Spécification pour la réalisation des outils de maintenance de niveau 1 sur PC portable
</v>
          </cell>
          <cell r="AF915" t="str">
            <v>8.1.2.3</v>
          </cell>
          <cell r="AI915" t="str">
            <v>LIVRABLE</v>
          </cell>
          <cell r="AN915" t="str">
            <v>FP</v>
          </cell>
          <cell r="AP915" t="str">
            <v>FD</v>
          </cell>
          <cell r="AU915" t="str">
            <v>FD</v>
          </cell>
          <cell r="CH915" t="e">
            <v>#N/A</v>
          </cell>
          <cell r="CI915" t="e">
            <v>#N/A</v>
          </cell>
          <cell r="CJ915" t="e">
            <v>#N/A</v>
          </cell>
        </row>
        <row r="916">
          <cell r="B916" t="str">
            <v>Ligne_214.65.1_PPD</v>
          </cell>
          <cell r="C916" t="str">
            <v>214.65.1</v>
          </cell>
          <cell r="E916"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16" t="str">
            <v>DDL IFEL-C2</v>
          </cell>
          <cell r="S916" t="str">
            <v>AT</v>
          </cell>
          <cell r="T916" t="str">
            <v>BT</v>
          </cell>
          <cell r="U916" t="str">
            <v>J.DOMAS</v>
          </cell>
          <cell r="Z916" t="str">
            <v>RTS 174 JS2 EAI 20/07/2020</v>
          </cell>
          <cell r="AA916" t="str">
            <v>E</v>
          </cell>
          <cell r="AB916" t="str">
            <v>Logiciel</v>
          </cell>
          <cell r="AC916" t="str">
            <v>EAI</v>
          </cell>
          <cell r="AD916" t="str">
            <v>ST EZ.4-20055</v>
          </cell>
          <cell r="AE916" t="str">
            <v xml:space="preserve">
Spécification pour la réalisation des logiciels embarqués
Composants électroniques complexes
Spécification pour la réalisation des outils de maintenance de niveau 1 sur PC portable
</v>
          </cell>
          <cell r="AF916" t="str">
            <v>8.1.2.3</v>
          </cell>
          <cell r="AI916">
            <v>1</v>
          </cell>
          <cell r="AN916" t="str">
            <v>FP</v>
          </cell>
          <cell r="AP916" t="str">
            <v>FD</v>
          </cell>
          <cell r="AU916" t="str">
            <v>FD</v>
          </cell>
          <cell r="CH916" t="e">
            <v>#N/A</v>
          </cell>
          <cell r="CI916" t="e">
            <v>#N/A</v>
          </cell>
          <cell r="CJ916" t="e">
            <v>#N/A</v>
          </cell>
        </row>
        <row r="917">
          <cell r="B917" t="str">
            <v>Ligne_214.66_PPD</v>
          </cell>
          <cell r="C917" t="str">
            <v>214.66</v>
          </cell>
          <cell r="E917"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17" t="str">
            <v>PDL : Plan de Développement du LCEC</v>
          </cell>
          <cell r="S917" t="str">
            <v>AT</v>
          </cell>
          <cell r="T917" t="str">
            <v>BT</v>
          </cell>
          <cell r="U917" t="str">
            <v>J.DOMAS</v>
          </cell>
          <cell r="Z917" t="str">
            <v>RTS 174 JS2 EAI 20/07/2020</v>
          </cell>
          <cell r="AA917" t="str">
            <v>E</v>
          </cell>
          <cell r="AB917" t="str">
            <v>Logiciel</v>
          </cell>
          <cell r="AC917" t="str">
            <v>EAI</v>
          </cell>
          <cell r="AD917" t="str">
            <v>ST EZ.4-20055</v>
          </cell>
          <cell r="AE917" t="str">
            <v xml:space="preserve">
Spécification pour la réalisation des logiciels embarqués
Composants électroniques complexes
Spécification pour la réalisation des outils de maintenance de niveau 1 sur PC portable
</v>
          </cell>
          <cell r="AF917" t="str">
            <v>8.1.2.4</v>
          </cell>
          <cell r="AI917">
            <v>1</v>
          </cell>
          <cell r="AN917" t="str">
            <v>FP</v>
          </cell>
          <cell r="AP917" t="str">
            <v>FD</v>
          </cell>
          <cell r="CH917" t="e">
            <v>#N/A</v>
          </cell>
          <cell r="CI917" t="e">
            <v>#N/A</v>
          </cell>
          <cell r="CJ917" t="e">
            <v>#N/A</v>
          </cell>
        </row>
        <row r="918">
          <cell r="B918" t="str">
            <v>Ligne_214.68_PPD</v>
          </cell>
          <cell r="C918" t="str">
            <v>214.68</v>
          </cell>
          <cell r="E918"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18" t="str">
            <v>PSDL : Plan de Sécurité du LCEC</v>
          </cell>
          <cell r="S918" t="str">
            <v>AT</v>
          </cell>
          <cell r="T918" t="str">
            <v>BT</v>
          </cell>
          <cell r="U918" t="str">
            <v>J.DOMAS</v>
          </cell>
          <cell r="Z918" t="str">
            <v>RTS 174 JS2 EAI 20/07/2020</v>
          </cell>
          <cell r="AA918" t="str">
            <v>E</v>
          </cell>
          <cell r="AB918" t="str">
            <v>Logiciel</v>
          </cell>
          <cell r="AC918" t="str">
            <v>EAI</v>
          </cell>
          <cell r="AD918" t="str">
            <v>ST EZ.4-20055</v>
          </cell>
          <cell r="AE918" t="str">
            <v xml:space="preserve">
Spécification pour la réalisation des logiciels embarqués
Composants électroniques complexes
Spécification pour la réalisation des outils de maintenance de niveau 1 sur PC portable
</v>
          </cell>
          <cell r="AF918" t="str">
            <v>8.1.2.6</v>
          </cell>
          <cell r="AI918">
            <v>1</v>
          </cell>
          <cell r="AN918" t="str">
            <v>FP</v>
          </cell>
          <cell r="AP918" t="str">
            <v>FD</v>
          </cell>
          <cell r="CH918" t="e">
            <v>#N/A</v>
          </cell>
          <cell r="CI918" t="e">
            <v>#N/A</v>
          </cell>
          <cell r="CJ918" t="e">
            <v>#N/A</v>
          </cell>
        </row>
        <row r="919">
          <cell r="B919" t="str">
            <v>Ligne_214.69_PPD</v>
          </cell>
          <cell r="C919" t="str">
            <v>214.69</v>
          </cell>
          <cell r="E919"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19" t="str">
            <v>PVeL : Plan de Vérification du LCEC</v>
          </cell>
          <cell r="S919" t="str">
            <v>AT</v>
          </cell>
          <cell r="T919" t="str">
            <v>BT</v>
          </cell>
          <cell r="U919" t="str">
            <v>J.DOMAS</v>
          </cell>
          <cell r="Z919" t="str">
            <v>RTS 174 JS2 EAI 20/07/2020</v>
          </cell>
          <cell r="AA919" t="str">
            <v>E</v>
          </cell>
          <cell r="AB919" t="str">
            <v>Logiciel</v>
          </cell>
          <cell r="AC919" t="str">
            <v>EAI</v>
          </cell>
          <cell r="AD919" t="str">
            <v>ST EZ.4-20055</v>
          </cell>
          <cell r="AE919" t="str">
            <v xml:space="preserve">
Spécification pour la réalisation des logiciels embarqués
Composants électroniques complexes
Spécification pour la réalisation des outils de maintenance de niveau 1 sur PC portable
</v>
          </cell>
          <cell r="AF919" t="str">
            <v>8.1.2.7</v>
          </cell>
          <cell r="AI919">
            <v>1</v>
          </cell>
          <cell r="AN919" t="str">
            <v>FP</v>
          </cell>
          <cell r="AP919" t="str">
            <v>FD</v>
          </cell>
          <cell r="CH919" t="e">
            <v>#N/A</v>
          </cell>
          <cell r="CI919" t="e">
            <v>#N/A</v>
          </cell>
          <cell r="CJ919" t="e">
            <v>#N/A</v>
          </cell>
        </row>
        <row r="920">
          <cell r="B920" t="str">
            <v>Ligne_214.70_PPD</v>
          </cell>
          <cell r="C920" t="str">
            <v>214.70</v>
          </cell>
          <cell r="E920"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20" t="str">
            <v>PVL : Plan de Validation du LCEC</v>
          </cell>
          <cell r="R920" t="str">
            <v>NA</v>
          </cell>
          <cell r="S920" t="str">
            <v>AT</v>
          </cell>
          <cell r="T920" t="str">
            <v>NA</v>
          </cell>
          <cell r="U920" t="str">
            <v>J.DOMAS</v>
          </cell>
          <cell r="Z920" t="str">
            <v>RTS 174 JS2 EAI 20/07/2020</v>
          </cell>
          <cell r="AA920" t="str">
            <v>E</v>
          </cell>
          <cell r="AB920" t="str">
            <v>Logiciel</v>
          </cell>
          <cell r="AC920" t="str">
            <v>EAI</v>
          </cell>
          <cell r="AD920" t="str">
            <v>ST EZ.4-20055</v>
          </cell>
          <cell r="AE920" t="str">
            <v xml:space="preserve">
Spécification pour la réalisation des logiciels embarqués
Composants électroniques complexes
Spécification pour la réalisation des outils de maintenance de niveau 1 sur PC portable
</v>
          </cell>
          <cell r="AF920" t="str">
            <v>8.1.2.8</v>
          </cell>
          <cell r="AI920" t="str">
            <v>LIVRABLE</v>
          </cell>
          <cell r="AN920" t="str">
            <v>FP</v>
          </cell>
          <cell r="AP920" t="str">
            <v>FD</v>
          </cell>
          <cell r="CH920" t="e">
            <v>#N/A</v>
          </cell>
          <cell r="CI920" t="e">
            <v>#N/A</v>
          </cell>
          <cell r="CJ920" t="e">
            <v>#N/A</v>
          </cell>
        </row>
        <row r="921">
          <cell r="B921" t="str">
            <v>Ligne_214.70.1_PPD</v>
          </cell>
          <cell r="C921" t="str">
            <v>214.70.1</v>
          </cell>
          <cell r="E921"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21" t="str">
            <v>PVL IFEL-C2</v>
          </cell>
          <cell r="S921" t="str">
            <v>AT</v>
          </cell>
          <cell r="T921" t="str">
            <v>BT</v>
          </cell>
          <cell r="U921" t="str">
            <v>J.DOMAS</v>
          </cell>
          <cell r="Z921" t="str">
            <v>RTS 174 JS2 EAI 20/07/2020</v>
          </cell>
          <cell r="AA921" t="str">
            <v>E</v>
          </cell>
          <cell r="AB921" t="str">
            <v>Logiciel</v>
          </cell>
          <cell r="AC921" t="str">
            <v>EAI</v>
          </cell>
          <cell r="AD921" t="str">
            <v>ST EZ.4-20055</v>
          </cell>
          <cell r="AE921" t="str">
            <v xml:space="preserve">
Spécification pour la réalisation des logiciels embarqués
Composants électroniques complexes
Spécification pour la réalisation des outils de maintenance de niveau 1 sur PC portable
</v>
          </cell>
          <cell r="AF921" t="str">
            <v>8.1.2.8</v>
          </cell>
          <cell r="AI921">
            <v>1</v>
          </cell>
          <cell r="AN921" t="str">
            <v>FP</v>
          </cell>
          <cell r="AP921" t="str">
            <v>FD</v>
          </cell>
          <cell r="CH921" t="e">
            <v>#N/A</v>
          </cell>
          <cell r="CI921" t="e">
            <v>#N/A</v>
          </cell>
          <cell r="CJ921" t="e">
            <v>#N/A</v>
          </cell>
        </row>
        <row r="922">
          <cell r="B922" t="str">
            <v>Ligne_214.71_PPD</v>
          </cell>
          <cell r="C922" t="str">
            <v>214.71</v>
          </cell>
          <cell r="E922"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22" t="str">
            <v>PML : Plan de Maintenance du LCEC</v>
          </cell>
          <cell r="S922" t="str">
            <v>AT</v>
          </cell>
          <cell r="T922" t="str">
            <v>BT</v>
          </cell>
          <cell r="U922" t="str">
            <v>J.DOMAS</v>
          </cell>
          <cell r="Z922" t="str">
            <v>RTS 174 JS2 EAI 20/07/2020</v>
          </cell>
          <cell r="AA922" t="str">
            <v>E</v>
          </cell>
          <cell r="AB922" t="str">
            <v>Logiciel</v>
          </cell>
          <cell r="AC922" t="str">
            <v>EAI</v>
          </cell>
          <cell r="AD922" t="str">
            <v>ST EZ.4-20055</v>
          </cell>
          <cell r="AE922" t="str">
            <v xml:space="preserve">
Spécification pour la réalisation des logiciels embarqués
Composants électroniques complexes
Spécification pour la réalisation des outils de maintenance de niveau 1 sur PC portable
</v>
          </cell>
          <cell r="AF922" t="str">
            <v>8.1.2.9</v>
          </cell>
          <cell r="AI922">
            <v>1</v>
          </cell>
          <cell r="AN922" t="str">
            <v>FP</v>
          </cell>
          <cell r="AP922" t="str">
            <v>FD</v>
          </cell>
          <cell r="CH922" t="e">
            <v>#N/A</v>
          </cell>
          <cell r="CI922" t="e">
            <v>#N/A</v>
          </cell>
          <cell r="CJ922" t="e">
            <v>#N/A</v>
          </cell>
        </row>
        <row r="923">
          <cell r="B923" t="str">
            <v>Ligne_214.72_PPD</v>
          </cell>
          <cell r="C923" t="str">
            <v>214.72</v>
          </cell>
          <cell r="E923"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23" t="str">
            <v>PEVAL : Plan d’Évaluation du LCEC</v>
          </cell>
          <cell r="S923" t="str">
            <v>AT</v>
          </cell>
          <cell r="T923" t="str">
            <v>BT</v>
          </cell>
          <cell r="U923" t="str">
            <v>J.DOMAS</v>
          </cell>
          <cell r="Z923" t="str">
            <v>RTS 174 JS2 EAI 20/07/2020</v>
          </cell>
          <cell r="AA923" t="str">
            <v>E</v>
          </cell>
          <cell r="AB923" t="str">
            <v>Logiciel</v>
          </cell>
          <cell r="AC923" t="str">
            <v>EAI</v>
          </cell>
          <cell r="AD923" t="str">
            <v>ST EZ.4-20055</v>
          </cell>
          <cell r="AE923" t="str">
            <v xml:space="preserve">
Spécification pour la réalisation des logiciels embarqués
Composants électroniques complexes
Spécification pour la réalisation des outils de maintenance de niveau 1 sur PC portable
</v>
          </cell>
          <cell r="AF923" t="str">
            <v>8.1.2.10</v>
          </cell>
          <cell r="AI923">
            <v>1</v>
          </cell>
          <cell r="AN923" t="str">
            <v>FP</v>
          </cell>
          <cell r="AP923" t="str">
            <v>FD</v>
          </cell>
          <cell r="CH923" t="e">
            <v>#N/A</v>
          </cell>
          <cell r="CI923" t="e">
            <v>#N/A</v>
          </cell>
          <cell r="CJ923" t="e">
            <v>#N/A</v>
          </cell>
        </row>
        <row r="924">
          <cell r="B924" t="str">
            <v>Ligne_214.73_PPD</v>
          </cell>
          <cell r="C924" t="str">
            <v>214.73</v>
          </cell>
          <cell r="E924"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24" t="str">
            <v>Rapport de revue de phase de démarrage</v>
          </cell>
          <cell r="R924" t="str">
            <v>NA</v>
          </cell>
          <cell r="S924" t="str">
            <v>AT</v>
          </cell>
          <cell r="T924" t="str">
            <v>NA</v>
          </cell>
          <cell r="U924" t="str">
            <v>J.DOMAS</v>
          </cell>
          <cell r="Z924" t="str">
            <v>RTS 174 JS2 EAI 20/07/2020</v>
          </cell>
          <cell r="AA924" t="str">
            <v>E</v>
          </cell>
          <cell r="AB924" t="str">
            <v>Logiciel</v>
          </cell>
          <cell r="AC924" t="str">
            <v>EAI</v>
          </cell>
          <cell r="AD924" t="str">
            <v>ST EZ.4-20055</v>
          </cell>
          <cell r="AE924" t="str">
            <v xml:space="preserve">
Spécification pour la réalisation des logiciels embarqués
Composants électroniques complexes
Spécification pour la réalisation des outils de maintenance de niveau 1 sur PC portable
</v>
          </cell>
          <cell r="AF924" t="str">
            <v>8.1.2.11</v>
          </cell>
          <cell r="AI924" t="str">
            <v>LIVRABLE</v>
          </cell>
          <cell r="AN924" t="str">
            <v>FP</v>
          </cell>
          <cell r="AP924" t="str">
            <v>FD</v>
          </cell>
          <cell r="CH924" t="e">
            <v>#N/A</v>
          </cell>
          <cell r="CI924" t="e">
            <v>#N/A</v>
          </cell>
          <cell r="CJ924" t="e">
            <v>#N/A</v>
          </cell>
        </row>
        <row r="925">
          <cell r="B925" t="str">
            <v>Ligne_214.73.1_PPD</v>
          </cell>
          <cell r="C925" t="str">
            <v>214.73.1</v>
          </cell>
          <cell r="E925"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25" t="str">
            <v>RAPPORT DE REVUE DE PHASE DE DEMARRAGE IFEL-C2</v>
          </cell>
          <cell r="S925" t="str">
            <v>AT</v>
          </cell>
          <cell r="T925" t="str">
            <v>BT</v>
          </cell>
          <cell r="U925" t="str">
            <v>J.DOMAS</v>
          </cell>
          <cell r="Z925" t="str">
            <v>RTS 174 JS2 EAI 20/07/2020</v>
          </cell>
          <cell r="AA925" t="str">
            <v>E</v>
          </cell>
          <cell r="AB925" t="str">
            <v>Logiciel</v>
          </cell>
          <cell r="AC925" t="str">
            <v>EAI</v>
          </cell>
          <cell r="AD925" t="str">
            <v>ST EZ.4-20055</v>
          </cell>
          <cell r="AE925" t="str">
            <v xml:space="preserve">
Spécification pour la réalisation des logiciels embarqués
Composants électroniques complexes
Spécification pour la réalisation des outils de maintenance de niveau 1 sur PC portable
</v>
          </cell>
          <cell r="AF925" t="str">
            <v>8.1.2.11</v>
          </cell>
          <cell r="AI925">
            <v>1</v>
          </cell>
          <cell r="AN925" t="str">
            <v>FP</v>
          </cell>
          <cell r="AP925" t="str">
            <v>FD</v>
          </cell>
          <cell r="CH925" t="e">
            <v>#N/A</v>
          </cell>
          <cell r="CI925" t="e">
            <v>#N/A</v>
          </cell>
          <cell r="CJ925" t="e">
            <v>#N/A</v>
          </cell>
        </row>
        <row r="926">
          <cell r="B926" t="str">
            <v>Ligne_214.74_PPD</v>
          </cell>
          <cell r="C926" t="str">
            <v>214.74</v>
          </cell>
          <cell r="E926"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26" t="str">
            <v>DSCP : Spécification fonctionnelle du CEC</v>
          </cell>
          <cell r="S926" t="str">
            <v>AT</v>
          </cell>
          <cell r="T926" t="str">
            <v>BT</v>
          </cell>
          <cell r="U926" t="str">
            <v>J.DOMAS</v>
          </cell>
          <cell r="AA926" t="str">
            <v>E</v>
          </cell>
          <cell r="AB926" t="str">
            <v>Logiciel</v>
          </cell>
          <cell r="AC926" t="str">
            <v>EAI</v>
          </cell>
          <cell r="AD926" t="str">
            <v>ST EZ.4-20055</v>
          </cell>
          <cell r="AE926" t="str">
            <v xml:space="preserve">
Spécification pour la réalisation des logiciels embarqués
Composants électroniques complexes
Spécification pour la réalisation des outils de maintenance de niveau 1 sur PC portable
</v>
          </cell>
          <cell r="AF926" t="str">
            <v>8.1.2.12</v>
          </cell>
          <cell r="AI926">
            <v>1</v>
          </cell>
          <cell r="AR926" t="str">
            <v>FP</v>
          </cell>
          <cell r="AU926" t="str">
            <v>FD</v>
          </cell>
          <cell r="CH926" t="e">
            <v>#N/A</v>
          </cell>
          <cell r="CI926" t="e">
            <v>#N/A</v>
          </cell>
          <cell r="CJ926" t="e">
            <v>#N/A</v>
          </cell>
        </row>
        <row r="927">
          <cell r="B927" t="str">
            <v>Ligne_214.75_PPD</v>
          </cell>
          <cell r="C927" t="str">
            <v>214.75</v>
          </cell>
          <cell r="E927"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27" t="str">
            <v>DSEL : Spécification des Exigences du LCEC</v>
          </cell>
          <cell r="S927" t="str">
            <v>AT</v>
          </cell>
          <cell r="T927" t="str">
            <v>BT</v>
          </cell>
          <cell r="U927" t="str">
            <v>J.DOMAS</v>
          </cell>
          <cell r="AA927" t="str">
            <v>E</v>
          </cell>
          <cell r="AB927" t="str">
            <v>Logiciel</v>
          </cell>
          <cell r="AC927" t="str">
            <v>EAI</v>
          </cell>
          <cell r="AD927" t="str">
            <v>ST EZ.4-20055</v>
          </cell>
          <cell r="AE927" t="str">
            <v xml:space="preserve">
Spécification pour la réalisation des logiciels embarqués
Composants électroniques complexes
Spécification pour la réalisation des outils de maintenance de niveau 1 sur PC portable
</v>
          </cell>
          <cell r="AF927" t="str">
            <v>8.1.2.13</v>
          </cell>
          <cell r="AI927">
            <v>1</v>
          </cell>
          <cell r="AP927" t="str">
            <v>PI</v>
          </cell>
          <cell r="AR927" t="str">
            <v>FP</v>
          </cell>
          <cell r="AU927" t="str">
            <v>FD</v>
          </cell>
          <cell r="CH927" t="e">
            <v>#N/A</v>
          </cell>
          <cell r="CI927" t="e">
            <v>#N/A</v>
          </cell>
          <cell r="CJ927" t="e">
            <v>#N/A</v>
          </cell>
        </row>
        <row r="928">
          <cell r="B928" t="str">
            <v>Ligne_214.76_PPD</v>
          </cell>
          <cell r="C928" t="str">
            <v>214.76</v>
          </cell>
          <cell r="E928"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28" t="str">
            <v>DVL : Spécification de Test des Exigences du LCEC</v>
          </cell>
          <cell r="S928" t="str">
            <v>AT</v>
          </cell>
          <cell r="T928" t="str">
            <v>BT</v>
          </cell>
          <cell r="U928" t="str">
            <v>J.DOMAS</v>
          </cell>
          <cell r="AA928" t="str">
            <v>E</v>
          </cell>
          <cell r="AB928" t="str">
            <v>Logiciel</v>
          </cell>
          <cell r="AC928" t="str">
            <v>EAI</v>
          </cell>
          <cell r="AD928" t="str">
            <v>ST EZ.4-20055</v>
          </cell>
          <cell r="AE928" t="str">
            <v xml:space="preserve">
Spécification pour la réalisation des logiciels embarqués
Composants électroniques complexes
Spécification pour la réalisation des outils de maintenance de niveau 1 sur PC portable
</v>
          </cell>
          <cell r="AF928" t="str">
            <v>8.1.2.14</v>
          </cell>
          <cell r="AI928">
            <v>1</v>
          </cell>
          <cell r="AR928" t="str">
            <v>FP</v>
          </cell>
          <cell r="AU928" t="str">
            <v>FD</v>
          </cell>
          <cell r="CH928" t="e">
            <v>#N/A</v>
          </cell>
          <cell r="CI928" t="e">
            <v>#N/A</v>
          </cell>
          <cell r="CJ928" t="e">
            <v>#N/A</v>
          </cell>
        </row>
        <row r="929">
          <cell r="B929" t="str">
            <v>Ligne_214.77_PPD</v>
          </cell>
          <cell r="C929" t="str">
            <v>214.77</v>
          </cell>
          <cell r="E929"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29" t="str">
            <v>RVeL : Rapport de Vérification des Exigences du LCEC</v>
          </cell>
          <cell r="S929" t="str">
            <v>AT</v>
          </cell>
          <cell r="T929" t="str">
            <v>BT</v>
          </cell>
          <cell r="U929" t="str">
            <v>J.DOMAS</v>
          </cell>
          <cell r="AA929" t="str">
            <v>E</v>
          </cell>
          <cell r="AB929" t="str">
            <v>Logiciel</v>
          </cell>
          <cell r="AC929" t="str">
            <v>EAI</v>
          </cell>
          <cell r="AD929" t="str">
            <v>ST EZ.4-20055</v>
          </cell>
          <cell r="AE929" t="str">
            <v xml:space="preserve">
Spécification pour la réalisation des logiciels embarqués
Composants électroniques complexes
Spécification pour la réalisation des outils de maintenance de niveau 1 sur PC portable
</v>
          </cell>
          <cell r="AF929" t="str">
            <v>8.1.2.15</v>
          </cell>
          <cell r="AI929">
            <v>1</v>
          </cell>
          <cell r="AR929" t="str">
            <v>FP</v>
          </cell>
          <cell r="AU929" t="str">
            <v>FD</v>
          </cell>
          <cell r="CH929" t="e">
            <v>#N/A</v>
          </cell>
          <cell r="CI929" t="e">
            <v>#N/A</v>
          </cell>
          <cell r="CJ929" t="e">
            <v>#N/A</v>
          </cell>
        </row>
        <row r="930">
          <cell r="B930" t="str">
            <v>Ligne_214.78_PPD</v>
          </cell>
          <cell r="C930" t="str">
            <v>214.78</v>
          </cell>
          <cell r="E930"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30" t="str">
            <v>Rapport d’évaluation de la spécification du LCEC</v>
          </cell>
          <cell r="S930" t="str">
            <v>AT</v>
          </cell>
          <cell r="T930" t="str">
            <v>BT</v>
          </cell>
          <cell r="U930" t="str">
            <v>J.DOMAS</v>
          </cell>
          <cell r="AA930" t="str">
            <v>E</v>
          </cell>
          <cell r="AB930" t="str">
            <v>Logiciel</v>
          </cell>
          <cell r="AC930" t="str">
            <v>EAI</v>
          </cell>
          <cell r="AD930" t="str">
            <v>ST EZ.4-20055</v>
          </cell>
          <cell r="AE930" t="str">
            <v xml:space="preserve">
Spécification pour la réalisation des logiciels embarqués
Composants électroniques complexes
Spécification pour la réalisation des outils de maintenance de niveau 1 sur PC portable
</v>
          </cell>
          <cell r="AF930" t="str">
            <v>8.1.2.16</v>
          </cell>
          <cell r="AI930">
            <v>1</v>
          </cell>
          <cell r="AR930" t="str">
            <v>FP</v>
          </cell>
          <cell r="AY930" t="str">
            <v>FD</v>
          </cell>
          <cell r="CH930" t="e">
            <v>#N/A</v>
          </cell>
          <cell r="CI930" t="e">
            <v>#N/A</v>
          </cell>
          <cell r="CJ930" t="e">
            <v>#N/A</v>
          </cell>
        </row>
        <row r="931">
          <cell r="B931" t="str">
            <v>Ligne_214.79_PPD</v>
          </cell>
          <cell r="C931" t="str">
            <v>214.79</v>
          </cell>
          <cell r="E931"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31" t="str">
            <v>Rapport de revue de phase de spécification</v>
          </cell>
          <cell r="S931" t="str">
            <v>AT</v>
          </cell>
          <cell r="T931" t="str">
            <v>BT</v>
          </cell>
          <cell r="U931" t="str">
            <v>J.DOMAS</v>
          </cell>
          <cell r="AA931" t="str">
            <v>E</v>
          </cell>
          <cell r="AB931" t="str">
            <v>Logiciel</v>
          </cell>
          <cell r="AC931" t="str">
            <v>EAI</v>
          </cell>
          <cell r="AD931" t="str">
            <v>ST EZ.4-20055</v>
          </cell>
          <cell r="AE931" t="str">
            <v xml:space="preserve">
Spécification pour la réalisation des logiciels embarqués
Composants électroniques complexes
Spécification pour la réalisation des outils de maintenance de niveau 1 sur PC portable
</v>
          </cell>
          <cell r="AF931" t="str">
            <v>8.1.2.17</v>
          </cell>
          <cell r="AI931">
            <v>1</v>
          </cell>
          <cell r="AR931" t="str">
            <v>FP</v>
          </cell>
          <cell r="AU931" t="str">
            <v>FD</v>
          </cell>
          <cell r="CH931" t="e">
            <v>#N/A</v>
          </cell>
          <cell r="CI931" t="e">
            <v>#N/A</v>
          </cell>
          <cell r="CJ931" t="e">
            <v>#N/A</v>
          </cell>
        </row>
        <row r="932">
          <cell r="B932" t="str">
            <v>Ligne_214.80_PPD</v>
          </cell>
          <cell r="C932" t="str">
            <v>214.80</v>
          </cell>
          <cell r="E932"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32" t="str">
            <v>DCL : Dossier de Conception  du LCEC</v>
          </cell>
          <cell r="S932" t="str">
            <v>AT</v>
          </cell>
          <cell r="T932" t="str">
            <v>BT</v>
          </cell>
          <cell r="U932" t="str">
            <v>J.DOMAS</v>
          </cell>
          <cell r="AA932" t="str">
            <v>E</v>
          </cell>
          <cell r="AB932" t="str">
            <v>Logiciel</v>
          </cell>
          <cell r="AC932" t="str">
            <v>EAI</v>
          </cell>
          <cell r="AD932" t="str">
            <v>ST EZ.4-20055</v>
          </cell>
          <cell r="AE932" t="str">
            <v xml:space="preserve">
Spécification pour la réalisation des logiciels embarqués
Composants électroniques complexes
Spécification pour la réalisation des outils de maintenance de niveau 1 sur PC portable
</v>
          </cell>
          <cell r="AF932" t="str">
            <v>8.1.2.18</v>
          </cell>
          <cell r="AI932">
            <v>1</v>
          </cell>
          <cell r="AR932" t="str">
            <v>FP</v>
          </cell>
          <cell r="AU932" t="str">
            <v>FD</v>
          </cell>
          <cell r="CH932" t="e">
            <v>#N/A</v>
          </cell>
          <cell r="CI932" t="e">
            <v>#N/A</v>
          </cell>
          <cell r="CJ932" t="e">
            <v>#N/A</v>
          </cell>
        </row>
        <row r="933">
          <cell r="B933" t="str">
            <v>Ligne_214.81_PPD</v>
          </cell>
          <cell r="C933" t="str">
            <v>214.81</v>
          </cell>
          <cell r="E933"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33" t="str">
            <v>DSIL : Spécification d’interface du LCEC</v>
          </cell>
          <cell r="S933" t="str">
            <v>AT</v>
          </cell>
          <cell r="T933" t="str">
            <v>BT</v>
          </cell>
          <cell r="U933" t="str">
            <v>J.DOMAS</v>
          </cell>
          <cell r="AA933" t="str">
            <v>E</v>
          </cell>
          <cell r="AB933" t="str">
            <v>Logiciel</v>
          </cell>
          <cell r="AC933" t="str">
            <v>EAI</v>
          </cell>
          <cell r="AD933" t="str">
            <v>ST EZ.4-20055</v>
          </cell>
          <cell r="AE933" t="str">
            <v xml:space="preserve">
Spécification pour la réalisation des logiciels embarqués
Composants électroniques complexes
Spécification pour la réalisation des outils de maintenance de niveau 1 sur PC portable
</v>
          </cell>
          <cell r="AF933" t="str">
            <v>8.1.2.19</v>
          </cell>
          <cell r="AI933">
            <v>1</v>
          </cell>
          <cell r="AR933" t="str">
            <v>FP</v>
          </cell>
          <cell r="AU933" t="str">
            <v>FD</v>
          </cell>
          <cell r="CH933" t="e">
            <v>#N/A</v>
          </cell>
          <cell r="CI933" t="e">
            <v>#N/A</v>
          </cell>
          <cell r="CJ933" t="e">
            <v>#N/A</v>
          </cell>
        </row>
        <row r="934">
          <cell r="B934" t="str">
            <v>Ligne_214.82_PPD</v>
          </cell>
          <cell r="C934" t="str">
            <v>214.82</v>
          </cell>
          <cell r="E934"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34" t="str">
            <v>DDCP : Document de description du CEC</v>
          </cell>
          <cell r="S934" t="str">
            <v>AT</v>
          </cell>
          <cell r="T934" t="str">
            <v>BT</v>
          </cell>
          <cell r="U934" t="str">
            <v>J.DOMAS</v>
          </cell>
          <cell r="AA934" t="str">
            <v>E</v>
          </cell>
          <cell r="AB934" t="str">
            <v>Logiciel</v>
          </cell>
          <cell r="AC934" t="str">
            <v>EAI</v>
          </cell>
          <cell r="AD934" t="str">
            <v>ST EZ.4-20055</v>
          </cell>
          <cell r="AE934" t="str">
            <v xml:space="preserve">
Spécification pour la réalisation des logiciels embarqués
Composants électroniques complexes
Spécification pour la réalisation des outils de maintenance de niveau 1 sur PC portable
</v>
          </cell>
          <cell r="AF934" t="str">
            <v>8.1.2.20</v>
          </cell>
          <cell r="AI934">
            <v>1</v>
          </cell>
          <cell r="AR934" t="str">
            <v>FP</v>
          </cell>
          <cell r="AU934" t="str">
            <v>FD</v>
          </cell>
          <cell r="CH934" t="e">
            <v>#N/A</v>
          </cell>
          <cell r="CI934" t="e">
            <v>#N/A</v>
          </cell>
          <cell r="CJ934" t="e">
            <v>#N/A</v>
          </cell>
        </row>
        <row r="935">
          <cell r="B935" t="str">
            <v>Ligne_214.83_PPD</v>
          </cell>
          <cell r="C935" t="str">
            <v>214.83</v>
          </cell>
          <cell r="E935"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35" t="str">
            <v>RVaL : Rapport de Vérification de l’architecture et de la conception de LCEC</v>
          </cell>
          <cell r="S935" t="str">
            <v>AT</v>
          </cell>
          <cell r="T935" t="str">
            <v>BT</v>
          </cell>
          <cell r="U935" t="str">
            <v>J.DOMAS</v>
          </cell>
          <cell r="AA935" t="str">
            <v>E</v>
          </cell>
          <cell r="AB935" t="str">
            <v>Logiciel</v>
          </cell>
          <cell r="AC935" t="str">
            <v>EAI</v>
          </cell>
          <cell r="AD935" t="str">
            <v>ST EZ.4-20055</v>
          </cell>
          <cell r="AE935" t="str">
            <v xml:space="preserve">
Spécification pour la réalisation des logiciels embarqués
Composants électroniques complexes
Spécification pour la réalisation des outils de maintenance de niveau 1 sur PC portable
</v>
          </cell>
          <cell r="AF935" t="str">
            <v>8.1.2.21</v>
          </cell>
          <cell r="AI935">
            <v>1</v>
          </cell>
          <cell r="AR935" t="str">
            <v>FP</v>
          </cell>
          <cell r="AU935" t="str">
            <v>FD</v>
          </cell>
          <cell r="CH935" t="e">
            <v>#N/A</v>
          </cell>
          <cell r="CI935" t="e">
            <v>#N/A</v>
          </cell>
          <cell r="CJ935" t="e">
            <v>#N/A</v>
          </cell>
        </row>
        <row r="936">
          <cell r="B936" t="str">
            <v>Ligne_214.84_PPD</v>
          </cell>
          <cell r="C936" t="str">
            <v>214.84</v>
          </cell>
          <cell r="E936"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36" t="str">
            <v>Rapport d’évaluation de la conception du LCEC</v>
          </cell>
          <cell r="S936" t="str">
            <v>AT</v>
          </cell>
          <cell r="T936" t="str">
            <v>BT</v>
          </cell>
          <cell r="U936" t="str">
            <v>J.DOMAS</v>
          </cell>
          <cell r="AA936" t="str">
            <v>E</v>
          </cell>
          <cell r="AB936" t="str">
            <v>Logiciel</v>
          </cell>
          <cell r="AC936" t="str">
            <v>EAI</v>
          </cell>
          <cell r="AD936" t="str">
            <v>ST EZ.4-20055</v>
          </cell>
          <cell r="AE936" t="str">
            <v xml:space="preserve">
Spécification pour la réalisation des logiciels embarqués
Composants électroniques complexes
Spécification pour la réalisation des outils de maintenance de niveau 1 sur PC portable
</v>
          </cell>
          <cell r="AF936" t="str">
            <v>8.1.2.22</v>
          </cell>
          <cell r="AI936">
            <v>1</v>
          </cell>
          <cell r="AR936" t="str">
            <v>FP</v>
          </cell>
          <cell r="AY936" t="str">
            <v>FD</v>
          </cell>
          <cell r="CH936" t="e">
            <v>#N/A</v>
          </cell>
          <cell r="CI936" t="e">
            <v>#N/A</v>
          </cell>
          <cell r="CJ936" t="e">
            <v>#N/A</v>
          </cell>
        </row>
        <row r="937">
          <cell r="B937" t="str">
            <v>Ligne_214.85_PPD</v>
          </cell>
          <cell r="C937" t="str">
            <v>214.85</v>
          </cell>
          <cell r="E937"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37" t="str">
            <v xml:space="preserve">Rapport de revue de phase de conception </v>
          </cell>
          <cell r="S937" t="str">
            <v>AT</v>
          </cell>
          <cell r="T937" t="str">
            <v>BT</v>
          </cell>
          <cell r="U937" t="str">
            <v>J.DOMAS</v>
          </cell>
          <cell r="AA937" t="str">
            <v>E</v>
          </cell>
          <cell r="AB937" t="str">
            <v>Logiciel</v>
          </cell>
          <cell r="AC937" t="str">
            <v>EAI</v>
          </cell>
          <cell r="AD937" t="str">
            <v>ST EZ.4-20055</v>
          </cell>
          <cell r="AE937" t="str">
            <v xml:space="preserve">
Spécification pour la réalisation des logiciels embarqués
Composants électroniques complexes
Spécification pour la réalisation des outils de maintenance de niveau 1 sur PC portable
</v>
          </cell>
          <cell r="AF937" t="str">
            <v>8.1.2.23</v>
          </cell>
          <cell r="AI937">
            <v>1</v>
          </cell>
          <cell r="AR937" t="str">
            <v>FP</v>
          </cell>
          <cell r="AU937" t="str">
            <v>FD</v>
          </cell>
          <cell r="CH937" t="e">
            <v>#N/A</v>
          </cell>
          <cell r="CI937" t="e">
            <v>#N/A</v>
          </cell>
          <cell r="CJ937" t="e">
            <v>#N/A</v>
          </cell>
        </row>
        <row r="938">
          <cell r="B938" t="str">
            <v>Ligne_214.86_PPD</v>
          </cell>
          <cell r="C938" t="str">
            <v>214.86</v>
          </cell>
          <cell r="E938" t="str">
            <v xml:space="preserve">Fourniture des fichiers sources des logiciels et des composants programmables et preuve de régénération à l'identique des fichiers de programmation et des fichiers exécutables </v>
          </cell>
          <cell r="G938" t="str">
            <v>Code Source du LCEC (commenté)</v>
          </cell>
          <cell r="S938" t="str">
            <v>AT</v>
          </cell>
          <cell r="T938" t="str">
            <v>BT</v>
          </cell>
          <cell r="U938" t="str">
            <v>J.DOMAS</v>
          </cell>
          <cell r="AA938" t="str">
            <v>E</v>
          </cell>
          <cell r="AB938" t="str">
            <v>Logiciel</v>
          </cell>
          <cell r="AC938" t="str">
            <v>EAI</v>
          </cell>
          <cell r="AD938" t="str">
            <v>ST EZ.4-20055</v>
          </cell>
          <cell r="AE938" t="str">
            <v xml:space="preserve">
Spécification pour la réalisation des logiciels embarqués
Composants électroniques complexes
Spécification pour la réalisation des outils de maintenance de niveau 1 sur PC portable
</v>
          </cell>
          <cell r="AF938" t="str">
            <v>8.1.2.24</v>
          </cell>
          <cell r="AI938">
            <v>1</v>
          </cell>
          <cell r="AU938" t="str">
            <v>FD</v>
          </cell>
          <cell r="CH938" t="e">
            <v>#N/A</v>
          </cell>
          <cell r="CI938" t="e">
            <v>#N/A</v>
          </cell>
          <cell r="CJ938" t="e">
            <v>#N/A</v>
          </cell>
        </row>
        <row r="939">
          <cell r="B939" t="str">
            <v>Ligne_214.87_PPD</v>
          </cell>
          <cell r="C939" t="str">
            <v>214.87</v>
          </cell>
          <cell r="E939" t="str">
            <v>Documents des logiciels et documents des composants programmables non livrés au jalon JD1  comprenant les documents demandés dans les spécifications techniques de référence  EZ.4-20051 (cf. §8.1.2), EZ.4-20055 (cf. §8.1.2) et EZ.4-20058 (cf. §6)</v>
          </cell>
          <cell r="G939" t="str">
            <v>RVcL : Rapport de Vérification du Code Source du LCEC</v>
          </cell>
          <cell r="S939" t="str">
            <v>AT</v>
          </cell>
          <cell r="T939" t="str">
            <v>BT</v>
          </cell>
          <cell r="U939" t="str">
            <v>J.DOMAS</v>
          </cell>
          <cell r="AA939" t="str">
            <v>E</v>
          </cell>
          <cell r="AB939" t="str">
            <v>Logiciel</v>
          </cell>
          <cell r="AC939" t="str">
            <v>EAI</v>
          </cell>
          <cell r="AD939" t="str">
            <v>ST EZ.4-20055</v>
          </cell>
          <cell r="AE939" t="str">
            <v xml:space="preserve">
Spécification pour la réalisation des logiciels embarqués
Composants électroniques complexes
Spécification pour la réalisation des outils de maintenance de niveau 1 sur PC portable
</v>
          </cell>
          <cell r="AF939" t="str">
            <v>8.1.2.25</v>
          </cell>
          <cell r="AI939">
            <v>1</v>
          </cell>
          <cell r="AU939" t="str">
            <v>FD</v>
          </cell>
          <cell r="CH939" t="e">
            <v>#N/A</v>
          </cell>
          <cell r="CI939" t="e">
            <v>#N/A</v>
          </cell>
          <cell r="CJ939" t="e">
            <v>#N/A</v>
          </cell>
        </row>
        <row r="940">
          <cell r="B940" t="str">
            <v>Ligne_214.88_PPD</v>
          </cell>
          <cell r="C940" t="str">
            <v>214.88</v>
          </cell>
          <cell r="E940" t="str">
            <v>Documents des logiciels et documents des composants programmables non livrés au jalon JD1  comprenant les documents demandés dans les spécifications techniques de référence  EZ.4-20051 (cf. §8.1.2), EZ.4-20055 (cf. §8.1.2) et EZ.4-20058 (cf. §6)</v>
          </cell>
          <cell r="G940" t="str">
            <v>Rapport d’évaluation du code source du LCEC</v>
          </cell>
          <cell r="S940" t="str">
            <v>AT</v>
          </cell>
          <cell r="T940" t="str">
            <v>BT</v>
          </cell>
          <cell r="U940" t="str">
            <v>J.DOMAS</v>
          </cell>
          <cell r="AA940" t="str">
            <v>E</v>
          </cell>
          <cell r="AB940" t="str">
            <v>Logiciel</v>
          </cell>
          <cell r="AC940" t="str">
            <v>EAI</v>
          </cell>
          <cell r="AD940" t="str">
            <v>ST EZ.4-20055</v>
          </cell>
          <cell r="AE940" t="str">
            <v xml:space="preserve">
Spécification pour la réalisation des logiciels embarqués
Composants électroniques complexes
Spécification pour la réalisation des outils de maintenance de niveau 1 sur PC portable
</v>
          </cell>
          <cell r="AF940" t="str">
            <v>8.1.2.26</v>
          </cell>
          <cell r="AI940">
            <v>1</v>
          </cell>
          <cell r="AY940" t="str">
            <v>FD</v>
          </cell>
          <cell r="CH940" t="e">
            <v>#N/A</v>
          </cell>
          <cell r="CI940" t="e">
            <v>#N/A</v>
          </cell>
          <cell r="CJ940" t="e">
            <v>#N/A</v>
          </cell>
        </row>
        <row r="941">
          <cell r="B941" t="str">
            <v>Ligne_214.89_PPD</v>
          </cell>
          <cell r="C941" t="str">
            <v>214.89</v>
          </cell>
          <cell r="E941" t="str">
            <v>Documents des logiciels et documents des composants programmables non livrés au jalon JD1  comprenant les documents demandés dans les spécifications techniques de référence  EZ.4-20051 (cf. §8.1.2), EZ.4-20055 (cf. §8.1.2) et EZ.4-20058 (cf. §6)</v>
          </cell>
          <cell r="G941" t="str">
            <v>Rapport de revue de phase de codage</v>
          </cell>
          <cell r="S941" t="str">
            <v>AT</v>
          </cell>
          <cell r="T941" t="str">
            <v>BT</v>
          </cell>
          <cell r="U941" t="str">
            <v>J.DOMAS</v>
          </cell>
          <cell r="AA941" t="str">
            <v>E</v>
          </cell>
          <cell r="AB941" t="str">
            <v>Logiciel</v>
          </cell>
          <cell r="AC941" t="str">
            <v>EAI</v>
          </cell>
          <cell r="AD941" t="str">
            <v>ST EZ.4-20055</v>
          </cell>
          <cell r="AE941" t="str">
            <v xml:space="preserve">
Spécification pour la réalisation des logiciels embarqués
Composants électroniques complexes
Spécification pour la réalisation des outils de maintenance de niveau 1 sur PC portable
</v>
          </cell>
          <cell r="AF941" t="str">
            <v>8.1.2.27</v>
          </cell>
          <cell r="AI941">
            <v>1</v>
          </cell>
          <cell r="AU941" t="str">
            <v>FD</v>
          </cell>
          <cell r="CH941" t="e">
            <v>#N/A</v>
          </cell>
          <cell r="CI941" t="e">
            <v>#N/A</v>
          </cell>
          <cell r="CJ941" t="e">
            <v>#N/A</v>
          </cell>
        </row>
        <row r="942">
          <cell r="B942" t="str">
            <v>Ligne_214.90_PPD</v>
          </cell>
          <cell r="C942" t="str">
            <v>214.90</v>
          </cell>
          <cell r="E942" t="str">
            <v xml:space="preserve">Fourniture des fichiers sources des logiciels et des composants programmables et preuve de régénération à l'identique des fichiers de programmation et des fichiers exécutables </v>
          </cell>
          <cell r="G942" t="str">
            <v>Procédure de régénération à l’identique du LCEC</v>
          </cell>
          <cell r="S942" t="str">
            <v>AT</v>
          </cell>
          <cell r="T942" t="str">
            <v>BT</v>
          </cell>
          <cell r="U942" t="str">
            <v>J.DOMAS</v>
          </cell>
          <cell r="AA942" t="str">
            <v>E</v>
          </cell>
          <cell r="AB942" t="str">
            <v>Logiciel</v>
          </cell>
          <cell r="AC942" t="str">
            <v>EAI</v>
          </cell>
          <cell r="AD942" t="str">
            <v>ST EZ.4-20055</v>
          </cell>
          <cell r="AE942" t="str">
            <v xml:space="preserve">
Spécification pour la réalisation des logiciels embarqués
Composants électroniques complexes
Spécification pour la réalisation des outils de maintenance de niveau 1 sur PC portable
</v>
          </cell>
          <cell r="AF942" t="str">
            <v>8.1.2.28</v>
          </cell>
          <cell r="AI942">
            <v>1</v>
          </cell>
          <cell r="AU942" t="str">
            <v>FD</v>
          </cell>
          <cell r="CH942" t="e">
            <v>#N/A</v>
          </cell>
          <cell r="CI942" t="e">
            <v>#N/A</v>
          </cell>
          <cell r="CJ942" t="e">
            <v>#N/A</v>
          </cell>
        </row>
        <row r="943">
          <cell r="B943" t="str">
            <v>Ligne_214.91_PPD</v>
          </cell>
          <cell r="C943" t="str">
            <v>214.91</v>
          </cell>
          <cell r="E943" t="str">
            <v>Documents des logiciels et documents des composants programmables non livrés au jalon JD1  comprenant les documents demandés dans les spécifications techniques de référence  EZ.4-20051 (cf. §8.1.2), EZ.4-20055 (cf. §8.1.2) et EZ.4-20058 (cf. §6)</v>
          </cell>
          <cell r="G943" t="str">
            <v>Fichiers de contraintes, fichiers générés</v>
          </cell>
          <cell r="S943" t="str">
            <v>AT</v>
          </cell>
          <cell r="T943" t="str">
            <v>BT</v>
          </cell>
          <cell r="U943" t="str">
            <v>J.DOMAS</v>
          </cell>
          <cell r="AA943" t="str">
            <v>E</v>
          </cell>
          <cell r="AB943" t="str">
            <v>Logiciel</v>
          </cell>
          <cell r="AC943" t="str">
            <v>EAI</v>
          </cell>
          <cell r="AD943" t="str">
            <v>ST EZ.4-20055</v>
          </cell>
          <cell r="AE943" t="str">
            <v xml:space="preserve">
Spécification pour la réalisation des logiciels embarqués
Composants électroniques complexes
Spécification pour la réalisation des outils de maintenance de niveau 1 sur PC portable
</v>
          </cell>
          <cell r="AF943" t="str">
            <v>8.1.2.29</v>
          </cell>
          <cell r="AI943">
            <v>1</v>
          </cell>
          <cell r="AU943" t="str">
            <v>FD</v>
          </cell>
          <cell r="CH943" t="e">
            <v>#N/A</v>
          </cell>
          <cell r="CI943" t="e">
            <v>#N/A</v>
          </cell>
          <cell r="CJ943" t="e">
            <v>#N/A</v>
          </cell>
        </row>
        <row r="944">
          <cell r="B944" t="str">
            <v>Ligne_214.92_PPD</v>
          </cell>
          <cell r="C944" t="str">
            <v>214.92</v>
          </cell>
          <cell r="E944" t="str">
            <v>Documents des logiciels et documents des composants programmables non livrés au jalon JD1  comprenant les documents demandés dans les spécifications techniques de référence  EZ.4-20051 (cf. §8.1.2), EZ.4-20055 (cf. §8.1.2) et EZ.4-20058 (cf. §6)</v>
          </cell>
          <cell r="G944" t="str">
            <v>RTL : Rapport des tests du LCEC</v>
          </cell>
          <cell r="S944" t="str">
            <v>AT</v>
          </cell>
          <cell r="T944" t="str">
            <v>BT</v>
          </cell>
          <cell r="U944" t="str">
            <v>J.DOMAS</v>
          </cell>
          <cell r="AA944" t="str">
            <v>E</v>
          </cell>
          <cell r="AB944" t="str">
            <v>Logiciel</v>
          </cell>
          <cell r="AC944" t="str">
            <v>EAI</v>
          </cell>
          <cell r="AD944" t="str">
            <v>ST EZ.4-20055</v>
          </cell>
          <cell r="AE944" t="str">
            <v xml:space="preserve">
Spécification pour la réalisation des logiciels embarqués
Composants électroniques complexes
Spécification pour la réalisation des outils de maintenance de niveau 1 sur PC portable
</v>
          </cell>
          <cell r="AF944" t="str">
            <v>8.1.2.30</v>
          </cell>
          <cell r="AI944">
            <v>1</v>
          </cell>
          <cell r="AU944" t="str">
            <v>FD</v>
          </cell>
          <cell r="CH944" t="e">
            <v>#N/A</v>
          </cell>
          <cell r="CI944" t="e">
            <v>#N/A</v>
          </cell>
          <cell r="CJ944" t="e">
            <v>#N/A</v>
          </cell>
        </row>
        <row r="945">
          <cell r="B945" t="str">
            <v>Ligne_214.93_PPD</v>
          </cell>
          <cell r="C945" t="str">
            <v>214.93</v>
          </cell>
          <cell r="E945" t="str">
            <v>Documents des logiciels et documents des composants programmables non livrés au jalon JD1  comprenant les documents demandés dans les spécifications techniques de référence  EZ.4-20051 (cf. §8.1.2), EZ.4-20055 (cf. §8.1.2) et EZ.4-20058 (cf. §6)</v>
          </cell>
          <cell r="G945" t="str">
            <v>RVL : Rapport de Validation du LCEC</v>
          </cell>
          <cell r="S945" t="str">
            <v>AT</v>
          </cell>
          <cell r="T945" t="str">
            <v>BT</v>
          </cell>
          <cell r="U945" t="str">
            <v>J.DOMAS</v>
          </cell>
          <cell r="AA945" t="str">
            <v>E</v>
          </cell>
          <cell r="AB945" t="str">
            <v>Logiciel</v>
          </cell>
          <cell r="AC945" t="str">
            <v>EAI</v>
          </cell>
          <cell r="AD945" t="str">
            <v>ST EZ.4-20055</v>
          </cell>
          <cell r="AE945" t="str">
            <v xml:space="preserve">
Spécification pour la réalisation des logiciels embarqués
Composants électroniques complexes
Spécification pour la réalisation des outils de maintenance de niveau 1 sur PC portable
</v>
          </cell>
          <cell r="AF945" t="str">
            <v>8.1.2.31</v>
          </cell>
          <cell r="AI945">
            <v>1</v>
          </cell>
          <cell r="AW945" t="str">
            <v>FD</v>
          </cell>
          <cell r="CH945" t="e">
            <v>#N/A</v>
          </cell>
          <cell r="CI945" t="e">
            <v>#N/A</v>
          </cell>
          <cell r="CJ945" t="e">
            <v>#N/A</v>
          </cell>
        </row>
        <row r="946">
          <cell r="B946" t="str">
            <v>Ligne_214.94_PPD</v>
          </cell>
          <cell r="C946" t="str">
            <v>214.94</v>
          </cell>
          <cell r="E946" t="str">
            <v>Documents des logiciels et documents des composants programmables non livrés au jalon JD1  comprenant les documents demandés dans les spécifications techniques de référence  EZ.4-20051 (cf. §8.1.2), EZ.4-20055 (cf. §8.1.2) et EZ.4-20058 (cf. §6)</v>
          </cell>
          <cell r="G946" t="str">
            <v>Rapport d’évaluation de la validation du LCEC</v>
          </cell>
          <cell r="S946" t="str">
            <v>AT</v>
          </cell>
          <cell r="T946" t="str">
            <v>BT</v>
          </cell>
          <cell r="U946" t="str">
            <v>J.DOMAS</v>
          </cell>
          <cell r="AA946" t="str">
            <v>E</v>
          </cell>
          <cell r="AB946" t="str">
            <v>Logiciel</v>
          </cell>
          <cell r="AC946" t="str">
            <v>EAI</v>
          </cell>
          <cell r="AD946" t="str">
            <v>ST EZ.4-20055</v>
          </cell>
          <cell r="AE946" t="str">
            <v xml:space="preserve">
Spécification pour la réalisation des logiciels embarqués
Composants électroniques complexes
Spécification pour la réalisation des outils de maintenance de niveau 1 sur PC portable
</v>
          </cell>
          <cell r="AF946" t="str">
            <v>8.1.2.32</v>
          </cell>
          <cell r="AI946">
            <v>1</v>
          </cell>
          <cell r="AY946" t="str">
            <v>FD</v>
          </cell>
          <cell r="CH946" t="e">
            <v>#N/A</v>
          </cell>
          <cell r="CI946" t="e">
            <v>#N/A</v>
          </cell>
          <cell r="CJ946" t="e">
            <v>#N/A</v>
          </cell>
        </row>
        <row r="947">
          <cell r="B947" t="str">
            <v>Ligne_214.95_PPD</v>
          </cell>
          <cell r="C947" t="str">
            <v>214.95</v>
          </cell>
          <cell r="E947" t="str">
            <v>Documents des logiciels et documents des composants programmables non livrés au jalon JD1  comprenant les documents demandés dans les spécifications techniques de référence  EZ.4-20051 (cf. §8.1.2), EZ.4-20055 (cf. §8.1.2) et EZ.4-20058 (cf. §6)</v>
          </cell>
          <cell r="G947" t="str">
            <v>BULTEC : Bulletin technique</v>
          </cell>
          <cell r="S947" t="str">
            <v>AT</v>
          </cell>
          <cell r="T947" t="str">
            <v>BT</v>
          </cell>
          <cell r="U947" t="str">
            <v>J.DOMAS</v>
          </cell>
          <cell r="AA947" t="str">
            <v>E</v>
          </cell>
          <cell r="AB947" t="str">
            <v>Logiciel</v>
          </cell>
          <cell r="AC947" t="str">
            <v>EAI</v>
          </cell>
          <cell r="AD947" t="str">
            <v>ST EZ.4-20055</v>
          </cell>
          <cell r="AE947" t="str">
            <v xml:space="preserve">
Spécification pour la réalisation des logiciels embarqués
Composants électroniques complexes
Spécification pour la réalisation des outils de maintenance de niveau 1 sur PC portable
</v>
          </cell>
          <cell r="AF947" t="str">
            <v>8.1.2.33</v>
          </cell>
          <cell r="AI947">
            <v>1</v>
          </cell>
          <cell r="AW947" t="str">
            <v>FD</v>
          </cell>
          <cell r="CH947" t="e">
            <v>#N/A</v>
          </cell>
          <cell r="CI947" t="e">
            <v>#N/A</v>
          </cell>
          <cell r="CJ947" t="e">
            <v>#N/A</v>
          </cell>
        </row>
        <row r="948">
          <cell r="B948" t="str">
            <v>Ligne_214.96_PPD</v>
          </cell>
          <cell r="C948" t="str">
            <v>214.96</v>
          </cell>
          <cell r="E948" t="str">
            <v>Documents des logiciels et documents des composants programmables non livrés au jalon JD1  comprenant les documents demandés dans les spécifications techniques de référence  EZ.4-20051 (cf. §8.1.2), EZ.4-20055 (cf. §8.1.2) et EZ.4-20058 (cf. §6)</v>
          </cell>
          <cell r="G948" t="str">
            <v>Rapport de revue de phase de validation</v>
          </cell>
          <cell r="S948" t="str">
            <v>AT</v>
          </cell>
          <cell r="T948" t="str">
            <v>BT</v>
          </cell>
          <cell r="U948" t="str">
            <v>J.DOMAS</v>
          </cell>
          <cell r="AA948" t="str">
            <v>E</v>
          </cell>
          <cell r="AB948" t="str">
            <v>Logiciel</v>
          </cell>
          <cell r="AC948" t="str">
            <v>EAI</v>
          </cell>
          <cell r="AD948" t="str">
            <v>ST EZ.4-20055</v>
          </cell>
          <cell r="AE948" t="str">
            <v xml:space="preserve">
Spécification pour la réalisation des logiciels embarqués
Composants électroniques complexes
Spécification pour la réalisation des outils de maintenance de niveau 1 sur PC portable
</v>
          </cell>
          <cell r="AF948" t="str">
            <v>8.1.2.34</v>
          </cell>
          <cell r="AI948">
            <v>1</v>
          </cell>
          <cell r="AW948" t="str">
            <v>FD</v>
          </cell>
          <cell r="CH948" t="e">
            <v>#N/A</v>
          </cell>
          <cell r="CI948" t="e">
            <v>#N/A</v>
          </cell>
          <cell r="CJ948" t="e">
            <v>#N/A</v>
          </cell>
        </row>
        <row r="949">
          <cell r="B949" t="str">
            <v>Ligne_214.97_PPD</v>
          </cell>
          <cell r="C949" t="str">
            <v>214.97</v>
          </cell>
          <cell r="E949" t="str">
            <v>Documents des logiciels et documents des composants programmables non livrés au jalon JD1  comprenant les documents demandés dans les spécifications techniques de référence  EZ.4-20051 (cf. §8.1.2), EZ.4-20055 (cf. §8.1.2) et EZ.4-20058 (cf. §6)</v>
          </cell>
          <cell r="G949" t="str">
            <v>Rapport d’évaluation finale du LCEC</v>
          </cell>
          <cell r="S949" t="str">
            <v>AT</v>
          </cell>
          <cell r="T949" t="str">
            <v>BT</v>
          </cell>
          <cell r="U949" t="str">
            <v>J.DOMAS</v>
          </cell>
          <cell r="AA949" t="str">
            <v>E</v>
          </cell>
          <cell r="AB949" t="str">
            <v>Logiciel</v>
          </cell>
          <cell r="AC949" t="str">
            <v>EAI</v>
          </cell>
          <cell r="AD949" t="str">
            <v>ST EZ.4-20055</v>
          </cell>
          <cell r="AE949" t="str">
            <v xml:space="preserve">
Spécification pour la réalisation des logiciels embarqués
Composants électroniques complexes
Spécification pour la réalisation des outils de maintenance de niveau 1 sur PC portable
</v>
          </cell>
          <cell r="AF949" t="str">
            <v>8.1.2.35</v>
          </cell>
          <cell r="AI949">
            <v>1</v>
          </cell>
          <cell r="AW949" t="str">
            <v>FD</v>
          </cell>
          <cell r="CH949" t="e">
            <v>#N/A</v>
          </cell>
          <cell r="CI949" t="e">
            <v>#N/A</v>
          </cell>
          <cell r="CJ949" t="e">
            <v>#N/A</v>
          </cell>
        </row>
        <row r="950">
          <cell r="B950" t="str">
            <v>Ligne_214.98_PPD</v>
          </cell>
          <cell r="C950" t="str">
            <v>214.98</v>
          </cell>
          <cell r="E950" t="str">
            <v>Documents des logiciels et documents des composants programmables non livrés au jalon JD1  comprenant les documents demandés dans les spécifications techniques de référence  EZ.4-20051 (cf. §8.1.2), EZ.4-20055 (cf. §8.1.2) et EZ.4-20058 (cf. §6)</v>
          </cell>
          <cell r="G950" t="str">
            <v>Bordereau de livraison</v>
          </cell>
          <cell r="S950" t="str">
            <v>AT</v>
          </cell>
          <cell r="T950" t="str">
            <v>BT</v>
          </cell>
          <cell r="U950" t="str">
            <v>J.DOMAS</v>
          </cell>
          <cell r="AA950" t="str">
            <v>E</v>
          </cell>
          <cell r="AB950" t="str">
            <v>Logiciel</v>
          </cell>
          <cell r="AC950" t="str">
            <v>EAI</v>
          </cell>
          <cell r="AD950" t="str">
            <v>ST EZ.4-20055</v>
          </cell>
          <cell r="AE950" t="str">
            <v xml:space="preserve">
Spécification pour la réalisation des logiciels embarqués
Composants électroniques complexes
Spécification pour la réalisation des outils de maintenance de niveau 1 sur PC portable
</v>
          </cell>
          <cell r="AF950" t="str">
            <v>8.1.2.36</v>
          </cell>
          <cell r="AI950">
            <v>1</v>
          </cell>
          <cell r="AW950" t="str">
            <v>FD</v>
          </cell>
          <cell r="CH950" t="e">
            <v>#N/A</v>
          </cell>
          <cell r="CI950" t="e">
            <v>#N/A</v>
          </cell>
          <cell r="CJ950" t="e">
            <v>#N/A</v>
          </cell>
        </row>
        <row r="951">
          <cell r="B951" t="str">
            <v>Ligne_214.99_PPD</v>
          </cell>
          <cell r="C951" t="str">
            <v>214.99</v>
          </cell>
          <cell r="E951" t="str">
            <v>Documents des logiciels et documents des composants programmables non livrés au jalon JD1  comprenant les documents demandés dans les spécifications techniques de référence  EZ.4-20051 (cf. §8.1.2), EZ.4-20055 (cf. §8.1.2) et EZ.4-20058 (cf. §6)</v>
          </cell>
          <cell r="G951" t="str">
            <v>Procès verbal de qualification du LCEC</v>
          </cell>
          <cell r="S951" t="str">
            <v>AT</v>
          </cell>
          <cell r="T951" t="str">
            <v>BT</v>
          </cell>
          <cell r="U951" t="str">
            <v>J.DOMAS</v>
          </cell>
          <cell r="AA951" t="str">
            <v>E</v>
          </cell>
          <cell r="AB951" t="str">
            <v>Logiciel</v>
          </cell>
          <cell r="AC951" t="str">
            <v>EAI</v>
          </cell>
          <cell r="AD951" t="str">
            <v>ST EZ.4-20055</v>
          </cell>
          <cell r="AE951" t="str">
            <v xml:space="preserve">
Spécification pour la réalisation des logiciels embarqués
Composants électroniques complexes
Spécification pour la réalisation des outils de maintenance de niveau 1 sur PC portable
</v>
          </cell>
          <cell r="AF951" t="str">
            <v>8.1.2.37</v>
          </cell>
          <cell r="AI951">
            <v>1</v>
          </cell>
          <cell r="AW951" t="str">
            <v>FD</v>
          </cell>
          <cell r="CH951" t="e">
            <v>#N/A</v>
          </cell>
          <cell r="CI951" t="e">
            <v>#N/A</v>
          </cell>
          <cell r="CJ951" t="e">
            <v>#N/A</v>
          </cell>
        </row>
        <row r="952">
          <cell r="B952" t="str">
            <v>Ligne_214.100_PPD</v>
          </cell>
          <cell r="C952" t="str">
            <v>214.100</v>
          </cell>
          <cell r="E952" t="str">
            <v>Documents des logiciels et documents des composants programmables non livrés au jalon JD1  comprenant les documents demandés dans les spécifications techniques de référence  EZ.4-20051 (cf. §8.1.2), EZ.4-20055 (cf. §8.1.2) et EZ.4-20058 (cf. §6)</v>
          </cell>
          <cell r="G952" t="str">
            <v>Fiches d’anomalies</v>
          </cell>
          <cell r="S952" t="str">
            <v>AT</v>
          </cell>
          <cell r="T952" t="str">
            <v>BT</v>
          </cell>
          <cell r="U952" t="str">
            <v>J.DOMAS</v>
          </cell>
          <cell r="AA952" t="str">
            <v>E</v>
          </cell>
          <cell r="AB952" t="str">
            <v>Logiciel</v>
          </cell>
          <cell r="AC952" t="str">
            <v>EAI</v>
          </cell>
          <cell r="AD952" t="str">
            <v>ST EZ.4-20055</v>
          </cell>
          <cell r="AE952" t="str">
            <v xml:space="preserve">
Spécification pour la réalisation des logiciels embarqués
Composants électroniques complexes
Spécification pour la réalisation des outils de maintenance de niveau 1 sur PC portable
</v>
          </cell>
          <cell r="AF952" t="str">
            <v>8.1.2.38</v>
          </cell>
          <cell r="AI952">
            <v>1</v>
          </cell>
          <cell r="AW952" t="str">
            <v>FD</v>
          </cell>
          <cell r="CH952" t="e">
            <v>#N/A</v>
          </cell>
          <cell r="CI952" t="e">
            <v>#N/A</v>
          </cell>
          <cell r="CJ952" t="e">
            <v>#N/A</v>
          </cell>
        </row>
        <row r="953">
          <cell r="B953" t="str">
            <v>Ligne_214.101_PPD</v>
          </cell>
          <cell r="C953" t="str">
            <v>214.101</v>
          </cell>
          <cell r="E953" t="str">
            <v>Documents des logiciels et documents des composants programmables non livrés au jalon JD1  comprenant les documents demandés dans les spécifications techniques de référence  EZ.4-20051 (cf. §8.1.2), EZ.4-20055 (cf. §8.1.2) et EZ.4-20058 (cf. §6)</v>
          </cell>
          <cell r="G953" t="str">
            <v>Demande de modification</v>
          </cell>
          <cell r="S953" t="str">
            <v>AT</v>
          </cell>
          <cell r="T953" t="str">
            <v>BT</v>
          </cell>
          <cell r="U953" t="str">
            <v>J.DOMAS</v>
          </cell>
          <cell r="AA953" t="str">
            <v>E</v>
          </cell>
          <cell r="AB953" t="str">
            <v>Logiciel</v>
          </cell>
          <cell r="AC953" t="str">
            <v>EAI</v>
          </cell>
          <cell r="AD953" t="str">
            <v>ST EZ.4-20055</v>
          </cell>
          <cell r="AE953" t="str">
            <v xml:space="preserve">
Spécification pour la réalisation des logiciels embarqués
Composants électroniques complexes
Spécification pour la réalisation des outils de maintenance de niveau 1 sur PC portable
</v>
          </cell>
          <cell r="AF953" t="str">
            <v>8.1.2.39</v>
          </cell>
          <cell r="AI953">
            <v>1</v>
          </cell>
          <cell r="AW953" t="str">
            <v>FD</v>
          </cell>
          <cell r="CH953" t="e">
            <v>#N/A</v>
          </cell>
          <cell r="CI953" t="e">
            <v>#N/A</v>
          </cell>
          <cell r="CJ953" t="e">
            <v>#N/A</v>
          </cell>
        </row>
        <row r="954">
          <cell r="B954" t="str">
            <v>Ligne_214.102_PPD</v>
          </cell>
          <cell r="C954" t="str">
            <v>214.102</v>
          </cell>
          <cell r="E954" t="str">
            <v>Documents des logiciels et documents des composants programmables non livrés au jalon JD1  comprenant les documents demandés dans les spécifications techniques de référence  EZ.4-20051 (cf. §8.1.2), EZ.4-20055 (cf. §8.1.2) et EZ.4-20058 (cf. §6)</v>
          </cell>
          <cell r="G954" t="str">
            <v>Fiche de modification</v>
          </cell>
          <cell r="S954" t="str">
            <v>AT</v>
          </cell>
          <cell r="T954" t="str">
            <v>BT</v>
          </cell>
          <cell r="U954" t="str">
            <v>J.DOMAS</v>
          </cell>
          <cell r="AA954" t="str">
            <v>E</v>
          </cell>
          <cell r="AB954" t="str">
            <v>Logiciel</v>
          </cell>
          <cell r="AC954" t="str">
            <v>EAI</v>
          </cell>
          <cell r="AD954" t="str">
            <v>ST EZ.4-20055</v>
          </cell>
          <cell r="AE954" t="str">
            <v xml:space="preserve">
Spécification pour la réalisation des logiciels embarqués
Composants électroniques complexes
Spécification pour la réalisation des outils de maintenance de niveau 1 sur PC portable
</v>
          </cell>
          <cell r="AF954" t="str">
            <v>8.1.2.40</v>
          </cell>
          <cell r="AI954">
            <v>1</v>
          </cell>
          <cell r="AW954" t="str">
            <v>FD</v>
          </cell>
          <cell r="CH954" t="e">
            <v>#N/A</v>
          </cell>
          <cell r="CI954" t="e">
            <v>#N/A</v>
          </cell>
          <cell r="CJ954" t="e">
            <v>#N/A</v>
          </cell>
        </row>
        <row r="955">
          <cell r="B955" t="str">
            <v>Ligne_214.103_PPD</v>
          </cell>
          <cell r="C955" t="str">
            <v>214.103</v>
          </cell>
          <cell r="E955" t="str">
            <v>Documents des logiciels et documents des composants programmables non livrés au jalon JD1  comprenant les documents demandés dans les spécifications techniques de référence  EZ.4-20051 (cf. §8.1.2), EZ.4-20055 (cf. §8.1.2) et EZ.4-20058 (cf. §6)</v>
          </cell>
          <cell r="G955" t="str">
            <v>Ordre de modification</v>
          </cell>
          <cell r="S955" t="str">
            <v>AT</v>
          </cell>
          <cell r="T955" t="str">
            <v>BT</v>
          </cell>
          <cell r="U955" t="str">
            <v>J.DOMAS</v>
          </cell>
          <cell r="AA955" t="str">
            <v>E</v>
          </cell>
          <cell r="AB955" t="str">
            <v>Logiciel</v>
          </cell>
          <cell r="AC955" t="str">
            <v>EAI</v>
          </cell>
          <cell r="AD955" t="str">
            <v>ST EZ.4-20055</v>
          </cell>
          <cell r="AE955" t="str">
            <v xml:space="preserve">
Spécification pour la réalisation des logiciels embarqués
Composants électroniques complexes
Spécification pour la réalisation des outils de maintenance de niveau 1 sur PC portable
</v>
          </cell>
          <cell r="AF955" t="str">
            <v>8.1.2.41</v>
          </cell>
          <cell r="AI955">
            <v>1</v>
          </cell>
          <cell r="AW955" t="str">
            <v>FD</v>
          </cell>
          <cell r="CH955" t="e">
            <v>#N/A</v>
          </cell>
          <cell r="CI955" t="e">
            <v>#N/A</v>
          </cell>
          <cell r="CJ955" t="e">
            <v>#N/A</v>
          </cell>
        </row>
        <row r="956">
          <cell r="B956" t="str">
            <v>Ligne_214.104_PPD</v>
          </cell>
          <cell r="C956" t="str">
            <v>214.104</v>
          </cell>
          <cell r="E956" t="str">
            <v>Documents des logiciels et documents des composants programmables non livrés au jalon JD1  comprenant les documents demandés dans les spécifications techniques de référence  EZ.4-20051 (cf. §8.1.2), EZ.4-20055 (cf. §8.1.2) et EZ.4-20058 (cf. §6)</v>
          </cell>
          <cell r="G956" t="str">
            <v>Enregistrements de la Maintenance du LCEC</v>
          </cell>
          <cell r="S956" t="str">
            <v>AT</v>
          </cell>
          <cell r="T956" t="str">
            <v>BT</v>
          </cell>
          <cell r="U956" t="str">
            <v>J.DOMAS</v>
          </cell>
          <cell r="AA956" t="str">
            <v>E</v>
          </cell>
          <cell r="AB956" t="str">
            <v>Logiciel</v>
          </cell>
          <cell r="AC956" t="str">
            <v>EAI</v>
          </cell>
          <cell r="AD956" t="str">
            <v>ST EZ.4-20055</v>
          </cell>
          <cell r="AE956" t="str">
            <v xml:space="preserve">
Spécification pour la réalisation des logiciels embarqués
Composants électroniques complexes
Spécification pour la réalisation des outils de maintenance de niveau 1 sur PC portable
</v>
          </cell>
          <cell r="AF956" t="str">
            <v>8.1.2.42</v>
          </cell>
          <cell r="AI956">
            <v>1</v>
          </cell>
          <cell r="AW956" t="str">
            <v>FD</v>
          </cell>
          <cell r="CH956" t="e">
            <v>#N/A</v>
          </cell>
          <cell r="CI956" t="e">
            <v>#N/A</v>
          </cell>
          <cell r="CJ956" t="e">
            <v>#N/A</v>
          </cell>
        </row>
        <row r="957">
          <cell r="B957" t="str">
            <v>Ligne_214.105_PPD</v>
          </cell>
          <cell r="C957" t="str">
            <v>214.105</v>
          </cell>
          <cell r="E957" t="str">
            <v>Documents des logiciels et documents des composants programmables non livrés au jalon JD1  comprenant les documents demandés dans les spécifications techniques de référence  EZ.4-20051 (cf. §8.1.2), EZ.4-20055 (cf. §8.1.2) et EZ.4-20058 (cf. §6)</v>
          </cell>
          <cell r="G957" t="str">
            <v>Procédure de chargement du LCEC</v>
          </cell>
          <cell r="S957" t="str">
            <v>AT</v>
          </cell>
          <cell r="T957" t="str">
            <v>BT</v>
          </cell>
          <cell r="U957" t="str">
            <v>J.DOMAS</v>
          </cell>
          <cell r="AA957" t="str">
            <v>E</v>
          </cell>
          <cell r="AB957" t="str">
            <v>Logiciel</v>
          </cell>
          <cell r="AC957" t="str">
            <v>EAI</v>
          </cell>
          <cell r="AD957" t="str">
            <v>ST EZ.4-20055</v>
          </cell>
          <cell r="AE957" t="str">
            <v xml:space="preserve">
Spécification pour la réalisation des logiciels embarqués
Composants électroniques complexes
Spécification pour la réalisation des outils de maintenance de niveau 1 sur PC portable
</v>
          </cell>
          <cell r="AF957" t="str">
            <v>8.1.2.43</v>
          </cell>
          <cell r="AI957">
            <v>1</v>
          </cell>
          <cell r="AU957" t="str">
            <v>FD</v>
          </cell>
          <cell r="CH957" t="e">
            <v>#N/A</v>
          </cell>
          <cell r="CI957" t="e">
            <v>#N/A</v>
          </cell>
          <cell r="CJ957" t="e">
            <v>#N/A</v>
          </cell>
        </row>
        <row r="958">
          <cell r="B958" t="str">
            <v>Ligne_214.106_PPD</v>
          </cell>
          <cell r="C958" t="str">
            <v>214.106</v>
          </cell>
          <cell r="E958"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58" t="str">
            <v>PAQL : Plan d’Assurance Qualité du Logiciel de maintenance</v>
          </cell>
          <cell r="S958" t="str">
            <v>AT</v>
          </cell>
          <cell r="T958" t="str">
            <v>BT</v>
          </cell>
          <cell r="U958" t="str">
            <v>J.DOMAS</v>
          </cell>
          <cell r="AA958" t="str">
            <v>E</v>
          </cell>
          <cell r="AB958" t="str">
            <v>Logiciel</v>
          </cell>
          <cell r="AC958" t="str">
            <v>EAI</v>
          </cell>
          <cell r="AD958" t="str">
            <v>ST EZ.4-20058</v>
          </cell>
          <cell r="AE958" t="str">
            <v xml:space="preserve">Spécification pour la réalisation des outils de maintenance de niveau 1 sur PC portable
</v>
          </cell>
          <cell r="AF958" t="str">
            <v>8.1.2.43</v>
          </cell>
          <cell r="AI958">
            <v>1</v>
          </cell>
          <cell r="CH958" t="e">
            <v>#N/A</v>
          </cell>
          <cell r="CI958" t="e">
            <v>#N/A</v>
          </cell>
          <cell r="CJ958" t="e">
            <v>#N/A</v>
          </cell>
        </row>
        <row r="959">
          <cell r="B959" t="str">
            <v>Ligne_214.107_PPD</v>
          </cell>
          <cell r="C959" t="str">
            <v>214.107</v>
          </cell>
          <cell r="E959"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59" t="str">
            <v>DSL : Spécification du Logiciel de maintenance</v>
          </cell>
          <cell r="S959" t="str">
            <v>AT</v>
          </cell>
          <cell r="T959" t="str">
            <v>BT</v>
          </cell>
          <cell r="U959" t="str">
            <v>J.DOMAS</v>
          </cell>
          <cell r="AA959" t="str">
            <v>E</v>
          </cell>
          <cell r="AB959" t="str">
            <v>Logiciel</v>
          </cell>
          <cell r="AC959" t="str">
            <v>EAI</v>
          </cell>
          <cell r="AD959" t="str">
            <v>ST EZ.4-20058</v>
          </cell>
          <cell r="AE959" t="str">
            <v xml:space="preserve">Spécification pour la réalisation des outils de maintenance de niveau 1 sur PC portable
</v>
          </cell>
          <cell r="AI959">
            <v>1</v>
          </cell>
          <cell r="CH959" t="e">
            <v>#N/A</v>
          </cell>
          <cell r="CI959" t="e">
            <v>#N/A</v>
          </cell>
          <cell r="CJ959" t="e">
            <v>#N/A</v>
          </cell>
        </row>
        <row r="960">
          <cell r="B960" t="str">
            <v>Ligne_214.108_PPD</v>
          </cell>
          <cell r="C960" t="str">
            <v>214.108</v>
          </cell>
          <cell r="E960"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60" t="str">
            <v>DCL : Document de Conception du Logiciel de maintenance</v>
          </cell>
          <cell r="S960" t="str">
            <v>AT</v>
          </cell>
          <cell r="T960" t="str">
            <v>BT</v>
          </cell>
          <cell r="U960" t="str">
            <v>J.DOMAS</v>
          </cell>
          <cell r="AA960" t="str">
            <v>E</v>
          </cell>
          <cell r="AB960" t="str">
            <v>Logiciel</v>
          </cell>
          <cell r="AC960" t="str">
            <v>EAI</v>
          </cell>
          <cell r="AD960" t="str">
            <v>ST EZ.4-20058</v>
          </cell>
          <cell r="AE960" t="str">
            <v xml:space="preserve">Spécification pour la réalisation des outils de maintenance de niveau 1 sur PC portable
</v>
          </cell>
          <cell r="AI960">
            <v>1</v>
          </cell>
          <cell r="CH960" t="e">
            <v>#N/A</v>
          </cell>
          <cell r="CI960" t="e">
            <v>#N/A</v>
          </cell>
          <cell r="CJ960" t="e">
            <v>#N/A</v>
          </cell>
        </row>
        <row r="961">
          <cell r="B961" t="str">
            <v>Ligne_214.109_PPD</v>
          </cell>
          <cell r="C961" t="str">
            <v>214.109</v>
          </cell>
          <cell r="E961"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61" t="str">
            <v>Code source logiciel de maintenance</v>
          </cell>
          <cell r="S961" t="str">
            <v>AT</v>
          </cell>
          <cell r="T961" t="str">
            <v>BT</v>
          </cell>
          <cell r="U961" t="str">
            <v>J.DOMAS</v>
          </cell>
          <cell r="AA961" t="str">
            <v>E</v>
          </cell>
          <cell r="AB961" t="str">
            <v>Logiciel</v>
          </cell>
          <cell r="AC961" t="str">
            <v>EAI</v>
          </cell>
          <cell r="AD961" t="str">
            <v>ST EZ.4-20058</v>
          </cell>
          <cell r="AE961" t="str">
            <v xml:space="preserve">Spécification pour la réalisation des outils de maintenance de niveau 1 sur PC portable
</v>
          </cell>
          <cell r="AI961">
            <v>1</v>
          </cell>
          <cell r="CH961" t="e">
            <v>#N/A</v>
          </cell>
          <cell r="CI961" t="e">
            <v>#N/A</v>
          </cell>
          <cell r="CJ961" t="e">
            <v>#N/A</v>
          </cell>
        </row>
        <row r="962">
          <cell r="B962" t="str">
            <v>Ligne_214.110_PPD</v>
          </cell>
          <cell r="C962" t="str">
            <v>214.110</v>
          </cell>
          <cell r="E962"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62" t="str">
            <v>Procédure de régénération du Logiciel de maintenance</v>
          </cell>
          <cell r="S962" t="str">
            <v>AT</v>
          </cell>
          <cell r="T962" t="str">
            <v>BT</v>
          </cell>
          <cell r="U962" t="str">
            <v>J.DOMAS</v>
          </cell>
          <cell r="AA962" t="str">
            <v>E</v>
          </cell>
          <cell r="AB962" t="str">
            <v>Logiciel</v>
          </cell>
          <cell r="AC962" t="str">
            <v>EAI</v>
          </cell>
          <cell r="AD962" t="str">
            <v>ST EZ.4-20058</v>
          </cell>
          <cell r="AE962" t="str">
            <v xml:space="preserve">Spécification pour la réalisation des outils de maintenance de niveau 1 sur PC portable
</v>
          </cell>
          <cell r="AI962">
            <v>1</v>
          </cell>
          <cell r="CH962" t="e">
            <v>#N/A</v>
          </cell>
          <cell r="CI962" t="e">
            <v>#N/A</v>
          </cell>
          <cell r="CJ962" t="e">
            <v>#N/A</v>
          </cell>
        </row>
        <row r="963">
          <cell r="B963" t="str">
            <v>Ligne_214.111_PPD</v>
          </cell>
          <cell r="C963" t="str">
            <v>214.111</v>
          </cell>
          <cell r="E963"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63" t="str">
            <v>DTVL : Document de Test et de Validation du Logiciel de maintenance</v>
          </cell>
          <cell r="S963" t="str">
            <v>AT</v>
          </cell>
          <cell r="T963" t="str">
            <v>BT</v>
          </cell>
          <cell r="U963" t="str">
            <v>J.DOMAS</v>
          </cell>
          <cell r="AA963" t="str">
            <v>E</v>
          </cell>
          <cell r="AB963" t="str">
            <v>Logiciel</v>
          </cell>
          <cell r="AC963" t="str">
            <v>EAI</v>
          </cell>
          <cell r="AD963" t="str">
            <v>ST EZ.4-20058</v>
          </cell>
          <cell r="AE963" t="str">
            <v xml:space="preserve">Spécification pour la réalisation des outils de maintenance de niveau 1 sur PC portable
</v>
          </cell>
          <cell r="AI963">
            <v>1</v>
          </cell>
          <cell r="CH963" t="e">
            <v>#N/A</v>
          </cell>
          <cell r="CI963" t="e">
            <v>#N/A</v>
          </cell>
          <cell r="CJ963" t="e">
            <v>#N/A</v>
          </cell>
        </row>
        <row r="964">
          <cell r="B964" t="str">
            <v>Ligne_214.112_PPD</v>
          </cell>
          <cell r="C964" t="str">
            <v>214.112</v>
          </cell>
          <cell r="E964"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64" t="str">
            <v>MUL Manuel d’Utilisation du logiciel de maintenance</v>
          </cell>
          <cell r="S964" t="str">
            <v>AT</v>
          </cell>
          <cell r="T964" t="str">
            <v>BT</v>
          </cell>
          <cell r="U964" t="str">
            <v>J.DOMAS</v>
          </cell>
          <cell r="AA964" t="str">
            <v>E</v>
          </cell>
          <cell r="AB964" t="str">
            <v>Logiciel</v>
          </cell>
          <cell r="AC964" t="str">
            <v>EAI</v>
          </cell>
          <cell r="AD964" t="str">
            <v>ST EZ.4-20058</v>
          </cell>
          <cell r="AE964" t="str">
            <v xml:space="preserve">Spécification pour la réalisation des outils de maintenance de niveau 1 sur PC portable
</v>
          </cell>
          <cell r="AI964">
            <v>1</v>
          </cell>
          <cell r="CH964" t="e">
            <v>#N/A</v>
          </cell>
          <cell r="CI964" t="e">
            <v>#N/A</v>
          </cell>
          <cell r="CJ964" t="e">
            <v>#N/A</v>
          </cell>
        </row>
        <row r="965">
          <cell r="B965" t="str">
            <v>Ligne_214.113_PPD</v>
          </cell>
          <cell r="C965" t="str">
            <v>214.113</v>
          </cell>
          <cell r="E965"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65" t="str">
            <v>Manuel d'administration du logiciel de maintenance</v>
          </cell>
          <cell r="S965" t="str">
            <v>AT</v>
          </cell>
          <cell r="T965" t="str">
            <v>BT</v>
          </cell>
          <cell r="U965" t="str">
            <v>J.DOMAS</v>
          </cell>
          <cell r="AA965" t="str">
            <v>E</v>
          </cell>
          <cell r="AB965" t="str">
            <v>Logiciel</v>
          </cell>
          <cell r="AC965" t="str">
            <v>EAI</v>
          </cell>
          <cell r="AD965" t="str">
            <v>ST EZ.4-20058</v>
          </cell>
          <cell r="AE965" t="str">
            <v xml:space="preserve">Spécification pour la réalisation des outils de maintenance de niveau 1 sur PC portable
</v>
          </cell>
          <cell r="AI965">
            <v>1</v>
          </cell>
          <cell r="CH965" t="e">
            <v>#N/A</v>
          </cell>
          <cell r="CI965" t="e">
            <v>#N/A</v>
          </cell>
          <cell r="CJ965" t="e">
            <v>#N/A</v>
          </cell>
        </row>
        <row r="966">
          <cell r="B966" t="str">
            <v>Ligne_214.114_PPD</v>
          </cell>
          <cell r="C966" t="str">
            <v>214.114</v>
          </cell>
          <cell r="E966"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66" t="str">
            <v>BulTec du logiciel de maintenance</v>
          </cell>
          <cell r="S966" t="str">
            <v>AT</v>
          </cell>
          <cell r="T966" t="str">
            <v>BT</v>
          </cell>
          <cell r="U966" t="str">
            <v>J.DOMAS</v>
          </cell>
          <cell r="AA966" t="str">
            <v>E</v>
          </cell>
          <cell r="AB966" t="str">
            <v>Logiciel</v>
          </cell>
          <cell r="AC966" t="str">
            <v>EAI</v>
          </cell>
          <cell r="AD966" t="str">
            <v>ST EZ.4-20058</v>
          </cell>
          <cell r="AE966" t="str">
            <v xml:space="preserve">Spécification pour la réalisation des outils de maintenance de niveau 1 sur PC portable
</v>
          </cell>
          <cell r="AI966">
            <v>1</v>
          </cell>
          <cell r="CH966" t="e">
            <v>#N/A</v>
          </cell>
          <cell r="CI966" t="e">
            <v>#N/A</v>
          </cell>
          <cell r="CJ966" t="e">
            <v>#N/A</v>
          </cell>
        </row>
        <row r="967">
          <cell r="B967" t="str">
            <v>Ligne_214.115_PPD</v>
          </cell>
          <cell r="C967" t="str">
            <v>214.115</v>
          </cell>
          <cell r="E967"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67" t="str">
            <v>DSIL : Spécifications d'Interface du Logiciel de maintenance</v>
          </cell>
          <cell r="S967" t="str">
            <v>AT</v>
          </cell>
          <cell r="T967" t="str">
            <v>BT</v>
          </cell>
          <cell r="U967" t="str">
            <v>J.DOMAS</v>
          </cell>
          <cell r="AA967" t="str">
            <v>E</v>
          </cell>
          <cell r="AB967" t="str">
            <v>Logiciel</v>
          </cell>
          <cell r="AC967" t="str">
            <v>EAI</v>
          </cell>
          <cell r="AD967" t="str">
            <v>ST EZ.4-20058</v>
          </cell>
          <cell r="AE967" t="str">
            <v xml:space="preserve">Spécification pour la réalisation des outils de maintenance de niveau 1 sur PC portable
</v>
          </cell>
          <cell r="AI967">
            <v>1</v>
          </cell>
          <cell r="CH967" t="e">
            <v>#N/A</v>
          </cell>
          <cell r="CI967" t="e">
            <v>#N/A</v>
          </cell>
          <cell r="CJ967" t="e">
            <v>#N/A</v>
          </cell>
        </row>
        <row r="968">
          <cell r="B968" t="str">
            <v>Ligne_214.116_PPD</v>
          </cell>
          <cell r="C968" t="str">
            <v>214.116</v>
          </cell>
          <cell r="E968" t="str">
            <v>Documents des logiciels et documents des composants programmables comprenant :
- les documents demandés dans la spécification technique de référence  EZ.4-20051 jusqu'à la phase de "conception détaillée" incluse (cf. §8.1.2)
- les documents demandés dans la spécification technique de référence EZ.4-20055 jusqu'à la phase de "conception" incluse (cf. §8.1.2)
- les documents demandés dans la spécification technique de référence EZ.4-20058 jusqu'à la phase de conception incluse (cf. §6)
RENVOI AUX LIGNES 214.1 à 214.105</v>
          </cell>
          <cell r="G968" t="str">
            <v>Matrice de tracabilité du logiciel de maintenance</v>
          </cell>
          <cell r="S968" t="str">
            <v>AT</v>
          </cell>
          <cell r="T968" t="str">
            <v>BT</v>
          </cell>
          <cell r="U968" t="str">
            <v>J.DOMAS</v>
          </cell>
          <cell r="AA968" t="str">
            <v>E</v>
          </cell>
          <cell r="AB968" t="str">
            <v>Logiciel</v>
          </cell>
          <cell r="AC968" t="str">
            <v>EAI</v>
          </cell>
          <cell r="AD968" t="str">
            <v>ST EZ.4-20058</v>
          </cell>
          <cell r="AE968" t="str">
            <v xml:space="preserve">Spécification pour la réalisation des outils de maintenance de niveau 1 sur PC portable
</v>
          </cell>
          <cell r="AI968">
            <v>1</v>
          </cell>
          <cell r="CH968" t="e">
            <v>#N/A</v>
          </cell>
          <cell r="CI968" t="e">
            <v>#N/A</v>
          </cell>
          <cell r="CJ968" t="e">
            <v>#N/A</v>
          </cell>
        </row>
        <row r="969">
          <cell r="B969" t="str">
            <v>Ligne_215_PPD</v>
          </cell>
          <cell r="C969">
            <v>215</v>
          </cell>
          <cell r="E969" t="str">
            <v>SDK de développement et manuel d’utilisation</v>
          </cell>
          <cell r="G969" t="str">
            <v/>
          </cell>
          <cell r="S969" t="str">
            <v>AT</v>
          </cell>
          <cell r="U969" t="str">
            <v>L.DERU</v>
          </cell>
          <cell r="Z969" t="str">
            <v>discussion doc 50</v>
          </cell>
          <cell r="AA969" t="str">
            <v>E</v>
          </cell>
          <cell r="AB969" t="str">
            <v>Interface</v>
          </cell>
          <cell r="AC969" t="str">
            <v>SIT</v>
          </cell>
          <cell r="AD969" t="str">
            <v>ING-SVM-STV-D-2016-5128</v>
          </cell>
          <cell r="AE969" t="str">
            <v>Spécification technique vidéoprotection</v>
          </cell>
          <cell r="AF969" t="str">
            <v>13.2</v>
          </cell>
          <cell r="AI969">
            <v>1</v>
          </cell>
          <cell r="AP969" t="str">
            <v xml:space="preserve">FD </v>
          </cell>
          <cell r="AR969" t="str">
            <v>FD</v>
          </cell>
          <cell r="CG969" t="str">
            <v>30/09/2020 : la "FD" de JD1 était barré, enlevé le barré pour import dans la base arbo</v>
          </cell>
          <cell r="CH969" t="e">
            <v>#N/A</v>
          </cell>
          <cell r="CI969" t="e">
            <v>#N/A</v>
          </cell>
          <cell r="CJ969" t="e">
            <v>#N/A</v>
          </cell>
        </row>
        <row r="970">
          <cell r="B970" t="str">
            <v>Ligne_218_PPD</v>
          </cell>
          <cell r="C970">
            <v>218</v>
          </cell>
          <cell r="E970" t="str">
            <v>Etude démontrant que les écrans IV et PLDN peuvent être lus depuis chaque emplacement voyageur. Cette étude démontrera notamment le respect de l’ « Arrêté du 13 juillet 2009 relatif à la mise en accessibilité des véhicules de transport public guidé urbain aux personnes handicapées et à mobilité réduite ».</v>
          </cell>
          <cell r="S970" t="str">
            <v>AT</v>
          </cell>
          <cell r="T970" t="str">
            <v>BT</v>
          </cell>
          <cell r="U970" t="str">
            <v>L.DERU</v>
          </cell>
          <cell r="Z970" t="str">
            <v>RTS 174 JS2 EAI 20/07/2020</v>
          </cell>
          <cell r="AA970" t="str">
            <v>E</v>
          </cell>
          <cell r="AB970" t="str">
            <v>Logiciel</v>
          </cell>
          <cell r="AC970" t="str">
            <v>EAI</v>
          </cell>
          <cell r="AD970" t="str">
            <v>SF EZ.4-40085</v>
          </cell>
          <cell r="AE970" t="str">
            <v>Informations aux voyageurs et services de communication</v>
          </cell>
          <cell r="AF970" t="str">
            <v>14.2</v>
          </cell>
          <cell r="AI970">
            <v>1</v>
          </cell>
          <cell r="AN970" t="str">
            <v>FP</v>
          </cell>
          <cell r="AP970" t="str">
            <v>FD</v>
          </cell>
          <cell r="CH970" t="e">
            <v>#N/A</v>
          </cell>
          <cell r="CI970" t="e">
            <v>#N/A</v>
          </cell>
          <cell r="CJ970" t="e">
            <v>#N/A</v>
          </cell>
        </row>
        <row r="971">
          <cell r="B971" t="str">
            <v>Ligne_219_PPD</v>
          </cell>
          <cell r="C971">
            <v>219</v>
          </cell>
          <cell r="E971" t="str">
            <v>Spécifications détaillées des interfaces et des services (API, services, protocoles,…),
Définition Plateformes,
Réalisation et écriture des plans de test,
Essais de cohabitation des antennes.</v>
          </cell>
          <cell r="G971" t="str">
            <v/>
          </cell>
          <cell r="S971" t="str">
            <v>AT</v>
          </cell>
          <cell r="U971" t="str">
            <v>L.DERU</v>
          </cell>
          <cell r="Z971" t="str">
            <v>discussion doc 50</v>
          </cell>
          <cell r="AA971" t="str">
            <v>E</v>
          </cell>
          <cell r="AB971" t="str">
            <v>Interface</v>
          </cell>
          <cell r="AC971" t="str">
            <v>EAI/SIT</v>
          </cell>
          <cell r="AD971" t="str">
            <v>ING-SVM-STV-D-2016-5130</v>
          </cell>
          <cell r="AE971" t="str">
            <v>Stratégie intégration IVSC/VP</v>
          </cell>
          <cell r="AF971" t="str">
            <v>3 et 5.2</v>
          </cell>
          <cell r="AI971">
            <v>1</v>
          </cell>
          <cell r="AP971" t="str">
            <v>FD</v>
          </cell>
          <cell r="AR971" t="str">
            <v>FD</v>
          </cell>
          <cell r="CG971" t="str">
            <v>30/09/2020 : la "FD" de JD1 était barré, enlevé le barré pour import dans la base arbo</v>
          </cell>
          <cell r="CH971" t="e">
            <v>#N/A</v>
          </cell>
          <cell r="CI971" t="e">
            <v>#N/A</v>
          </cell>
          <cell r="CJ971" t="e">
            <v>#N/A</v>
          </cell>
        </row>
        <row r="972">
          <cell r="B972" t="str">
            <v>Ligne_220_PPD</v>
          </cell>
          <cell r="C972">
            <v>220</v>
          </cell>
          <cell r="E972" t="str">
            <v>Documentation d'interface programmatique (API) des systèmes qui sont interfacés (description) et formation préliminaire</v>
          </cell>
          <cell r="G972" t="str">
            <v/>
          </cell>
          <cell r="S972" t="str">
            <v>AT</v>
          </cell>
          <cell r="U972" t="str">
            <v>L.DERU</v>
          </cell>
          <cell r="Z972" t="str">
            <v>discussion doc 50</v>
          </cell>
          <cell r="AA972" t="str">
            <v>E</v>
          </cell>
          <cell r="AB972" t="str">
            <v>Interface</v>
          </cell>
          <cell r="AC972" t="str">
            <v>SIT</v>
          </cell>
          <cell r="AD972" t="str">
            <v>ING-SVM-STV-D-2016-5130</v>
          </cell>
          <cell r="AE972" t="str">
            <v>Stratégie intégration IVSC/VP</v>
          </cell>
          <cell r="AF972" t="str">
            <v>9.6</v>
          </cell>
          <cell r="AI972">
            <v>1</v>
          </cell>
          <cell r="AP972" t="str">
            <v>FD</v>
          </cell>
          <cell r="AR972" t="str">
            <v>FD</v>
          </cell>
          <cell r="CG972" t="str">
            <v>30/09/2020 : la "FD" de JD1 était barré, enlevé le barré pour import dans la base arbo</v>
          </cell>
          <cell r="CH972" t="e">
            <v>#N/A</v>
          </cell>
          <cell r="CI972" t="e">
            <v>#N/A</v>
          </cell>
          <cell r="CJ972" t="e">
            <v>#N/A</v>
          </cell>
        </row>
        <row r="973">
          <cell r="B973" t="str">
            <v>Ligne_221_PPD</v>
          </cell>
          <cell r="C973">
            <v>221</v>
          </cell>
          <cell r="E973" t="str">
            <v>Configuration matérielle minimale requise pour le serveur de la passerelle-sol avec justificatif associé</v>
          </cell>
          <cell r="G973" t="str">
            <v/>
          </cell>
          <cell r="R973" t="str">
            <v>VBN</v>
          </cell>
          <cell r="S973" t="str">
            <v>AT</v>
          </cell>
          <cell r="U973" t="str">
            <v>S.MUDRY</v>
          </cell>
          <cell r="AA973" t="str">
            <v>E</v>
          </cell>
          <cell r="AB973" t="str">
            <v>Electronique</v>
          </cell>
          <cell r="AC973" t="str">
            <v>SIT</v>
          </cell>
          <cell r="AD973" t="str">
            <v>SF ET.4-10644</v>
          </cell>
          <cell r="AE973" t="str">
            <v>Passerelle-Sol</v>
          </cell>
          <cell r="AF973">
            <v>4</v>
          </cell>
          <cell r="AI973">
            <v>1</v>
          </cell>
          <cell r="AP973" t="str">
            <v>FD</v>
          </cell>
          <cell r="CH973" t="e">
            <v>#N/A</v>
          </cell>
          <cell r="CI973" t="e">
            <v>#N/A</v>
          </cell>
          <cell r="CJ973" t="e">
            <v>#N/A</v>
          </cell>
        </row>
        <row r="974">
          <cell r="B974" t="str">
            <v>Ligne_222_PPD</v>
          </cell>
          <cell r="C974">
            <v>222</v>
          </cell>
          <cell r="E974" t="str">
            <v>Note de calcul sur la disponibilité de la passerelle-sol</v>
          </cell>
          <cell r="G974" t="str">
            <v/>
          </cell>
          <cell r="R974" t="str">
            <v>VBN</v>
          </cell>
          <cell r="S974" t="str">
            <v>AT</v>
          </cell>
          <cell r="U974" t="str">
            <v>S.MUDRY</v>
          </cell>
          <cell r="AA974" t="str">
            <v>E</v>
          </cell>
          <cell r="AB974" t="str">
            <v>Electronique</v>
          </cell>
          <cell r="AC974" t="str">
            <v>SIT</v>
          </cell>
          <cell r="AD974" t="str">
            <v>SF ET.4-10644</v>
          </cell>
          <cell r="AE974" t="str">
            <v>Passerelle-Sol</v>
          </cell>
          <cell r="AF974">
            <v>4</v>
          </cell>
          <cell r="AI974">
            <v>1</v>
          </cell>
          <cell r="AP974" t="str">
            <v>FD</v>
          </cell>
          <cell r="CH974" t="e">
            <v>#N/A</v>
          </cell>
          <cell r="CI974" t="e">
            <v>#N/A</v>
          </cell>
          <cell r="CJ974" t="e">
            <v>#N/A</v>
          </cell>
        </row>
        <row r="975">
          <cell r="B975" t="str">
            <v>Ligne_223_PPD</v>
          </cell>
          <cell r="C975">
            <v>223</v>
          </cell>
          <cell r="E975" t="str">
            <v>Document décrivant les mécanismes d’échanges entre les trains et la passerelle-sol</v>
          </cell>
          <cell r="G975" t="str">
            <v/>
          </cell>
          <cell r="R975" t="str">
            <v>VBN</v>
          </cell>
          <cell r="S975" t="str">
            <v>AT</v>
          </cell>
          <cell r="U975" t="str">
            <v>S.MUDRY</v>
          </cell>
          <cell r="AA975" t="str">
            <v>E</v>
          </cell>
          <cell r="AB975" t="str">
            <v>Electronique</v>
          </cell>
          <cell r="AC975" t="str">
            <v>SIT</v>
          </cell>
          <cell r="AD975" t="str">
            <v>SF ET.4-10644</v>
          </cell>
          <cell r="AE975" t="str">
            <v>Passerelle-Sol</v>
          </cell>
          <cell r="AF975">
            <v>4</v>
          </cell>
          <cell r="AI975">
            <v>1</v>
          </cell>
          <cell r="AP975" t="str">
            <v>FD</v>
          </cell>
          <cell r="CH975" t="e">
            <v>#N/A</v>
          </cell>
          <cell r="CI975" t="e">
            <v>#N/A</v>
          </cell>
          <cell r="CJ975" t="e">
            <v>#N/A</v>
          </cell>
        </row>
        <row r="976">
          <cell r="B976" t="str">
            <v>Ligne_224_PPD</v>
          </cell>
          <cell r="C976">
            <v>224</v>
          </cell>
          <cell r="E976" t="str">
            <v>Spécifications détaillées des protocoles d’échange passerelle-sol /Applications-Métier</v>
          </cell>
          <cell r="G976" t="str">
            <v/>
          </cell>
          <cell r="R976" t="str">
            <v>VBN</v>
          </cell>
          <cell r="S976" t="str">
            <v>AT</v>
          </cell>
          <cell r="U976" t="str">
            <v>S.MUDRY</v>
          </cell>
          <cell r="AA976" t="str">
            <v>E</v>
          </cell>
          <cell r="AB976" t="str">
            <v>Electronique</v>
          </cell>
          <cell r="AC976" t="str">
            <v>SIT</v>
          </cell>
          <cell r="AD976" t="str">
            <v>SF ET.4-10644</v>
          </cell>
          <cell r="AE976" t="str">
            <v>Passerelle-Sol</v>
          </cell>
          <cell r="AF976">
            <v>4</v>
          </cell>
          <cell r="AI976">
            <v>1</v>
          </cell>
          <cell r="AP976" t="str">
            <v>FD</v>
          </cell>
          <cell r="CH976" t="e">
            <v>#N/A</v>
          </cell>
          <cell r="CI976" t="e">
            <v>#N/A</v>
          </cell>
          <cell r="CJ976" t="e">
            <v>#N/A</v>
          </cell>
        </row>
        <row r="977">
          <cell r="B977" t="str">
            <v>Ligne_225_PPD</v>
          </cell>
          <cell r="C977">
            <v>225</v>
          </cell>
          <cell r="E977" t="str">
            <v>MIB SNMP des équipements pris en charge par la passerelle-sol, ainsi que la MIB train associée</v>
          </cell>
          <cell r="G977" t="str">
            <v/>
          </cell>
          <cell r="R977" t="str">
            <v>VBN</v>
          </cell>
          <cell r="S977" t="str">
            <v>AT</v>
          </cell>
          <cell r="U977" t="str">
            <v>S.MUDRY</v>
          </cell>
          <cell r="AA977" t="str">
            <v>E</v>
          </cell>
          <cell r="AB977" t="str">
            <v>Electronique</v>
          </cell>
          <cell r="AC977" t="str">
            <v>SIT</v>
          </cell>
          <cell r="AD977" t="str">
            <v>SF ET.4-10644</v>
          </cell>
          <cell r="AE977" t="str">
            <v>Passerelle-Sol</v>
          </cell>
          <cell r="AF977">
            <v>4</v>
          </cell>
          <cell r="AI977">
            <v>1</v>
          </cell>
          <cell r="AP977" t="str">
            <v>FD</v>
          </cell>
          <cell r="CH977" t="e">
            <v>#N/A</v>
          </cell>
          <cell r="CI977" t="e">
            <v>#N/A</v>
          </cell>
          <cell r="CJ977" t="e">
            <v>#N/A</v>
          </cell>
        </row>
        <row r="978">
          <cell r="B978" t="str">
            <v>Ligne_226_PPD</v>
          </cell>
          <cell r="C978">
            <v>226</v>
          </cell>
          <cell r="E978" t="str">
            <v>Dossier justificatif de définition du simulateur CBTC</v>
          </cell>
          <cell r="G978" t="str">
            <v/>
          </cell>
          <cell r="S978" t="str">
            <v>AT</v>
          </cell>
          <cell r="AA978" t="str">
            <v>E</v>
          </cell>
          <cell r="AB978" t="str">
            <v>Interface</v>
          </cell>
          <cell r="AC978" t="str">
            <v>ING</v>
          </cell>
          <cell r="AD978" t="str">
            <v>STF-17-6128</v>
          </cell>
          <cell r="AE978" t="str">
            <v>Spécification d'interfaces MF19 / CBTC</v>
          </cell>
          <cell r="AF978" t="str">
            <v>5.1</v>
          </cell>
          <cell r="AI978">
            <v>1</v>
          </cell>
          <cell r="AP978" t="str">
            <v>FD</v>
          </cell>
          <cell r="CH978" t="e">
            <v>#N/A</v>
          </cell>
          <cell r="CI978" t="e">
            <v>#N/A</v>
          </cell>
          <cell r="CJ978" t="e">
            <v>#N/A</v>
          </cell>
        </row>
        <row r="979">
          <cell r="B979" t="str">
            <v>Ligne_227_PPD</v>
          </cell>
          <cell r="C979">
            <v>227</v>
          </cell>
          <cell r="E979" t="str">
            <v>Dossier de définition du simulateur CBTC</v>
          </cell>
          <cell r="G979" t="str">
            <v/>
          </cell>
          <cell r="S979" t="str">
            <v>AT</v>
          </cell>
          <cell r="AA979" t="str">
            <v>E</v>
          </cell>
          <cell r="AB979" t="str">
            <v>Interface</v>
          </cell>
          <cell r="AC979" t="str">
            <v>ING</v>
          </cell>
          <cell r="AD979" t="str">
            <v>STF-17-6128</v>
          </cell>
          <cell r="AE979" t="str">
            <v>Spécification d'interfaces MF19 / CBTC</v>
          </cell>
          <cell r="AF979" t="str">
            <v>5.1</v>
          </cell>
          <cell r="AI979">
            <v>1</v>
          </cell>
          <cell r="AP979" t="str">
            <v>FD</v>
          </cell>
          <cell r="CH979" t="e">
            <v>#N/A</v>
          </cell>
          <cell r="CI979" t="e">
            <v>#N/A</v>
          </cell>
          <cell r="CJ979" t="e">
            <v>#N/A</v>
          </cell>
        </row>
        <row r="980">
          <cell r="B980" t="str">
            <v>A discuter en RTS</v>
          </cell>
          <cell r="C980">
            <v>228</v>
          </cell>
          <cell r="E980" t="str">
            <v xml:space="preserve">Document « Interface CBTC/MR : Choix et références des alimentations et protections électriques » </v>
          </cell>
          <cell r="G980" t="str">
            <v>à confirmer si inclus 158, 159 et 228 (réunion doc 50)</v>
          </cell>
          <cell r="R980" t="str">
            <v>VPF</v>
          </cell>
          <cell r="S980" t="str">
            <v>AT</v>
          </cell>
          <cell r="T980" t="str">
            <v>NA</v>
          </cell>
          <cell r="U980" t="str">
            <v>W.BOSQUILLON</v>
          </cell>
          <cell r="Z980" t="str">
            <v>RTS JS2 à programmer</v>
          </cell>
          <cell r="AA980" t="str">
            <v>E</v>
          </cell>
          <cell r="AB980" t="str">
            <v>Interface</v>
          </cell>
          <cell r="AC980" t="str">
            <v>ING</v>
          </cell>
          <cell r="AD980" t="str">
            <v>STF-17-6128_annexe4</v>
          </cell>
          <cell r="AE980" t="str">
            <v>Annexe 4 : Intégration et limites de prestations MF19 / CBTC</v>
          </cell>
          <cell r="AF980" t="str">
            <v>4.2.5</v>
          </cell>
          <cell r="AI980">
            <v>1</v>
          </cell>
          <cell r="AO980" t="str">
            <v>FD</v>
          </cell>
          <cell r="AP980" t="str">
            <v>FD</v>
          </cell>
          <cell r="CG980" t="str">
            <v>30/09/2020 : la "FD" de JD1 était barré, enlevé le barré pour import dans la base arbo</v>
          </cell>
          <cell r="CH980" t="e">
            <v>#N/A</v>
          </cell>
          <cell r="CI980" t="e">
            <v>#N/A</v>
          </cell>
          <cell r="CJ980" t="e">
            <v>#N/A</v>
          </cell>
        </row>
        <row r="981">
          <cell r="B981" t="str">
            <v>Ligne_229_PPD</v>
          </cell>
          <cell r="C981">
            <v>229</v>
          </cell>
          <cell r="E981" t="str">
            <v>Dossier de synthèse de conception de Sécurité (DCS),</v>
          </cell>
          <cell r="G981" t="str">
            <v>LIVRABLE</v>
          </cell>
          <cell r="R981" t="str">
            <v>NA</v>
          </cell>
          <cell r="S981" t="str">
            <v>AT</v>
          </cell>
          <cell r="T981" t="str">
            <v>NA</v>
          </cell>
          <cell r="U981" t="str">
            <v>NA</v>
          </cell>
          <cell r="AA981" t="str">
            <v>E</v>
          </cell>
          <cell r="AB981" t="str">
            <v>Projet</v>
          </cell>
          <cell r="AC981" t="str">
            <v>ESF</v>
          </cell>
          <cell r="AD981" t="str">
            <v>SM ET.4-10639</v>
          </cell>
          <cell r="AE981" t="str">
            <v>Spécification de management MF19</v>
          </cell>
          <cell r="AF981" t="str">
            <v>7.3.9</v>
          </cell>
          <cell r="AI981" t="str">
            <v>LIVRABLE</v>
          </cell>
          <cell r="AK981" t="str">
            <v>FD</v>
          </cell>
          <cell r="AU981" t="str">
            <v>Maj</v>
          </cell>
          <cell r="AW981" t="str">
            <v>Maj</v>
          </cell>
          <cell r="CH981" t="e">
            <v>#N/A</v>
          </cell>
          <cell r="CI981" t="e">
            <v>#N/A</v>
          </cell>
          <cell r="CJ981" t="e">
            <v>#N/A</v>
          </cell>
        </row>
        <row r="982">
          <cell r="A982" t="str">
            <v>ADD0003308463</v>
          </cell>
          <cell r="B982" t="str">
            <v>Ligne_229.1_PPD</v>
          </cell>
          <cell r="C982" t="str">
            <v>229.1</v>
          </cell>
          <cell r="E982" t="str">
            <v>Dossier de synthèse de conception de Sécurité (DCS),</v>
          </cell>
          <cell r="F982" t="str">
            <v>A</v>
          </cell>
          <cell r="G982" t="str">
            <v>DOSSIER DE CONCEPTION DE SECURITE GENERIQUE</v>
          </cell>
          <cell r="M982" t="str">
            <v>M-07_GESTION_DE_LA_SURETE_DE_FONCTIONNEMENT</v>
          </cell>
          <cell r="N982" t="str">
            <v>DJD</v>
          </cell>
          <cell r="O982" t="str">
            <v>DSEC_DOC SECURITE</v>
          </cell>
          <cell r="Q982">
            <v>0</v>
          </cell>
          <cell r="R982" t="str">
            <v>VPF</v>
          </cell>
          <cell r="S982" t="str">
            <v>AT</v>
          </cell>
          <cell r="T982" t="str">
            <v>BT</v>
          </cell>
          <cell r="U982" t="str">
            <v>D.CHANAL</v>
          </cell>
          <cell r="V982" t="str">
            <v>ALSTOM</v>
          </cell>
          <cell r="W982" t="str">
            <v>N</v>
          </cell>
          <cell r="X982" t="str">
            <v>Document contractuel FD</v>
          </cell>
          <cell r="AA982" t="str">
            <v>E</v>
          </cell>
          <cell r="AB982" t="str">
            <v>Projet</v>
          </cell>
          <cell r="AC982" t="str">
            <v>ESF</v>
          </cell>
          <cell r="AD982" t="str">
            <v>SM ET.4-10639</v>
          </cell>
          <cell r="AE982" t="str">
            <v>Spécification de management MF19</v>
          </cell>
          <cell r="AF982" t="str">
            <v>7.3.9</v>
          </cell>
          <cell r="AI982">
            <v>1</v>
          </cell>
          <cell r="AK982" t="str">
            <v>FD</v>
          </cell>
          <cell r="AU982" t="str">
            <v>Maj</v>
          </cell>
          <cell r="AW982" t="str">
            <v>Maj</v>
          </cell>
          <cell r="CH982" t="str">
            <v>MF19_BORD_AT_00006</v>
          </cell>
          <cell r="CI982" t="str">
            <v>R</v>
          </cell>
          <cell r="CJ982" t="str">
            <v>FD</v>
          </cell>
        </row>
        <row r="983">
          <cell r="A983" t="str">
            <v>ADD0003308421</v>
          </cell>
          <cell r="B983" t="str">
            <v>Ligne_229.2_PPD</v>
          </cell>
          <cell r="C983" t="str">
            <v>229.2</v>
          </cell>
          <cell r="E983" t="str">
            <v>Dossier de synthèse de conception de Sécurité (DCS),</v>
          </cell>
          <cell r="G983" t="str">
            <v>DOSSIER DE CONCEPTION DE SECURITE 4V CC LIGNE 3BIS</v>
          </cell>
          <cell r="M983" t="str">
            <v>M-07_GESTION_DE_LA_SURETE_DE_FONCTIONNEMENT</v>
          </cell>
          <cell r="N983" t="str">
            <v>DJD</v>
          </cell>
          <cell r="O983" t="str">
            <v>DSEC_DOC SECURITE</v>
          </cell>
          <cell r="R983" t="str">
            <v>VPF</v>
          </cell>
          <cell r="S983" t="str">
            <v>AT</v>
          </cell>
          <cell r="T983" t="str">
            <v>BT</v>
          </cell>
          <cell r="U983" t="str">
            <v>D.CHANAL</v>
          </cell>
          <cell r="V983" t="str">
            <v>ALSTOM</v>
          </cell>
          <cell r="X983" t="str">
            <v>Contractuel Produit</v>
          </cell>
          <cell r="AA983" t="str">
            <v>E</v>
          </cell>
          <cell r="AB983" t="str">
            <v>Projet</v>
          </cell>
          <cell r="AC983" t="str">
            <v>ESF</v>
          </cell>
          <cell r="AD983" t="str">
            <v>SM ET.4-10639</v>
          </cell>
          <cell r="AE983" t="str">
            <v>Spécification de management MF19</v>
          </cell>
          <cell r="AF983" t="str">
            <v>7.3.9</v>
          </cell>
          <cell r="AI983">
            <v>1</v>
          </cell>
          <cell r="AU983" t="str">
            <v>FD</v>
          </cell>
          <cell r="AW983" t="str">
            <v>Maj</v>
          </cell>
          <cell r="CH983" t="e">
            <v>#N/A</v>
          </cell>
          <cell r="CI983" t="e">
            <v>#N/A</v>
          </cell>
          <cell r="CJ983" t="e">
            <v>#N/A</v>
          </cell>
        </row>
        <row r="984">
          <cell r="A984" t="str">
            <v>ADD0003308422</v>
          </cell>
          <cell r="B984" t="str">
            <v>Ligne_229.3_PPD</v>
          </cell>
          <cell r="C984" t="str">
            <v>229.3</v>
          </cell>
          <cell r="E984" t="str">
            <v>Dossier de synthèse de conception de Sécurité (DCS),</v>
          </cell>
          <cell r="G984" t="str">
            <v>DOSSIER DE CONCEPTION DE SECURITE 4V CC LIGNE 7BIS</v>
          </cell>
          <cell r="M984" t="str">
            <v>M-07_GESTION_DE_LA_SURETE_DE_FONCTIONNEMENT</v>
          </cell>
          <cell r="N984" t="str">
            <v>DJD</v>
          </cell>
          <cell r="O984" t="str">
            <v>DSEC_DOC SECURITE</v>
          </cell>
          <cell r="R984" t="str">
            <v>VPF</v>
          </cell>
          <cell r="S984" t="str">
            <v>AT</v>
          </cell>
          <cell r="T984" t="str">
            <v>BT</v>
          </cell>
          <cell r="U984" t="str">
            <v>D.CHANAL</v>
          </cell>
          <cell r="V984" t="str">
            <v>ALSTOM</v>
          </cell>
          <cell r="X984" t="str">
            <v>Contractuel Produit</v>
          </cell>
          <cell r="AA984" t="str">
            <v>E</v>
          </cell>
          <cell r="AB984" t="str">
            <v>Projet</v>
          </cell>
          <cell r="AC984" t="str">
            <v>ESF</v>
          </cell>
          <cell r="AD984" t="str">
            <v>SM ET.4-10639</v>
          </cell>
          <cell r="AE984" t="str">
            <v>Spécification de management MF19</v>
          </cell>
          <cell r="AF984" t="str">
            <v>7.3.9</v>
          </cell>
          <cell r="AI984">
            <v>1</v>
          </cell>
          <cell r="AU984" t="str">
            <v>FD</v>
          </cell>
          <cell r="AW984" t="str">
            <v>Maj</v>
          </cell>
          <cell r="CH984" t="e">
            <v>#N/A</v>
          </cell>
          <cell r="CI984" t="e">
            <v>#N/A</v>
          </cell>
          <cell r="CJ984" t="e">
            <v>#N/A</v>
          </cell>
        </row>
        <row r="985">
          <cell r="A985" t="str">
            <v>ADD0003308423</v>
          </cell>
          <cell r="B985" t="str">
            <v>Ligne_229.4_PPD</v>
          </cell>
          <cell r="C985" t="str">
            <v>229.4</v>
          </cell>
          <cell r="E985" t="str">
            <v>Dossier de synthèse de conception de Sécurité (DCS),</v>
          </cell>
          <cell r="G985" t="str">
            <v>DOSSIER DE CONCEPTION DE SECURITE 5V LIGNE 3</v>
          </cell>
          <cell r="M985" t="str">
            <v>M-07_GESTION_DE_LA_SURETE_DE_FONCTIONNEMENT</v>
          </cell>
          <cell r="N985" t="str">
            <v>DJD</v>
          </cell>
          <cell r="O985" t="str">
            <v>DSEC_DOC SECURITE</v>
          </cell>
          <cell r="R985" t="str">
            <v>VPF</v>
          </cell>
          <cell r="S985" t="str">
            <v>AT</v>
          </cell>
          <cell r="T985" t="str">
            <v>BT</v>
          </cell>
          <cell r="U985" t="str">
            <v>D.CHANAL</v>
          </cell>
          <cell r="V985" t="str">
            <v>ALSTOM</v>
          </cell>
          <cell r="X985" t="str">
            <v>Contractuel Produit</v>
          </cell>
          <cell r="AA985" t="str">
            <v>E</v>
          </cell>
          <cell r="AB985" t="str">
            <v>Projet</v>
          </cell>
          <cell r="AC985" t="str">
            <v>ESF</v>
          </cell>
          <cell r="AD985" t="str">
            <v>SM ET.4-10639</v>
          </cell>
          <cell r="AE985" t="str">
            <v>Spécification de management MF19</v>
          </cell>
          <cell r="AF985" t="str">
            <v>7.3.9</v>
          </cell>
          <cell r="AI985">
            <v>1</v>
          </cell>
          <cell r="AU985" t="str">
            <v>FD</v>
          </cell>
          <cell r="AW985" t="str">
            <v>Maj</v>
          </cell>
          <cell r="CH985" t="e">
            <v>#N/A</v>
          </cell>
          <cell r="CI985" t="e">
            <v>#N/A</v>
          </cell>
          <cell r="CJ985" t="e">
            <v>#N/A</v>
          </cell>
        </row>
        <row r="986">
          <cell r="A986" t="str">
            <v>ADD0003308424</v>
          </cell>
          <cell r="B986" t="str">
            <v>Ligne_229.5_PPD</v>
          </cell>
          <cell r="C986" t="str">
            <v>229.5</v>
          </cell>
          <cell r="E986" t="str">
            <v>Dossier de synthèse de conception de Sécurité (DCS),</v>
          </cell>
          <cell r="G986" t="str">
            <v>DOSSIER DE CONCEPTION DE SECURITE 5V LIGNE 7</v>
          </cell>
          <cell r="M986" t="str">
            <v>M-07_GESTION_DE_LA_SURETE_DE_FONCTIONNEMENT</v>
          </cell>
          <cell r="N986" t="str">
            <v>DJD</v>
          </cell>
          <cell r="O986" t="str">
            <v>DSEC_DOC SECURITE</v>
          </cell>
          <cell r="R986" t="str">
            <v>VPF</v>
          </cell>
          <cell r="S986" t="str">
            <v>AT</v>
          </cell>
          <cell r="T986" t="str">
            <v>BT</v>
          </cell>
          <cell r="U986" t="str">
            <v>D.CHANAL</v>
          </cell>
          <cell r="V986" t="str">
            <v>ALSTOM</v>
          </cell>
          <cell r="X986" t="str">
            <v>Contractuel Produit</v>
          </cell>
          <cell r="AA986" t="str">
            <v>E</v>
          </cell>
          <cell r="AB986" t="str">
            <v>Projet</v>
          </cell>
          <cell r="AC986" t="str">
            <v>ESF</v>
          </cell>
          <cell r="AD986" t="str">
            <v>SM ET.4-10639</v>
          </cell>
          <cell r="AE986" t="str">
            <v>Spécification de management MF19</v>
          </cell>
          <cell r="AF986" t="str">
            <v>7.3.9</v>
          </cell>
          <cell r="AI986">
            <v>1</v>
          </cell>
          <cell r="AU986" t="str">
            <v>FD</v>
          </cell>
          <cell r="AW986" t="str">
            <v>Maj</v>
          </cell>
          <cell r="CH986" t="e">
            <v>#N/A</v>
          </cell>
          <cell r="CI986" t="e">
            <v>#N/A</v>
          </cell>
          <cell r="CJ986" t="e">
            <v>#N/A</v>
          </cell>
        </row>
        <row r="987">
          <cell r="A987" t="str">
            <v>ADD0003308425</v>
          </cell>
          <cell r="B987" t="str">
            <v>Ligne_229.6_PPD</v>
          </cell>
          <cell r="C987" t="str">
            <v>229.6</v>
          </cell>
          <cell r="E987" t="str">
            <v>Dossier de synthèse de conception de Sécurité (DCS),</v>
          </cell>
          <cell r="G987" t="str">
            <v>DOSSIER DE CONCEPTION DE SECURITE 5V LIGNE 8</v>
          </cell>
          <cell r="M987" t="str">
            <v>M-07_GESTION_DE_LA_SURETE_DE_FONCTIONNEMENT</v>
          </cell>
          <cell r="N987" t="str">
            <v>DJD</v>
          </cell>
          <cell r="O987" t="str">
            <v>DSEC_DOC SECURITE</v>
          </cell>
          <cell r="R987" t="str">
            <v>VPF</v>
          </cell>
          <cell r="S987" t="str">
            <v>AT</v>
          </cell>
          <cell r="T987" t="str">
            <v>BT</v>
          </cell>
          <cell r="U987" t="str">
            <v>D.CHANAL</v>
          </cell>
          <cell r="V987" t="str">
            <v>ALSTOM</v>
          </cell>
          <cell r="X987" t="str">
            <v>Contractuel Produit</v>
          </cell>
          <cell r="AA987" t="str">
            <v>E</v>
          </cell>
          <cell r="AB987" t="str">
            <v>Projet</v>
          </cell>
          <cell r="AC987" t="str">
            <v>ESF</v>
          </cell>
          <cell r="AD987" t="str">
            <v>SM ET.4-10639</v>
          </cell>
          <cell r="AE987" t="str">
            <v>Spécification de management MF19</v>
          </cell>
          <cell r="AF987" t="str">
            <v>7.3.9</v>
          </cell>
          <cell r="AI987">
            <v>1</v>
          </cell>
          <cell r="AU987" t="str">
            <v>FD</v>
          </cell>
          <cell r="AW987" t="str">
            <v>Maj</v>
          </cell>
          <cell r="CH987" t="e">
            <v>#N/A</v>
          </cell>
          <cell r="CI987" t="e">
            <v>#N/A</v>
          </cell>
          <cell r="CJ987" t="e">
            <v>#N/A</v>
          </cell>
        </row>
        <row r="988">
          <cell r="A988" t="str">
            <v>ADD0003308426</v>
          </cell>
          <cell r="B988" t="str">
            <v>Ligne_229.7_PPD</v>
          </cell>
          <cell r="C988" t="str">
            <v>229.7</v>
          </cell>
          <cell r="E988" t="str">
            <v>Dossier de synthèse de conception de Sécurité (DCS),</v>
          </cell>
          <cell r="G988" t="str">
            <v>DOSSIER DE CONCEPTION DE SECURITE 5V LIGNE 10</v>
          </cell>
          <cell r="M988" t="str">
            <v>M-07_GESTION_DE_LA_SURETE_DE_FONCTIONNEMENT</v>
          </cell>
          <cell r="N988" t="str">
            <v>DJD</v>
          </cell>
          <cell r="O988" t="str">
            <v>DSEC_DOC SECURITE</v>
          </cell>
          <cell r="R988" t="str">
            <v>VPF</v>
          </cell>
          <cell r="S988" t="str">
            <v>AT</v>
          </cell>
          <cell r="T988" t="str">
            <v>BT</v>
          </cell>
          <cell r="U988" t="str">
            <v>D.CHANAL</v>
          </cell>
          <cell r="V988" t="str">
            <v>ALSTOM</v>
          </cell>
          <cell r="X988" t="str">
            <v>Contractuel Produit</v>
          </cell>
          <cell r="AA988" t="str">
            <v>E</v>
          </cell>
          <cell r="AB988" t="str">
            <v>Projet</v>
          </cell>
          <cell r="AC988" t="str">
            <v>ESF</v>
          </cell>
          <cell r="AD988" t="str">
            <v>SM ET.4-10639</v>
          </cell>
          <cell r="AE988" t="str">
            <v>Spécification de management MF19</v>
          </cell>
          <cell r="AF988" t="str">
            <v>7.3.9</v>
          </cell>
          <cell r="AI988">
            <v>1</v>
          </cell>
          <cell r="AU988" t="str">
            <v>FD</v>
          </cell>
          <cell r="AW988" t="str">
            <v>Maj</v>
          </cell>
          <cell r="CH988" t="e">
            <v>#N/A</v>
          </cell>
          <cell r="CI988" t="e">
            <v>#N/A</v>
          </cell>
          <cell r="CJ988" t="e">
            <v>#N/A</v>
          </cell>
        </row>
        <row r="989">
          <cell r="A989" t="str">
            <v>ADD0003308427</v>
          </cell>
          <cell r="B989" t="str">
            <v>Ligne_229.8_PPD</v>
          </cell>
          <cell r="C989" t="str">
            <v>229.8</v>
          </cell>
          <cell r="E989" t="str">
            <v>Dossier de synthèse de conception de Sécurité (DCS),</v>
          </cell>
          <cell r="G989" t="str">
            <v>DOSSIER DE CONCEPTION DE SECURITE 5V LIGNE 12</v>
          </cell>
          <cell r="M989" t="str">
            <v>M-07_GESTION_DE_LA_SURETE_DE_FONCTIONNEMENT</v>
          </cell>
          <cell r="N989" t="str">
            <v>DJD</v>
          </cell>
          <cell r="O989" t="str">
            <v>DSEC_DOC SECURITE</v>
          </cell>
          <cell r="R989" t="str">
            <v>VPF</v>
          </cell>
          <cell r="S989" t="str">
            <v>AT</v>
          </cell>
          <cell r="T989" t="str">
            <v>BT</v>
          </cell>
          <cell r="U989" t="str">
            <v>D.CHANAL</v>
          </cell>
          <cell r="V989" t="str">
            <v>ALSTOM</v>
          </cell>
          <cell r="X989" t="str">
            <v>Contractuel Produit</v>
          </cell>
          <cell r="AA989" t="str">
            <v>E</v>
          </cell>
          <cell r="AB989" t="str">
            <v>Projet</v>
          </cell>
          <cell r="AC989" t="str">
            <v>ESF</v>
          </cell>
          <cell r="AD989" t="str">
            <v>SM ET.4-10639</v>
          </cell>
          <cell r="AE989" t="str">
            <v>Spécification de management MF19</v>
          </cell>
          <cell r="AF989" t="str">
            <v>7.3.9</v>
          </cell>
          <cell r="AI989">
            <v>1</v>
          </cell>
          <cell r="AU989" t="str">
            <v>FD</v>
          </cell>
          <cell r="AW989" t="str">
            <v>Maj</v>
          </cell>
          <cell r="CH989" t="e">
            <v>#N/A</v>
          </cell>
          <cell r="CI989" t="e">
            <v>#N/A</v>
          </cell>
          <cell r="CJ989" t="e">
            <v>#N/A</v>
          </cell>
        </row>
        <row r="990">
          <cell r="A990" t="str">
            <v>ADD0003308428</v>
          </cell>
          <cell r="B990" t="str">
            <v>Ligne_229.9_PPD</v>
          </cell>
          <cell r="C990" t="str">
            <v>229.9</v>
          </cell>
          <cell r="E990" t="str">
            <v>Dossier de synthèse de conception de Sécurité (DCS),</v>
          </cell>
          <cell r="G990" t="str">
            <v>DOSSIER DE CONCEPTION DE SECURITE 5V LIGNE 13</v>
          </cell>
          <cell r="M990" t="str">
            <v>M-07_GESTION_DE_LA_SURETE_DE_FONCTIONNEMENT</v>
          </cell>
          <cell r="N990" t="str">
            <v>DJD</v>
          </cell>
          <cell r="O990" t="str">
            <v>DSEC_DOC SECURITE</v>
          </cell>
          <cell r="R990" t="str">
            <v>VPF</v>
          </cell>
          <cell r="S990" t="str">
            <v>AT</v>
          </cell>
          <cell r="T990" t="str">
            <v>BT</v>
          </cell>
          <cell r="U990" t="str">
            <v>D.CHANAL</v>
          </cell>
          <cell r="V990" t="str">
            <v>ALSTOM</v>
          </cell>
          <cell r="X990" t="str">
            <v>Contractuel Produit</v>
          </cell>
          <cell r="AA990" t="str">
            <v>E</v>
          </cell>
          <cell r="AB990" t="str">
            <v>Projet</v>
          </cell>
          <cell r="AC990" t="str">
            <v>ESF</v>
          </cell>
          <cell r="AD990" t="str">
            <v>SM ET.4-10639</v>
          </cell>
          <cell r="AE990" t="str">
            <v>Spécification de management MF19</v>
          </cell>
          <cell r="AF990" t="str">
            <v>7.3.9</v>
          </cell>
          <cell r="AI990">
            <v>1</v>
          </cell>
          <cell r="AU990" t="str">
            <v>FD</v>
          </cell>
          <cell r="AW990" t="str">
            <v>Maj</v>
          </cell>
          <cell r="CH990" t="e">
            <v>#N/A</v>
          </cell>
          <cell r="CI990" t="e">
            <v>#N/A</v>
          </cell>
          <cell r="CJ990" t="e">
            <v>#N/A</v>
          </cell>
        </row>
        <row r="991">
          <cell r="A991" t="str">
            <v>ADD0003308414</v>
          </cell>
          <cell r="B991" t="str">
            <v>Ligne_230_PPD</v>
          </cell>
          <cell r="C991">
            <v>230</v>
          </cell>
          <cell r="E991" t="str">
            <v>Liste des Evénéments Redoutés de Sécurité</v>
          </cell>
          <cell r="F991" t="str">
            <v>C</v>
          </cell>
          <cell r="G991" t="str">
            <v>LISTE DES EVENEMENTS REDOUTES DE SECURITE</v>
          </cell>
          <cell r="M991" t="str">
            <v>M-07_GESTION_DE_LA_SURETE_DE_FONCTIONNEMENT</v>
          </cell>
          <cell r="N991" t="str">
            <v>DJD</v>
          </cell>
          <cell r="O991" t="str">
            <v>DSEC_DOC SECURITE</v>
          </cell>
          <cell r="Q991">
            <v>0</v>
          </cell>
          <cell r="R991" t="str">
            <v>VPF</v>
          </cell>
          <cell r="S991" t="str">
            <v>AT</v>
          </cell>
          <cell r="T991" t="str">
            <v>BT</v>
          </cell>
          <cell r="U991" t="str">
            <v>D.CHANAL</v>
          </cell>
          <cell r="V991" t="str">
            <v xml:space="preserve">ALSTOM </v>
          </cell>
          <cell r="W991" t="str">
            <v>N</v>
          </cell>
          <cell r="X991" t="str">
            <v>Contractuel Management</v>
          </cell>
          <cell r="Z991" t="str">
            <v>RTS 191 JS2 ESF 04/09/2020</v>
          </cell>
          <cell r="AA991" t="str">
            <v>E</v>
          </cell>
          <cell r="AB991" t="str">
            <v>Projet</v>
          </cell>
          <cell r="AC991" t="str">
            <v>ESF</v>
          </cell>
          <cell r="AD991" t="str">
            <v>SM ET.4-10639</v>
          </cell>
          <cell r="AE991" t="str">
            <v>Spécification de management MF19</v>
          </cell>
          <cell r="AF991" t="str">
            <v>7.3.7</v>
          </cell>
          <cell r="AI991">
            <v>1</v>
          </cell>
          <cell r="AJ991" t="str">
            <v>FP</v>
          </cell>
          <cell r="AL991" t="str">
            <v>FP</v>
          </cell>
          <cell r="AN991" t="str">
            <v>FD</v>
          </cell>
          <cell r="AP991" t="str">
            <v>Maj</v>
          </cell>
          <cell r="AU991" t="str">
            <v>Maj</v>
          </cell>
          <cell r="AW991" t="str">
            <v>Maj</v>
          </cell>
          <cell r="BJ991">
            <v>44011</v>
          </cell>
          <cell r="CH991" t="str">
            <v>MF19_BORD_AT_00018</v>
          </cell>
          <cell r="CI991" t="str">
            <v>AR</v>
          </cell>
          <cell r="CJ991" t="str">
            <v>FD</v>
          </cell>
        </row>
        <row r="992">
          <cell r="B992" t="str">
            <v>Ligne_231_PPD</v>
          </cell>
          <cell r="C992">
            <v>231</v>
          </cell>
          <cell r="E992" t="str">
            <v>Allocations des exigences de sécurité (spécifications fonctionnelles et/ou techniques de sécurité)</v>
          </cell>
          <cell r="G992" t="str">
            <v>LIVRABLE</v>
          </cell>
          <cell r="R992" t="str">
            <v>NA</v>
          </cell>
          <cell r="S992" t="str">
            <v>AT</v>
          </cell>
          <cell r="T992" t="str">
            <v>NA</v>
          </cell>
          <cell r="Z992" t="str">
            <v>RTS 191 JS2 ESF 04/09/2020</v>
          </cell>
          <cell r="AA992" t="str">
            <v>E</v>
          </cell>
          <cell r="AB992" t="str">
            <v>Projet</v>
          </cell>
          <cell r="AC992" t="str">
            <v>ESF</v>
          </cell>
          <cell r="AD992" t="str">
            <v>SM ET.4-10639</v>
          </cell>
          <cell r="AE992" t="str">
            <v>Spécification de management MF19</v>
          </cell>
          <cell r="AF992" t="str">
            <v>7.3.2 et 7.3.4</v>
          </cell>
          <cell r="AI992" t="str">
            <v>LIVRABLE</v>
          </cell>
          <cell r="AL992" t="str">
            <v>FD</v>
          </cell>
          <cell r="AN992" t="str">
            <v>Maj</v>
          </cell>
          <cell r="AP992" t="str">
            <v>Maj</v>
          </cell>
          <cell r="CH992" t="e">
            <v>#N/A</v>
          </cell>
          <cell r="CI992" t="e">
            <v>#N/A</v>
          </cell>
          <cell r="CJ992" t="e">
            <v>#N/A</v>
          </cell>
        </row>
        <row r="993">
          <cell r="A993" t="str">
            <v>ADD0003308415</v>
          </cell>
          <cell r="B993" t="str">
            <v>Ligne_231.1_PPD</v>
          </cell>
          <cell r="C993" t="str">
            <v>231.1</v>
          </cell>
          <cell r="E993" t="str">
            <v>Allocations des exigences de sécurité (spécifications fonctionnelles et/ou techniques de sécurité)</v>
          </cell>
          <cell r="F993" t="str">
            <v>B</v>
          </cell>
          <cell r="G993" t="str">
            <v>ANALYSE PRELIMINAIRE DE RISQUE</v>
          </cell>
          <cell r="M993" t="str">
            <v>M-07_GESTION_DE_LA_SURETE_DE_FONCTIONNEMENT</v>
          </cell>
          <cell r="N993" t="str">
            <v>DJD</v>
          </cell>
          <cell r="O993" t="str">
            <v>DSEC_DOC SECURITE</v>
          </cell>
          <cell r="Q993">
            <v>0</v>
          </cell>
          <cell r="R993" t="str">
            <v>VPF</v>
          </cell>
          <cell r="S993" t="str">
            <v>AT</v>
          </cell>
          <cell r="T993" t="str">
            <v>BT</v>
          </cell>
          <cell r="U993" t="str">
            <v>D.CHANAL</v>
          </cell>
          <cell r="V993" t="str">
            <v>ALSTOM</v>
          </cell>
          <cell r="W993" t="str">
            <v>N</v>
          </cell>
          <cell r="X993" t="str">
            <v>Document contractuel FP</v>
          </cell>
          <cell r="Z993" t="str">
            <v>RTS 191 JS2 ESF 04/09/2020</v>
          </cell>
          <cell r="AA993" t="str">
            <v>E</v>
          </cell>
          <cell r="AB993" t="str">
            <v>Projet</v>
          </cell>
          <cell r="AC993" t="str">
            <v>ESF</v>
          </cell>
          <cell r="AD993" t="str">
            <v>SM ET.4-10639</v>
          </cell>
          <cell r="AE993" t="str">
            <v>Spécification de management MF19</v>
          </cell>
          <cell r="AF993" t="str">
            <v>7.3.2 et 7.3.4</v>
          </cell>
          <cell r="AI993">
            <v>1</v>
          </cell>
          <cell r="AL993" t="str">
            <v>FP</v>
          </cell>
          <cell r="AN993" t="str">
            <v>FD</v>
          </cell>
          <cell r="AP993" t="str">
            <v>Maj</v>
          </cell>
          <cell r="BJ993">
            <v>44017</v>
          </cell>
          <cell r="CH993" t="str">
            <v>MF19_BORD_AT_00030</v>
          </cell>
          <cell r="CI993" t="str">
            <v>AR</v>
          </cell>
          <cell r="CJ993" t="str">
            <v>FP</v>
          </cell>
        </row>
        <row r="994">
          <cell r="A994" t="str">
            <v>ADD0003308416</v>
          </cell>
          <cell r="B994" t="str">
            <v>Ligne_231.2_PPD</v>
          </cell>
          <cell r="C994" t="str">
            <v>231.2</v>
          </cell>
          <cell r="E994" t="str">
            <v>Allocations des exigences de sécurité (spécifications fonctionnelles et/ou techniques de sécurité)</v>
          </cell>
          <cell r="F994" t="str">
            <v>C</v>
          </cell>
          <cell r="G994" t="str">
            <v>ANALYSE DYSFONCTIONNELLE.</v>
          </cell>
          <cell r="M994" t="str">
            <v>M-07_GESTION_DE_LA_SURETE_DE_FONCTIONNEMENT</v>
          </cell>
          <cell r="N994" t="str">
            <v>DJD</v>
          </cell>
          <cell r="O994" t="str">
            <v>DSEC_DOC SECURITE</v>
          </cell>
          <cell r="Q994" t="str">
            <v>0</v>
          </cell>
          <cell r="R994" t="str">
            <v>VPF</v>
          </cell>
          <cell r="S994" t="str">
            <v>AT</v>
          </cell>
          <cell r="T994" t="str">
            <v>BT</v>
          </cell>
          <cell r="U994" t="str">
            <v>D.CHANAL</v>
          </cell>
          <cell r="V994" t="str">
            <v xml:space="preserve">ALSTOM </v>
          </cell>
          <cell r="W994" t="str">
            <v>N</v>
          </cell>
          <cell r="X994" t="str">
            <v>Document contractuel FP</v>
          </cell>
          <cell r="Z994" t="str">
            <v>RTS 191 JS2 ESF 04/09/2020</v>
          </cell>
          <cell r="AA994" t="str">
            <v>E</v>
          </cell>
          <cell r="AB994" t="str">
            <v>Projet</v>
          </cell>
          <cell r="AC994" t="str">
            <v>ESF</v>
          </cell>
          <cell r="AD994" t="str">
            <v>SM ET.4-10639</v>
          </cell>
          <cell r="AE994" t="str">
            <v>Spécification de management MF19</v>
          </cell>
          <cell r="AF994" t="str">
            <v>7.3.2 et 7.3.4</v>
          </cell>
          <cell r="AI994">
            <v>1</v>
          </cell>
          <cell r="AL994" t="str">
            <v>FP</v>
          </cell>
          <cell r="AN994" t="str">
            <v>FD</v>
          </cell>
          <cell r="AP994" t="str">
            <v>Maj</v>
          </cell>
          <cell r="BJ994">
            <v>44017</v>
          </cell>
          <cell r="CH994" t="str">
            <v>MF19_BORD_AT_00037</v>
          </cell>
          <cell r="CI994" t="str">
            <v>-</v>
          </cell>
          <cell r="CJ994" t="str">
            <v>FP</v>
          </cell>
        </row>
        <row r="995">
          <cell r="A995" t="str">
            <v>ADD0003308418</v>
          </cell>
          <cell r="B995" t="str">
            <v>Ligne_231.3_PPD</v>
          </cell>
          <cell r="C995" t="str">
            <v>231.3</v>
          </cell>
          <cell r="E995" t="str">
            <v>Allocations des exigences de sécurité (spécifications fonctionnelles et/ou techniques de sécurité)</v>
          </cell>
          <cell r="F995" t="str">
            <v>B</v>
          </cell>
          <cell r="G995" t="str">
            <v>ALLOCATION DE SECURITE</v>
          </cell>
          <cell r="M995" t="str">
            <v>M-07_GESTION_DE_LA_SURETE_DE_FONCTIONNEMENT</v>
          </cell>
          <cell r="N995" t="str">
            <v>DJD</v>
          </cell>
          <cell r="O995" t="str">
            <v>DSEC_DOC SECURITE</v>
          </cell>
          <cell r="Q995">
            <v>0</v>
          </cell>
          <cell r="R995" t="str">
            <v>VPF</v>
          </cell>
          <cell r="S995" t="str">
            <v>AT</v>
          </cell>
          <cell r="T995" t="str">
            <v>BT</v>
          </cell>
          <cell r="U995" t="str">
            <v>D.CHANAL</v>
          </cell>
          <cell r="V995" t="str">
            <v xml:space="preserve">ALSTOM </v>
          </cell>
          <cell r="W995" t="str">
            <v>N</v>
          </cell>
          <cell r="X995" t="str">
            <v>Document contractuel FP</v>
          </cell>
          <cell r="Z995" t="str">
            <v>RTS 191 JS2 ESF 04/09/2020</v>
          </cell>
          <cell r="AA995" t="str">
            <v>E</v>
          </cell>
          <cell r="AB995" t="str">
            <v>Projet</v>
          </cell>
          <cell r="AC995" t="str">
            <v>ESF</v>
          </cell>
          <cell r="AD995" t="str">
            <v>SM ET.4-10639</v>
          </cell>
          <cell r="AE995" t="str">
            <v>Spécification de management MF19</v>
          </cell>
          <cell r="AF995" t="str">
            <v>7.3.2 et 7.3.4</v>
          </cell>
          <cell r="AI995">
            <v>1</v>
          </cell>
          <cell r="AL995" t="str">
            <v>FP</v>
          </cell>
          <cell r="AN995" t="str">
            <v>FD</v>
          </cell>
          <cell r="AP995" t="str">
            <v>Maj</v>
          </cell>
          <cell r="BJ995">
            <v>44017</v>
          </cell>
          <cell r="CH995" t="str">
            <v>MF19_BORD_AT_00018</v>
          </cell>
          <cell r="CI995" t="str">
            <v>AR</v>
          </cell>
          <cell r="CJ995" t="str">
            <v>FP</v>
          </cell>
        </row>
        <row r="996">
          <cell r="A996" t="str">
            <v>ADD0003308417</v>
          </cell>
          <cell r="B996" t="str">
            <v>Ligne_231.4_PPD</v>
          </cell>
          <cell r="C996" t="str">
            <v>231.4</v>
          </cell>
          <cell r="E996" t="str">
            <v>Allocations des exigences de sécurité (spécifications fonctionnelles et/ou techniques de sécurité)</v>
          </cell>
          <cell r="F996" t="str">
            <v>B</v>
          </cell>
          <cell r="G996" t="str">
            <v>ANALYSE DES RISQUES D INTERFACE</v>
          </cell>
          <cell r="M996" t="str">
            <v>M-07_GESTION_DE_LA_SURETE_DE_FONCTIONNEMENT</v>
          </cell>
          <cell r="N996" t="str">
            <v>DJD</v>
          </cell>
          <cell r="O996" t="str">
            <v>DSEC_DOC SECURITE</v>
          </cell>
          <cell r="Q996" t="str">
            <v>0</v>
          </cell>
          <cell r="R996" t="str">
            <v>VPF</v>
          </cell>
          <cell r="S996" t="str">
            <v>AT</v>
          </cell>
          <cell r="T996" t="str">
            <v>BT</v>
          </cell>
          <cell r="U996" t="str">
            <v>D.CHANAL</v>
          </cell>
          <cell r="V996" t="str">
            <v xml:space="preserve">ALSTOM </v>
          </cell>
          <cell r="W996" t="str">
            <v>N</v>
          </cell>
          <cell r="X996" t="str">
            <v>Document contractuel FP</v>
          </cell>
          <cell r="Z996" t="str">
            <v>RTS 191 JS2 ESF 04/09/2020</v>
          </cell>
          <cell r="AA996" t="str">
            <v>E</v>
          </cell>
          <cell r="AB996" t="str">
            <v>Projet</v>
          </cell>
          <cell r="AC996" t="str">
            <v>ESF</v>
          </cell>
          <cell r="AD996" t="str">
            <v>SM ET.4-10639</v>
          </cell>
          <cell r="AE996" t="str">
            <v>Spécification de management MF19</v>
          </cell>
          <cell r="AF996" t="str">
            <v>7.3.2 et 7.3.4</v>
          </cell>
          <cell r="AI996">
            <v>1</v>
          </cell>
          <cell r="AL996" t="str">
            <v>FP</v>
          </cell>
          <cell r="AN996" t="str">
            <v>FD</v>
          </cell>
          <cell r="AP996" t="str">
            <v>Maj</v>
          </cell>
          <cell r="BJ996">
            <v>44017</v>
          </cell>
          <cell r="CH996" t="str">
            <v>MF19_BORD_AT_00022</v>
          </cell>
          <cell r="CI996" t="str">
            <v>AR</v>
          </cell>
          <cell r="CJ996" t="str">
            <v>FP</v>
          </cell>
        </row>
        <row r="997">
          <cell r="B997" t="str">
            <v>Ligne_232_PPD</v>
          </cell>
          <cell r="C997">
            <v>232</v>
          </cell>
          <cell r="E997" t="str">
            <v>Dossiers d'analyse produit</v>
          </cell>
          <cell r="G997" t="str">
            <v>LIVRABLE</v>
          </cell>
          <cell r="R997" t="str">
            <v>NA</v>
          </cell>
          <cell r="S997" t="str">
            <v>ABT</v>
          </cell>
          <cell r="T997" t="str">
            <v>NA</v>
          </cell>
          <cell r="U997" t="str">
            <v>NA</v>
          </cell>
          <cell r="AA997" t="str">
            <v>E</v>
          </cell>
          <cell r="AB997" t="str">
            <v>Projet</v>
          </cell>
          <cell r="AC997" t="str">
            <v>ESF</v>
          </cell>
          <cell r="AD997" t="str">
            <v>SM ET.4-10639</v>
          </cell>
          <cell r="AE997" t="str">
            <v>Spécification de management MF19</v>
          </cell>
          <cell r="AF997" t="str">
            <v>7.1</v>
          </cell>
          <cell r="AI997">
            <v>24</v>
          </cell>
          <cell r="AP997" t="str">
            <v>FD</v>
          </cell>
          <cell r="AU997" t="str">
            <v>Maj</v>
          </cell>
          <cell r="AW997" t="str">
            <v>Maj</v>
          </cell>
          <cell r="CH997" t="e">
            <v>#N/A</v>
          </cell>
          <cell r="CI997" t="e">
            <v>#N/A</v>
          </cell>
          <cell r="CJ997" t="e">
            <v>#N/A</v>
          </cell>
        </row>
        <row r="998">
          <cell r="B998" t="str">
            <v>Ligne_232.1_PPD</v>
          </cell>
          <cell r="C998" t="str">
            <v>232.1</v>
          </cell>
          <cell r="E998" t="str">
            <v>Dossiers d'analyse produit</v>
          </cell>
          <cell r="G998" t="str">
            <v>DJD FDS INFORMATIQUE DE SECURITE</v>
          </cell>
          <cell r="S998" t="str">
            <v>AT</v>
          </cell>
          <cell r="T998" t="str">
            <v>EX</v>
          </cell>
          <cell r="U998" t="str">
            <v>D.CHANAL</v>
          </cell>
          <cell r="AA998" t="str">
            <v>E</v>
          </cell>
          <cell r="AB998" t="str">
            <v>Projet</v>
          </cell>
          <cell r="AC998" t="str">
            <v>ESF</v>
          </cell>
          <cell r="AD998" t="str">
            <v>SM ET.4-10639</v>
          </cell>
          <cell r="AE998" t="str">
            <v>Spécification de management MF19</v>
          </cell>
          <cell r="AF998" t="str">
            <v>7.1</v>
          </cell>
          <cell r="AI998">
            <v>1</v>
          </cell>
          <cell r="AP998" t="str">
            <v>FD</v>
          </cell>
          <cell r="AU998" t="str">
            <v>Maj</v>
          </cell>
          <cell r="AW998" t="str">
            <v>Maj</v>
          </cell>
          <cell r="CH998" t="e">
            <v>#N/A</v>
          </cell>
          <cell r="CI998" t="e">
            <v>#N/A</v>
          </cell>
          <cell r="CJ998" t="e">
            <v>#N/A</v>
          </cell>
        </row>
        <row r="999">
          <cell r="B999" t="str">
            <v>Ligne_232.2_PPD</v>
          </cell>
          <cell r="C999" t="str">
            <v>232.2</v>
          </cell>
          <cell r="E999" t="str">
            <v>Dossiers d'analyse produit</v>
          </cell>
          <cell r="G999" t="str">
            <v>DJD FDS INFORMATIQUE DE CONFORT</v>
          </cell>
          <cell r="S999" t="str">
            <v>AT</v>
          </cell>
          <cell r="T999" t="str">
            <v>EX</v>
          </cell>
          <cell r="U999" t="str">
            <v>D.CHANAL</v>
          </cell>
          <cell r="AA999" t="str">
            <v>E</v>
          </cell>
          <cell r="AB999" t="str">
            <v>Projet</v>
          </cell>
          <cell r="AC999" t="str">
            <v>ESF</v>
          </cell>
          <cell r="AD999" t="str">
            <v>SM ET.4-10639</v>
          </cell>
          <cell r="AE999" t="str">
            <v>Spécification de management MF19</v>
          </cell>
          <cell r="AF999" t="str">
            <v>7.1</v>
          </cell>
          <cell r="AI999">
            <v>1</v>
          </cell>
          <cell r="AP999" t="str">
            <v>FD</v>
          </cell>
          <cell r="AU999" t="str">
            <v>Maj</v>
          </cell>
          <cell r="AW999" t="str">
            <v>Maj</v>
          </cell>
          <cell r="CH999" t="e">
            <v>#N/A</v>
          </cell>
          <cell r="CI999" t="e">
            <v>#N/A</v>
          </cell>
          <cell r="CJ999" t="e">
            <v>#N/A</v>
          </cell>
        </row>
        <row r="1000">
          <cell r="B1000" t="str">
            <v>Ligne_232.3_PPD</v>
          </cell>
          <cell r="C1000" t="str">
            <v>232.3</v>
          </cell>
          <cell r="E1000" t="str">
            <v>Dossiers d'analyse produit</v>
          </cell>
          <cell r="G1000" t="str">
            <v>DJD FDS TRACTION</v>
          </cell>
          <cell r="S1000" t="str">
            <v>AT</v>
          </cell>
          <cell r="T1000" t="str">
            <v>EX</v>
          </cell>
          <cell r="U1000" t="str">
            <v>D.CHANAL</v>
          </cell>
          <cell r="AA1000" t="str">
            <v>E</v>
          </cell>
          <cell r="AB1000" t="str">
            <v>Projet</v>
          </cell>
          <cell r="AC1000" t="str">
            <v>ESF</v>
          </cell>
          <cell r="AD1000" t="str">
            <v>SM ET.4-10639</v>
          </cell>
          <cell r="AE1000" t="str">
            <v>Spécification de management MF19</v>
          </cell>
          <cell r="AF1000" t="str">
            <v>7.1</v>
          </cell>
          <cell r="AI1000">
            <v>1</v>
          </cell>
          <cell r="AP1000" t="str">
            <v>FD</v>
          </cell>
          <cell r="AU1000" t="str">
            <v>Maj</v>
          </cell>
          <cell r="AW1000" t="str">
            <v>Maj</v>
          </cell>
          <cell r="CH1000" t="e">
            <v>#N/A</v>
          </cell>
          <cell r="CI1000" t="e">
            <v>#N/A</v>
          </cell>
          <cell r="CJ1000" t="e">
            <v>#N/A</v>
          </cell>
        </row>
        <row r="1001">
          <cell r="B1001" t="str">
            <v>Ligne_232.4_PPD</v>
          </cell>
          <cell r="C1001" t="str">
            <v>232.4</v>
          </cell>
          <cell r="E1001" t="str">
            <v>Dossiers d'analyse produit</v>
          </cell>
          <cell r="G1001" t="str">
            <v>DJD FDS CVS</v>
          </cell>
          <cell r="S1001" t="str">
            <v>AT</v>
          </cell>
          <cell r="T1001" t="str">
            <v>EX</v>
          </cell>
          <cell r="U1001" t="str">
            <v>D.CHANAL</v>
          </cell>
          <cell r="AA1001" t="str">
            <v>E</v>
          </cell>
          <cell r="AB1001" t="str">
            <v>Projet</v>
          </cell>
          <cell r="AC1001" t="str">
            <v>ESF</v>
          </cell>
          <cell r="AD1001" t="str">
            <v>SM ET.4-10639</v>
          </cell>
          <cell r="AE1001" t="str">
            <v>Spécification de management MF19</v>
          </cell>
          <cell r="AF1001" t="str">
            <v>7.1</v>
          </cell>
          <cell r="AI1001">
            <v>1</v>
          </cell>
          <cell r="AP1001" t="str">
            <v>FD</v>
          </cell>
          <cell r="AU1001" t="str">
            <v>Maj</v>
          </cell>
          <cell r="AW1001" t="str">
            <v>Maj</v>
          </cell>
          <cell r="CH1001" t="e">
            <v>#N/A</v>
          </cell>
          <cell r="CI1001" t="e">
            <v>#N/A</v>
          </cell>
          <cell r="CJ1001" t="e">
            <v>#N/A</v>
          </cell>
        </row>
        <row r="1002">
          <cell r="B1002" t="str">
            <v>Ligne_232.5_PPD</v>
          </cell>
          <cell r="C1002" t="str">
            <v>232.5</v>
          </cell>
          <cell r="E1002" t="str">
            <v>Dossiers d'analyse produit</v>
          </cell>
          <cell r="G1002" t="str">
            <v>DJD FDS BATTERIE</v>
          </cell>
          <cell r="S1002" t="str">
            <v>AT</v>
          </cell>
          <cell r="T1002" t="str">
            <v>?</v>
          </cell>
          <cell r="U1002" t="str">
            <v>D.CHANAL</v>
          </cell>
          <cell r="AA1002" t="str">
            <v>E</v>
          </cell>
          <cell r="AB1002" t="str">
            <v>Projet</v>
          </cell>
          <cell r="AC1002" t="str">
            <v>ESF</v>
          </cell>
          <cell r="AD1002" t="str">
            <v>SM ET.4-10639</v>
          </cell>
          <cell r="AE1002" t="str">
            <v>Spécification de management MF19</v>
          </cell>
          <cell r="AF1002" t="str">
            <v>7.1</v>
          </cell>
          <cell r="AI1002">
            <v>1</v>
          </cell>
          <cell r="AP1002" t="str">
            <v>FD</v>
          </cell>
          <cell r="AU1002" t="str">
            <v>Maj</v>
          </cell>
          <cell r="AW1002" t="str">
            <v>Maj</v>
          </cell>
          <cell r="CH1002" t="e">
            <v>#N/A</v>
          </cell>
          <cell r="CI1002" t="e">
            <v>#N/A</v>
          </cell>
          <cell r="CJ1002" t="e">
            <v>#N/A</v>
          </cell>
        </row>
        <row r="1003">
          <cell r="B1003" t="str">
            <v>Ligne_232.6_PPD</v>
          </cell>
          <cell r="C1003" t="str">
            <v>232.6</v>
          </cell>
          <cell r="E1003" t="str">
            <v>Dossiers d'analyse produit</v>
          </cell>
          <cell r="G1003" t="str">
            <v>DJD FDS FREIN</v>
          </cell>
          <cell r="S1003" t="str">
            <v>AT</v>
          </cell>
          <cell r="T1003" t="str">
            <v>?</v>
          </cell>
          <cell r="U1003" t="str">
            <v>D.CHANAL</v>
          </cell>
          <cell r="AA1003" t="str">
            <v>E</v>
          </cell>
          <cell r="AB1003" t="str">
            <v>Projet</v>
          </cell>
          <cell r="AC1003" t="str">
            <v>ESF</v>
          </cell>
          <cell r="AD1003" t="str">
            <v>SM ET.4-10639</v>
          </cell>
          <cell r="AE1003" t="str">
            <v>Spécification de management MF19</v>
          </cell>
          <cell r="AF1003" t="str">
            <v>7.1</v>
          </cell>
          <cell r="AI1003">
            <v>1</v>
          </cell>
          <cell r="AP1003" t="str">
            <v>FD</v>
          </cell>
          <cell r="AU1003" t="str">
            <v>Maj</v>
          </cell>
          <cell r="AW1003" t="str">
            <v>Maj</v>
          </cell>
          <cell r="CH1003" t="e">
            <v>#N/A</v>
          </cell>
          <cell r="CI1003" t="e">
            <v>#N/A</v>
          </cell>
          <cell r="CJ1003" t="e">
            <v>#N/A</v>
          </cell>
        </row>
        <row r="1004">
          <cell r="B1004" t="str">
            <v>Ligne_232.7_PPD</v>
          </cell>
          <cell r="C1004" t="str">
            <v>232.7</v>
          </cell>
          <cell r="E1004" t="str">
            <v>Dossiers d'analyse produit</v>
          </cell>
          <cell r="G1004" t="str">
            <v>DJD FDS PRODUCTION D’AIR</v>
          </cell>
          <cell r="S1004" t="str">
            <v>AT</v>
          </cell>
          <cell r="T1004" t="str">
            <v>?</v>
          </cell>
          <cell r="U1004" t="str">
            <v>D.CHANAL</v>
          </cell>
          <cell r="AA1004" t="str">
            <v>E</v>
          </cell>
          <cell r="AB1004" t="str">
            <v>Projet</v>
          </cell>
          <cell r="AC1004" t="str">
            <v>ESF</v>
          </cell>
          <cell r="AD1004" t="str">
            <v>SM ET.4-10639</v>
          </cell>
          <cell r="AE1004" t="str">
            <v>Spécification de management MF19</v>
          </cell>
          <cell r="AF1004" t="str">
            <v>7.1</v>
          </cell>
          <cell r="AI1004">
            <v>1</v>
          </cell>
          <cell r="AP1004" t="str">
            <v>FD</v>
          </cell>
          <cell r="AU1004" t="str">
            <v>Maj</v>
          </cell>
          <cell r="AW1004" t="str">
            <v>Maj</v>
          </cell>
          <cell r="CH1004" t="e">
            <v>#N/A</v>
          </cell>
          <cell r="CI1004" t="e">
            <v>#N/A</v>
          </cell>
          <cell r="CJ1004" t="e">
            <v>#N/A</v>
          </cell>
        </row>
        <row r="1005">
          <cell r="B1005" t="str">
            <v>Ligne_232.8_PPD</v>
          </cell>
          <cell r="C1005" t="str">
            <v>232.8</v>
          </cell>
          <cell r="E1005" t="str">
            <v>Dossiers d'analyse produit</v>
          </cell>
          <cell r="G1005" t="str">
            <v>DJD FDS COFFRE BT-PA</v>
          </cell>
          <cell r="S1005" t="str">
            <v>AT</v>
          </cell>
          <cell r="T1005" t="str">
            <v>EX</v>
          </cell>
          <cell r="U1005" t="str">
            <v>D.CHANAL</v>
          </cell>
          <cell r="AA1005" t="str">
            <v>E</v>
          </cell>
          <cell r="AB1005" t="str">
            <v>Projet</v>
          </cell>
          <cell r="AC1005" t="str">
            <v>ESF</v>
          </cell>
          <cell r="AD1005" t="str">
            <v>SM ET.4-10639</v>
          </cell>
          <cell r="AE1005" t="str">
            <v>Spécification de management MF19</v>
          </cell>
          <cell r="AF1005" t="str">
            <v>7.1</v>
          </cell>
          <cell r="AI1005">
            <v>1</v>
          </cell>
          <cell r="AP1005" t="str">
            <v>FD</v>
          </cell>
          <cell r="AU1005" t="str">
            <v>Maj</v>
          </cell>
          <cell r="AW1005" t="str">
            <v>Maj</v>
          </cell>
          <cell r="CH1005" t="e">
            <v>#N/A</v>
          </cell>
          <cell r="CI1005" t="e">
            <v>#N/A</v>
          </cell>
          <cell r="CJ1005" t="e">
            <v>#N/A</v>
          </cell>
        </row>
        <row r="1006">
          <cell r="B1006" t="str">
            <v>Ligne_232.9_PPD</v>
          </cell>
          <cell r="C1006" t="str">
            <v>232.9</v>
          </cell>
          <cell r="E1006" t="str">
            <v>Dossiers d'analyse produit</v>
          </cell>
          <cell r="G1006" t="str">
            <v>DJD FDS MANIPULATEUR DE CONDUITE</v>
          </cell>
          <cell r="S1006" t="str">
            <v>AT</v>
          </cell>
          <cell r="T1006" t="str">
            <v>?</v>
          </cell>
          <cell r="U1006" t="str">
            <v>D.CHANAL</v>
          </cell>
          <cell r="AA1006" t="str">
            <v>E</v>
          </cell>
          <cell r="AB1006" t="str">
            <v>Projet</v>
          </cell>
          <cell r="AC1006" t="str">
            <v>ESF</v>
          </cell>
          <cell r="AD1006" t="str">
            <v>SM ET.4-10639</v>
          </cell>
          <cell r="AE1006" t="str">
            <v>Spécification de management MF19</v>
          </cell>
          <cell r="AF1006" t="str">
            <v>7.1</v>
          </cell>
          <cell r="AI1006">
            <v>1</v>
          </cell>
          <cell r="AP1006" t="str">
            <v>FD</v>
          </cell>
          <cell r="AU1006" t="str">
            <v>Maj</v>
          </cell>
          <cell r="AW1006" t="str">
            <v>Maj</v>
          </cell>
          <cell r="CH1006" t="e">
            <v>#N/A</v>
          </cell>
          <cell r="CI1006" t="e">
            <v>#N/A</v>
          </cell>
          <cell r="CJ1006" t="e">
            <v>#N/A</v>
          </cell>
        </row>
        <row r="1007">
          <cell r="B1007" t="str">
            <v>Ligne_232.10_PPD</v>
          </cell>
          <cell r="C1007" t="str">
            <v>232.10</v>
          </cell>
          <cell r="E1007" t="str">
            <v>Dossiers d'analyse produit</v>
          </cell>
          <cell r="G1007" t="str">
            <v>DJD FDS PORTE ACCES VOYAGEURS</v>
          </cell>
          <cell r="S1007" t="str">
            <v>AT</v>
          </cell>
          <cell r="T1007" t="str">
            <v>?</v>
          </cell>
          <cell r="U1007" t="str">
            <v>D.CHANAL</v>
          </cell>
          <cell r="AA1007" t="str">
            <v>E</v>
          </cell>
          <cell r="AB1007" t="str">
            <v>Projet</v>
          </cell>
          <cell r="AC1007" t="str">
            <v>ESF</v>
          </cell>
          <cell r="AD1007" t="str">
            <v>SM ET.4-10639</v>
          </cell>
          <cell r="AE1007" t="str">
            <v>Spécification de management MF19</v>
          </cell>
          <cell r="AF1007" t="str">
            <v>7.1</v>
          </cell>
          <cell r="AI1007">
            <v>1</v>
          </cell>
          <cell r="AP1007" t="str">
            <v>FD</v>
          </cell>
          <cell r="AU1007" t="str">
            <v>Maj</v>
          </cell>
          <cell r="AW1007" t="str">
            <v>Maj</v>
          </cell>
          <cell r="CH1007" t="e">
            <v>#N/A</v>
          </cell>
          <cell r="CI1007" t="e">
            <v>#N/A</v>
          </cell>
          <cell r="CJ1007" t="e">
            <v>#N/A</v>
          </cell>
        </row>
        <row r="1008">
          <cell r="B1008" t="str">
            <v>Ligne_232.11_PPD</v>
          </cell>
          <cell r="C1008" t="str">
            <v>232.11</v>
          </cell>
          <cell r="E1008" t="str">
            <v>Dossiers d'analyse produit</v>
          </cell>
          <cell r="G1008" t="str">
            <v>DJD FDS PAPIS</v>
          </cell>
          <cell r="S1008" t="str">
            <v>AT</v>
          </cell>
          <cell r="T1008" t="str">
            <v>EX</v>
          </cell>
          <cell r="U1008" t="str">
            <v>D.CHANAL</v>
          </cell>
          <cell r="AA1008" t="str">
            <v>E</v>
          </cell>
          <cell r="AB1008" t="str">
            <v>Projet</v>
          </cell>
          <cell r="AC1008" t="str">
            <v>ESF</v>
          </cell>
          <cell r="AD1008" t="str">
            <v>SM ET.4-10639</v>
          </cell>
          <cell r="AE1008" t="str">
            <v>Spécification de management MF19</v>
          </cell>
          <cell r="AF1008" t="str">
            <v>7.1</v>
          </cell>
          <cell r="AI1008">
            <v>1</v>
          </cell>
          <cell r="AP1008" t="str">
            <v>FD</v>
          </cell>
          <cell r="AU1008" t="str">
            <v>Maj</v>
          </cell>
          <cell r="AW1008" t="str">
            <v>Maj</v>
          </cell>
          <cell r="CH1008" t="e">
            <v>#N/A</v>
          </cell>
          <cell r="CI1008" t="e">
            <v>#N/A</v>
          </cell>
          <cell r="CJ1008" t="e">
            <v>#N/A</v>
          </cell>
        </row>
        <row r="1009">
          <cell r="B1009" t="str">
            <v>Ligne_232.12_PPD</v>
          </cell>
          <cell r="C1009" t="str">
            <v>232.12</v>
          </cell>
          <cell r="E1009" t="str">
            <v>Dossiers d'analyse produit</v>
          </cell>
          <cell r="G1009" t="str">
            <v>DJD FDS CCTV</v>
          </cell>
          <cell r="S1009" t="str">
            <v>AT</v>
          </cell>
          <cell r="T1009" t="str">
            <v>EX</v>
          </cell>
          <cell r="U1009" t="str">
            <v>D.CHANAL</v>
          </cell>
          <cell r="AA1009" t="str">
            <v>E</v>
          </cell>
          <cell r="AB1009" t="str">
            <v>Projet</v>
          </cell>
          <cell r="AC1009" t="str">
            <v>ESF</v>
          </cell>
          <cell r="AD1009" t="str">
            <v>SM ET.4-10639</v>
          </cell>
          <cell r="AE1009" t="str">
            <v>Spécification de management MF19</v>
          </cell>
          <cell r="AF1009" t="str">
            <v>7.1</v>
          </cell>
          <cell r="AI1009">
            <v>1</v>
          </cell>
          <cell r="AP1009" t="str">
            <v>FD</v>
          </cell>
          <cell r="AU1009" t="str">
            <v>Maj</v>
          </cell>
          <cell r="AW1009" t="str">
            <v>Maj</v>
          </cell>
          <cell r="CH1009" t="e">
            <v>#N/A</v>
          </cell>
          <cell r="CI1009" t="e">
            <v>#N/A</v>
          </cell>
          <cell r="CJ1009" t="e">
            <v>#N/A</v>
          </cell>
        </row>
        <row r="1010">
          <cell r="B1010" t="str">
            <v>Ligne_232.13_PPD</v>
          </cell>
          <cell r="C1010" t="str">
            <v>232.13</v>
          </cell>
          <cell r="E1010" t="str">
            <v>Dossiers d'analyse produit</v>
          </cell>
          <cell r="G1010" t="str">
            <v>DJD FDS PORTE ACCES CABINE</v>
          </cell>
          <cell r="R1010" t="str">
            <v>BT</v>
          </cell>
          <cell r="S1010" t="str">
            <v>BT</v>
          </cell>
          <cell r="T1010" t="str">
            <v>AT</v>
          </cell>
          <cell r="U1010" t="str">
            <v>D.CHANAL</v>
          </cell>
          <cell r="AA1010" t="str">
            <v>E</v>
          </cell>
          <cell r="AB1010" t="str">
            <v>Projet</v>
          </cell>
          <cell r="AC1010" t="str">
            <v>ESF</v>
          </cell>
          <cell r="AD1010" t="str">
            <v>SM ET.4-10639</v>
          </cell>
          <cell r="AE1010" t="str">
            <v>Spécification de management MF19</v>
          </cell>
          <cell r="AF1010" t="str">
            <v>7.1</v>
          </cell>
          <cell r="AI1010">
            <v>1</v>
          </cell>
          <cell r="AP1010" t="str">
            <v>FD</v>
          </cell>
          <cell r="AU1010" t="str">
            <v>Maj</v>
          </cell>
          <cell r="AW1010" t="str">
            <v>Maj</v>
          </cell>
          <cell r="CH1010" t="e">
            <v>#N/A</v>
          </cell>
          <cell r="CI1010" t="e">
            <v>#N/A</v>
          </cell>
          <cell r="CJ1010" t="e">
            <v>#N/A</v>
          </cell>
        </row>
        <row r="1011">
          <cell r="B1011" t="str">
            <v>Ligne_232.14_PPD</v>
          </cell>
          <cell r="C1011" t="str">
            <v>232.14</v>
          </cell>
          <cell r="E1011" t="str">
            <v>Dossiers d'analyse produit</v>
          </cell>
          <cell r="G1011" t="str">
            <v>DJD FDS CROCHETS DE HALAGE ET 1/2 BARRE D'ATTELAGE</v>
          </cell>
          <cell r="R1011" t="str">
            <v>BT</v>
          </cell>
          <cell r="S1011" t="str">
            <v>BT</v>
          </cell>
          <cell r="T1011" t="str">
            <v>AT</v>
          </cell>
          <cell r="U1011" t="str">
            <v>D.CHANAL</v>
          </cell>
          <cell r="AA1011" t="str">
            <v>E</v>
          </cell>
          <cell r="AB1011" t="str">
            <v>Projet</v>
          </cell>
          <cell r="AC1011" t="str">
            <v>ESF</v>
          </cell>
          <cell r="AD1011" t="str">
            <v>SM ET.4-10639</v>
          </cell>
          <cell r="AE1011" t="str">
            <v>Spécification de management MF19</v>
          </cell>
          <cell r="AF1011" t="str">
            <v>7.1</v>
          </cell>
          <cell r="AI1011">
            <v>1</v>
          </cell>
          <cell r="AP1011" t="str">
            <v>FD</v>
          </cell>
          <cell r="AU1011" t="str">
            <v>Maj</v>
          </cell>
          <cell r="AW1011" t="str">
            <v>Maj</v>
          </cell>
          <cell r="CH1011" t="e">
            <v>#N/A</v>
          </cell>
          <cell r="CI1011" t="e">
            <v>#N/A</v>
          </cell>
          <cell r="CJ1011" t="e">
            <v>#N/A</v>
          </cell>
        </row>
        <row r="1012">
          <cell r="B1012" t="str">
            <v>Ligne_232.15_PPD</v>
          </cell>
          <cell r="C1012" t="str">
            <v>232.15</v>
          </cell>
          <cell r="E1012" t="str">
            <v>Dossiers d'analyse produit</v>
          </cell>
          <cell r="G1012" t="str">
            <v>DJD FDS PHARES/FANAUX</v>
          </cell>
          <cell r="R1012" t="str">
            <v>BT</v>
          </cell>
          <cell r="S1012" t="str">
            <v>BT</v>
          </cell>
          <cell r="T1012" t="str">
            <v>AT</v>
          </cell>
          <cell r="U1012" t="str">
            <v>D.CHANAL</v>
          </cell>
          <cell r="AA1012" t="str">
            <v>E</v>
          </cell>
          <cell r="AB1012" t="str">
            <v>Projet</v>
          </cell>
          <cell r="AC1012" t="str">
            <v>ESF</v>
          </cell>
          <cell r="AD1012" t="str">
            <v>SM ET.4-10639</v>
          </cell>
          <cell r="AE1012" t="str">
            <v>Spécification de management MF19</v>
          </cell>
          <cell r="AF1012" t="str">
            <v>7.1</v>
          </cell>
          <cell r="AI1012">
            <v>1</v>
          </cell>
          <cell r="AP1012" t="str">
            <v>FD</v>
          </cell>
          <cell r="AU1012" t="str">
            <v>Maj</v>
          </cell>
          <cell r="AW1012" t="str">
            <v>Maj</v>
          </cell>
          <cell r="CH1012" t="e">
            <v>#N/A</v>
          </cell>
          <cell r="CI1012" t="e">
            <v>#N/A</v>
          </cell>
          <cell r="CJ1012" t="e">
            <v>#N/A</v>
          </cell>
        </row>
        <row r="1013">
          <cell r="B1013" t="str">
            <v>Ligne_232.16_PPD</v>
          </cell>
          <cell r="C1013" t="str">
            <v>232.16</v>
          </cell>
          <cell r="E1013" t="str">
            <v>Dossiers d'analyse produit</v>
          </cell>
          <cell r="G1013" t="str">
            <v>DJD FDS INTERCIRCULATION</v>
          </cell>
          <cell r="R1013" t="str">
            <v>BT</v>
          </cell>
          <cell r="S1013" t="str">
            <v>BT</v>
          </cell>
          <cell r="T1013" t="str">
            <v>AT</v>
          </cell>
          <cell r="U1013" t="str">
            <v>D.CHANAL</v>
          </cell>
          <cell r="AA1013" t="str">
            <v>E</v>
          </cell>
          <cell r="AB1013" t="str">
            <v>Projet</v>
          </cell>
          <cell r="AC1013" t="str">
            <v>ESF</v>
          </cell>
          <cell r="AD1013" t="str">
            <v>SM ET.4-10639</v>
          </cell>
          <cell r="AE1013" t="str">
            <v>Spécification de management MF19</v>
          </cell>
          <cell r="AF1013" t="str">
            <v>7.1</v>
          </cell>
          <cell r="AI1013">
            <v>1</v>
          </cell>
          <cell r="AP1013" t="str">
            <v>FD</v>
          </cell>
          <cell r="AU1013" t="str">
            <v>Maj</v>
          </cell>
          <cell r="AW1013" t="str">
            <v>Maj</v>
          </cell>
          <cell r="CH1013" t="e">
            <v>#N/A</v>
          </cell>
          <cell r="CI1013" t="e">
            <v>#N/A</v>
          </cell>
          <cell r="CJ1013" t="e">
            <v>#N/A</v>
          </cell>
        </row>
        <row r="1014">
          <cell r="B1014" t="str">
            <v>Ligne_232.17_PPD</v>
          </cell>
          <cell r="C1014" t="str">
            <v>232.17</v>
          </cell>
          <cell r="E1014" t="str">
            <v>Dossiers d'analyse produit</v>
          </cell>
          <cell r="G1014" t="str">
            <v>DJD FDS PARE-BRISE, BAIES ET ESSUIE-VITRE</v>
          </cell>
          <cell r="R1014" t="str">
            <v>BT</v>
          </cell>
          <cell r="S1014" t="str">
            <v>BT</v>
          </cell>
          <cell r="T1014" t="str">
            <v>AT</v>
          </cell>
          <cell r="U1014" t="str">
            <v>D.CHANAL</v>
          </cell>
          <cell r="AA1014" t="str">
            <v>E</v>
          </cell>
          <cell r="AB1014" t="str">
            <v>Projet</v>
          </cell>
          <cell r="AC1014" t="str">
            <v>ESF</v>
          </cell>
          <cell r="AD1014" t="str">
            <v>SM ET.4-10639</v>
          </cell>
          <cell r="AE1014" t="str">
            <v>Spécification de management MF19</v>
          </cell>
          <cell r="AF1014" t="str">
            <v>7.1</v>
          </cell>
          <cell r="AI1014">
            <v>1</v>
          </cell>
          <cell r="AP1014" t="str">
            <v>FD</v>
          </cell>
          <cell r="AU1014" t="str">
            <v>Maj</v>
          </cell>
          <cell r="AW1014" t="str">
            <v>Maj</v>
          </cell>
          <cell r="CH1014" t="e">
            <v>#N/A</v>
          </cell>
          <cell r="CI1014" t="e">
            <v>#N/A</v>
          </cell>
          <cell r="CJ1014" t="e">
            <v>#N/A</v>
          </cell>
        </row>
        <row r="1015">
          <cell r="B1015" t="str">
            <v>Ligne_232.18_PPD</v>
          </cell>
          <cell r="C1015" t="str">
            <v>232.18</v>
          </cell>
          <cell r="E1015" t="str">
            <v>Dossiers d'analyse produit</v>
          </cell>
          <cell r="G1015" t="str">
            <v>DJD FDS VENTILATION REFRIGEREE VOYAGEUR</v>
          </cell>
          <cell r="R1015" t="str">
            <v>BT</v>
          </cell>
          <cell r="S1015" t="str">
            <v>BT</v>
          </cell>
          <cell r="T1015" t="str">
            <v>AT</v>
          </cell>
          <cell r="U1015" t="str">
            <v>D.CHANAL</v>
          </cell>
          <cell r="AA1015" t="str">
            <v>E</v>
          </cell>
          <cell r="AB1015" t="str">
            <v>Projet</v>
          </cell>
          <cell r="AC1015" t="str">
            <v>ESF</v>
          </cell>
          <cell r="AD1015" t="str">
            <v>SM ET.4-10639</v>
          </cell>
          <cell r="AE1015" t="str">
            <v>Spécification de management MF19</v>
          </cell>
          <cell r="AF1015" t="str">
            <v>7.1</v>
          </cell>
          <cell r="AI1015">
            <v>1</v>
          </cell>
          <cell r="AP1015" t="str">
            <v>FD</v>
          </cell>
          <cell r="AU1015" t="str">
            <v>Maj</v>
          </cell>
          <cell r="AW1015" t="str">
            <v>Maj</v>
          </cell>
          <cell r="CH1015" t="e">
            <v>#N/A</v>
          </cell>
          <cell r="CI1015" t="e">
            <v>#N/A</v>
          </cell>
          <cell r="CJ1015" t="e">
            <v>#N/A</v>
          </cell>
        </row>
        <row r="1016">
          <cell r="B1016" t="str">
            <v>Ligne_232.19_PPD</v>
          </cell>
          <cell r="C1016" t="str">
            <v>232.19</v>
          </cell>
          <cell r="E1016" t="str">
            <v>Dossiers d'analyse produit</v>
          </cell>
          <cell r="G1016" t="str">
            <v>DJD FDS VENTILATION REFRIGEREE CABINE DE CONDUITE</v>
          </cell>
          <cell r="R1016" t="str">
            <v>BT</v>
          </cell>
          <cell r="S1016" t="str">
            <v>BT</v>
          </cell>
          <cell r="T1016" t="str">
            <v>AT</v>
          </cell>
          <cell r="U1016" t="str">
            <v>D.CHANAL</v>
          </cell>
          <cell r="AA1016" t="str">
            <v>E</v>
          </cell>
          <cell r="AB1016" t="str">
            <v>Projet</v>
          </cell>
          <cell r="AC1016" t="str">
            <v>ESF</v>
          </cell>
          <cell r="AD1016" t="str">
            <v>SM ET.4-10639</v>
          </cell>
          <cell r="AE1016" t="str">
            <v>Spécification de management MF19</v>
          </cell>
          <cell r="AF1016" t="str">
            <v>7.1</v>
          </cell>
          <cell r="AI1016">
            <v>1</v>
          </cell>
          <cell r="AP1016" t="str">
            <v>FD</v>
          </cell>
          <cell r="AU1016" t="str">
            <v>Maj</v>
          </cell>
          <cell r="AW1016" t="str">
            <v>Maj</v>
          </cell>
          <cell r="CH1016" t="e">
            <v>#N/A</v>
          </cell>
          <cell r="CI1016" t="e">
            <v>#N/A</v>
          </cell>
          <cell r="CJ1016" t="e">
            <v>#N/A</v>
          </cell>
        </row>
        <row r="1017">
          <cell r="B1017" t="str">
            <v>Ligne_232.20_PPD</v>
          </cell>
          <cell r="C1017" t="str">
            <v>232.20</v>
          </cell>
          <cell r="E1017" t="str">
            <v>Dossiers d'analyse produit</v>
          </cell>
          <cell r="G1017" t="str">
            <v>DJD-FDS BOGIES</v>
          </cell>
          <cell r="R1017" t="str">
            <v>BT</v>
          </cell>
          <cell r="S1017" t="str">
            <v>BT</v>
          </cell>
          <cell r="T1017" t="str">
            <v>EX</v>
          </cell>
          <cell r="U1017" t="str">
            <v>D.CHANAL</v>
          </cell>
          <cell r="AA1017" t="str">
            <v>E</v>
          </cell>
          <cell r="AB1017" t="str">
            <v>Projet</v>
          </cell>
          <cell r="AC1017" t="str">
            <v>ESF</v>
          </cell>
          <cell r="AD1017" t="str">
            <v>SM ET.4-10639</v>
          </cell>
          <cell r="AE1017" t="str">
            <v>Spécification de management MF19</v>
          </cell>
          <cell r="AF1017" t="str">
            <v>7.1</v>
          </cell>
          <cell r="AI1017">
            <v>1</v>
          </cell>
          <cell r="AP1017" t="str">
            <v>FD</v>
          </cell>
          <cell r="AU1017" t="str">
            <v>Maj</v>
          </cell>
          <cell r="AW1017" t="str">
            <v>Maj</v>
          </cell>
          <cell r="CH1017" t="e">
            <v>#N/A</v>
          </cell>
          <cell r="CI1017" t="e">
            <v>#N/A</v>
          </cell>
          <cell r="CJ1017" t="e">
            <v>#N/A</v>
          </cell>
        </row>
        <row r="1018">
          <cell r="B1018" t="str">
            <v>Ligne_232.21_PPD</v>
          </cell>
          <cell r="C1018" t="str">
            <v>232.21</v>
          </cell>
          <cell r="E1018" t="str">
            <v>Dossiers d'analyse produit</v>
          </cell>
          <cell r="G1018" t="str">
            <v>DJD-FDS SABLAGE</v>
          </cell>
          <cell r="R1018" t="str">
            <v>BT</v>
          </cell>
          <cell r="S1018" t="str">
            <v>BT</v>
          </cell>
          <cell r="T1018" t="str">
            <v>EX</v>
          </cell>
          <cell r="U1018" t="str">
            <v>D.CHANAL</v>
          </cell>
          <cell r="AA1018" t="str">
            <v>E</v>
          </cell>
          <cell r="AB1018" t="str">
            <v>Projet</v>
          </cell>
          <cell r="AC1018" t="str">
            <v>ESF</v>
          </cell>
          <cell r="AD1018" t="str">
            <v>SM ET.4-10639</v>
          </cell>
          <cell r="AE1018" t="str">
            <v>Spécification de management MF19</v>
          </cell>
          <cell r="AF1018" t="str">
            <v>7.1</v>
          </cell>
          <cell r="AI1018">
            <v>1</v>
          </cell>
          <cell r="AP1018" t="str">
            <v>FD</v>
          </cell>
          <cell r="AU1018" t="str">
            <v>Maj</v>
          </cell>
          <cell r="AW1018" t="str">
            <v>Maj</v>
          </cell>
          <cell r="CH1018" t="e">
            <v>#N/A</v>
          </cell>
          <cell r="CI1018" t="e">
            <v>#N/A</v>
          </cell>
          <cell r="CJ1018" t="e">
            <v>#N/A</v>
          </cell>
        </row>
        <row r="1019">
          <cell r="B1019" t="str">
            <v>Ligne_232.22_PPD</v>
          </cell>
          <cell r="C1019" t="str">
            <v>232.22</v>
          </cell>
          <cell r="E1019" t="str">
            <v>Dossiers d'analyse produit</v>
          </cell>
          <cell r="G1019" t="str">
            <v>DJD-FDS GRAISSAGE</v>
          </cell>
          <cell r="R1019" t="str">
            <v>BT</v>
          </cell>
          <cell r="S1019" t="str">
            <v>BT</v>
          </cell>
          <cell r="T1019" t="str">
            <v>EX</v>
          </cell>
          <cell r="U1019" t="str">
            <v>D.CHANAL</v>
          </cell>
          <cell r="AA1019" t="str">
            <v>E</v>
          </cell>
          <cell r="AB1019" t="str">
            <v>Projet</v>
          </cell>
          <cell r="AC1019" t="str">
            <v>ESF</v>
          </cell>
          <cell r="AD1019" t="str">
            <v>SM ET.4-10639</v>
          </cell>
          <cell r="AE1019" t="str">
            <v>Spécification de management MF19</v>
          </cell>
          <cell r="AF1019" t="str">
            <v>7.1</v>
          </cell>
          <cell r="AI1019">
            <v>1</v>
          </cell>
          <cell r="AP1019" t="str">
            <v>FD</v>
          </cell>
          <cell r="AU1019" t="str">
            <v>Maj</v>
          </cell>
          <cell r="AW1019" t="str">
            <v>Maj</v>
          </cell>
          <cell r="CH1019" t="e">
            <v>#N/A</v>
          </cell>
          <cell r="CI1019" t="e">
            <v>#N/A</v>
          </cell>
          <cell r="CJ1019" t="e">
            <v>#N/A</v>
          </cell>
        </row>
        <row r="1020">
          <cell r="B1020" t="str">
            <v>Ligne_232.23_PPD</v>
          </cell>
          <cell r="C1020" t="str">
            <v>232.23</v>
          </cell>
          <cell r="E1020" t="str">
            <v>Dossiers d'analyse produit</v>
          </cell>
          <cell r="G1020" t="str">
            <v>DJD-FDS AVERTISSEUR SONORE</v>
          </cell>
          <cell r="S1020" t="str">
            <v>AT</v>
          </cell>
          <cell r="T1020" t="str">
            <v>?</v>
          </cell>
          <cell r="U1020" t="str">
            <v>D.CHANAL</v>
          </cell>
          <cell r="AA1020" t="str">
            <v>E</v>
          </cell>
          <cell r="AB1020" t="str">
            <v>Projet</v>
          </cell>
          <cell r="AC1020" t="str">
            <v>ESF</v>
          </cell>
          <cell r="AD1020" t="str">
            <v>SM ET.4-10639</v>
          </cell>
          <cell r="AE1020" t="str">
            <v>Spécification de management MF19</v>
          </cell>
          <cell r="AF1020" t="str">
            <v>7.1</v>
          </cell>
          <cell r="AI1020">
            <v>1</v>
          </cell>
          <cell r="AP1020" t="str">
            <v>FD</v>
          </cell>
          <cell r="AU1020" t="str">
            <v>Maj</v>
          </cell>
          <cell r="AW1020" t="str">
            <v>Maj</v>
          </cell>
          <cell r="CH1020" t="e">
            <v>#N/A</v>
          </cell>
          <cell r="CI1020" t="e">
            <v>#N/A</v>
          </cell>
          <cell r="CJ1020" t="e">
            <v>#N/A</v>
          </cell>
        </row>
        <row r="1021">
          <cell r="B1021" t="str">
            <v>Ligne_232.24_PPD</v>
          </cell>
          <cell r="C1021" t="str">
            <v>232.24</v>
          </cell>
          <cell r="E1021" t="str">
            <v>Dossiers d'analyse produit</v>
          </cell>
          <cell r="G1021" t="str">
            <v>LISTE DES PRODUITS CRITIQUES DE SECURITE</v>
          </cell>
          <cell r="S1021" t="str">
            <v>AT</v>
          </cell>
          <cell r="T1021" t="str">
            <v>BT</v>
          </cell>
          <cell r="U1021" t="str">
            <v>D.CHANAL</v>
          </cell>
          <cell r="AA1021" t="str">
            <v>E</v>
          </cell>
          <cell r="AB1021" t="str">
            <v>Projet</v>
          </cell>
          <cell r="AC1021" t="str">
            <v>ESF</v>
          </cell>
          <cell r="AD1021" t="str">
            <v>SM ET.4-10639</v>
          </cell>
          <cell r="AE1021" t="str">
            <v>Spécification de management MF19</v>
          </cell>
          <cell r="AF1021" t="str">
            <v>7.1</v>
          </cell>
          <cell r="AI1021">
            <v>1</v>
          </cell>
          <cell r="AP1021" t="str">
            <v>FD</v>
          </cell>
          <cell r="AU1021" t="str">
            <v>Maj</v>
          </cell>
          <cell r="AW1021" t="str">
            <v>Maj</v>
          </cell>
          <cell r="CH1021" t="e">
            <v>#N/A</v>
          </cell>
          <cell r="CI1021" t="e">
            <v>#N/A</v>
          </cell>
          <cell r="CJ1021" t="e">
            <v>#N/A</v>
          </cell>
        </row>
        <row r="1022">
          <cell r="B1022" t="str">
            <v>Ligne_233_PPD</v>
          </cell>
          <cell r="C1022">
            <v>233</v>
          </cell>
          <cell r="E1022" t="str">
            <v>Dossiers d'analyse sur Evénements Redoutés de Sécurité</v>
          </cell>
          <cell r="G1022" t="str">
            <v>LIVRABLE</v>
          </cell>
          <cell r="R1022" t="str">
            <v>NA</v>
          </cell>
          <cell r="S1022" t="str">
            <v>ABT</v>
          </cell>
          <cell r="T1022" t="str">
            <v>NA</v>
          </cell>
          <cell r="U1022" t="str">
            <v>D.CHANAL</v>
          </cell>
          <cell r="AA1022" t="str">
            <v>E</v>
          </cell>
          <cell r="AB1022" t="str">
            <v>Projet</v>
          </cell>
          <cell r="AC1022" t="str">
            <v>ESF</v>
          </cell>
          <cell r="AD1022" t="str">
            <v>SM ET.4-10639</v>
          </cell>
          <cell r="AE1022" t="str">
            <v>Spécification de management MF19</v>
          </cell>
          <cell r="AF1022" t="str">
            <v>7.3.7</v>
          </cell>
          <cell r="AI1022">
            <v>35</v>
          </cell>
          <cell r="AP1022" t="str">
            <v>FD</v>
          </cell>
          <cell r="AU1022" t="str">
            <v>Maj</v>
          </cell>
          <cell r="AW1022" t="str">
            <v>Maj</v>
          </cell>
          <cell r="CH1022" t="e">
            <v>#N/A</v>
          </cell>
          <cell r="CI1022" t="e">
            <v>#N/A</v>
          </cell>
          <cell r="CJ1022" t="e">
            <v>#N/A</v>
          </cell>
        </row>
        <row r="1023">
          <cell r="B1023" t="str">
            <v>Ligne_233.1_PPD</v>
          </cell>
          <cell r="C1023" t="str">
            <v>233.1</v>
          </cell>
          <cell r="E1023" t="str">
            <v>Dossiers d'analyse sur Evénements Redoutés de Sécurité</v>
          </cell>
          <cell r="G1023" t="str">
            <v>ERS1 DEFAUT DE COMMANDE DE FU</v>
          </cell>
          <cell r="S1023" t="str">
            <v>AT</v>
          </cell>
          <cell r="T1023" t="str">
            <v>BT</v>
          </cell>
          <cell r="U1023" t="str">
            <v>D.CHANAL</v>
          </cell>
          <cell r="AA1023" t="str">
            <v>E</v>
          </cell>
          <cell r="AB1023" t="str">
            <v>Projet</v>
          </cell>
          <cell r="AC1023" t="str">
            <v>ESF</v>
          </cell>
          <cell r="AD1023" t="str">
            <v>SM ET.4-10639</v>
          </cell>
          <cell r="AE1023" t="str">
            <v>Spécification de management MF19</v>
          </cell>
          <cell r="AF1023" t="str">
            <v>7.3.7</v>
          </cell>
          <cell r="AI1023">
            <v>1</v>
          </cell>
          <cell r="AP1023" t="str">
            <v>FD</v>
          </cell>
          <cell r="AU1023" t="str">
            <v>Maj</v>
          </cell>
          <cell r="AW1023" t="str">
            <v>Maj</v>
          </cell>
          <cell r="CH1023" t="e">
            <v>#N/A</v>
          </cell>
          <cell r="CI1023" t="e">
            <v>#N/A</v>
          </cell>
          <cell r="CJ1023" t="e">
            <v>#N/A</v>
          </cell>
        </row>
        <row r="1024">
          <cell r="B1024" t="str">
            <v>Ligne_233.2_PPD</v>
          </cell>
          <cell r="C1024" t="str">
            <v>233.2</v>
          </cell>
          <cell r="E1024" t="str">
            <v>Dossiers d'analyse sur Evénements Redoutés de Sécurité</v>
          </cell>
          <cell r="G1024" t="str">
            <v>ERS2 INSUFFISANCE DU FU</v>
          </cell>
          <cell r="S1024" t="str">
            <v>AT</v>
          </cell>
          <cell r="T1024" t="str">
            <v>BT</v>
          </cell>
          <cell r="U1024" t="str">
            <v>D.CHANAL</v>
          </cell>
          <cell r="AA1024" t="str">
            <v>E</v>
          </cell>
          <cell r="AB1024" t="str">
            <v>Projet</v>
          </cell>
          <cell r="AC1024" t="str">
            <v>ESF</v>
          </cell>
          <cell r="AD1024" t="str">
            <v>SM ET.4-10639</v>
          </cell>
          <cell r="AE1024" t="str">
            <v>Spécification de management MF19</v>
          </cell>
          <cell r="AF1024" t="str">
            <v>7.3.7</v>
          </cell>
          <cell r="AI1024">
            <v>1</v>
          </cell>
          <cell r="AP1024" t="str">
            <v>FD</v>
          </cell>
          <cell r="AU1024" t="str">
            <v>Maj</v>
          </cell>
          <cell r="AW1024" t="str">
            <v>Maj</v>
          </cell>
          <cell r="CH1024" t="e">
            <v>#N/A</v>
          </cell>
          <cell r="CI1024" t="e">
            <v>#N/A</v>
          </cell>
          <cell r="CJ1024" t="e">
            <v>#N/A</v>
          </cell>
        </row>
        <row r="1025">
          <cell r="B1025" t="str">
            <v>Ligne_233.3_PPD</v>
          </cell>
          <cell r="C1025" t="str">
            <v>233.3</v>
          </cell>
          <cell r="E1025" t="str">
            <v>Dossiers d'analyse sur Evénements Redoutés de Sécurité</v>
          </cell>
          <cell r="G1025" t="str">
            <v>ERS3 DEPART INTEMPESTIF DU TRAIN</v>
          </cell>
          <cell r="S1025" t="str">
            <v>AT</v>
          </cell>
          <cell r="T1025" t="str">
            <v>BT</v>
          </cell>
          <cell r="U1025" t="str">
            <v>D.CHANAL</v>
          </cell>
          <cell r="AA1025" t="str">
            <v>E</v>
          </cell>
          <cell r="AB1025" t="str">
            <v>Projet</v>
          </cell>
          <cell r="AC1025" t="str">
            <v>ESF</v>
          </cell>
          <cell r="AD1025" t="str">
            <v>SM ET.4-10639</v>
          </cell>
          <cell r="AE1025" t="str">
            <v>Spécification de management MF19</v>
          </cell>
          <cell r="AF1025" t="str">
            <v>7.3.7</v>
          </cell>
          <cell r="AI1025">
            <v>1</v>
          </cell>
          <cell r="AP1025" t="str">
            <v>FD</v>
          </cell>
          <cell r="AU1025" t="str">
            <v>Maj</v>
          </cell>
          <cell r="AW1025" t="str">
            <v>Maj</v>
          </cell>
          <cell r="CH1025" t="e">
            <v>#N/A</v>
          </cell>
          <cell r="CI1025" t="e">
            <v>#N/A</v>
          </cell>
          <cell r="CJ1025" t="e">
            <v>#N/A</v>
          </cell>
        </row>
        <row r="1026">
          <cell r="B1026" t="str">
            <v>Ligne_233.4_PPD</v>
          </cell>
          <cell r="C1026" t="str">
            <v>233.4</v>
          </cell>
          <cell r="E1026" t="str">
            <v>Dossiers d'analyse sur Evénements Redoutés de Sécurité</v>
          </cell>
          <cell r="G1026" t="str">
            <v>ERS4 DEFAUT D'IMMOBILISATION DU TRAIN</v>
          </cell>
          <cell r="S1026" t="str">
            <v>AT</v>
          </cell>
          <cell r="T1026" t="str">
            <v>BT</v>
          </cell>
          <cell r="U1026" t="str">
            <v>D.CHANAL</v>
          </cell>
          <cell r="AA1026" t="str">
            <v>E</v>
          </cell>
          <cell r="AB1026" t="str">
            <v>Projet</v>
          </cell>
          <cell r="AC1026" t="str">
            <v>ESF</v>
          </cell>
          <cell r="AD1026" t="str">
            <v>SM ET.4-10639</v>
          </cell>
          <cell r="AE1026" t="str">
            <v>Spécification de management MF19</v>
          </cell>
          <cell r="AF1026" t="str">
            <v>7.3.7</v>
          </cell>
          <cell r="AI1026">
            <v>1</v>
          </cell>
          <cell r="AP1026" t="str">
            <v>FD</v>
          </cell>
          <cell r="AU1026" t="str">
            <v>Maj</v>
          </cell>
          <cell r="AW1026" t="str">
            <v>Maj</v>
          </cell>
          <cell r="CH1026" t="e">
            <v>#N/A</v>
          </cell>
          <cell r="CI1026" t="e">
            <v>#N/A</v>
          </cell>
          <cell r="CJ1026" t="e">
            <v>#N/A</v>
          </cell>
        </row>
        <row r="1027">
          <cell r="B1027" t="str">
            <v>Ligne_233.5_PPD</v>
          </cell>
          <cell r="C1027" t="str">
            <v>233.5</v>
          </cell>
          <cell r="E1027" t="str">
            <v>Dossiers d'analyse sur Evénements Redoutés de Sécurité</v>
          </cell>
          <cell r="G1027" t="str">
            <v>ERS5 DEFAUT DE VITESSE TRAIN</v>
          </cell>
          <cell r="S1027" t="str">
            <v>AT</v>
          </cell>
          <cell r="T1027" t="str">
            <v>?</v>
          </cell>
          <cell r="U1027" t="str">
            <v>D.CHANAL</v>
          </cell>
          <cell r="AA1027" t="str">
            <v>E</v>
          </cell>
          <cell r="AB1027" t="str">
            <v>Projet</v>
          </cell>
          <cell r="AC1027" t="str">
            <v>ESF</v>
          </cell>
          <cell r="AD1027" t="str">
            <v>SM ET.4-10639</v>
          </cell>
          <cell r="AE1027" t="str">
            <v>Spécification de management MF19</v>
          </cell>
          <cell r="AF1027" t="str">
            <v>7.3.7</v>
          </cell>
          <cell r="AI1027">
            <v>1</v>
          </cell>
          <cell r="AP1027" t="str">
            <v>FD</v>
          </cell>
          <cell r="AU1027" t="str">
            <v>Maj</v>
          </cell>
          <cell r="AW1027" t="str">
            <v>Maj</v>
          </cell>
          <cell r="CH1027" t="e">
            <v>#N/A</v>
          </cell>
          <cell r="CI1027" t="e">
            <v>#N/A</v>
          </cell>
          <cell r="CJ1027" t="e">
            <v>#N/A</v>
          </cell>
        </row>
        <row r="1028">
          <cell r="B1028" t="str">
            <v>Ligne_233.6_PPD</v>
          </cell>
          <cell r="C1028" t="str">
            <v>233.6</v>
          </cell>
          <cell r="E1028" t="str">
            <v>Dossiers d'analyse sur Evénements Redoutés de Sécurité</v>
          </cell>
          <cell r="G1028" t="str">
            <v>ERS6 DEFAUT DE SHUNTAGE DES CIRCUITS DE VOIE</v>
          </cell>
          <cell r="S1028" t="str">
            <v>AT</v>
          </cell>
          <cell r="T1028" t="str">
            <v>BT</v>
          </cell>
          <cell r="U1028" t="str">
            <v>D.CHANAL</v>
          </cell>
          <cell r="AA1028" t="str">
            <v>E</v>
          </cell>
          <cell r="AB1028" t="str">
            <v>Projet</v>
          </cell>
          <cell r="AC1028" t="str">
            <v>ESF</v>
          </cell>
          <cell r="AD1028" t="str">
            <v>SM ET.4-10639</v>
          </cell>
          <cell r="AE1028" t="str">
            <v>Spécification de management MF19</v>
          </cell>
          <cell r="AF1028" t="str">
            <v>7.3.7</v>
          </cell>
          <cell r="AI1028">
            <v>1</v>
          </cell>
          <cell r="AP1028" t="str">
            <v>FD</v>
          </cell>
          <cell r="AU1028" t="str">
            <v>Maj</v>
          </cell>
          <cell r="AW1028" t="str">
            <v>Maj</v>
          </cell>
          <cell r="CH1028" t="e">
            <v>#N/A</v>
          </cell>
          <cell r="CI1028" t="e">
            <v>#N/A</v>
          </cell>
          <cell r="CJ1028" t="e">
            <v>#N/A</v>
          </cell>
        </row>
        <row r="1029">
          <cell r="B1029" t="str">
            <v>Ligne_233.7_PPD</v>
          </cell>
          <cell r="C1029" t="str">
            <v>233.7</v>
          </cell>
          <cell r="E1029" t="str">
            <v>Dossiers d'analyse sur Evénements Redoutés de Sécurité</v>
          </cell>
          <cell r="G1029" t="str">
            <v>ERS7 DEFAUT DE GABARIT DU TRAIN</v>
          </cell>
          <cell r="R1029" t="str">
            <v>BT</v>
          </cell>
          <cell r="S1029" t="str">
            <v>BT</v>
          </cell>
          <cell r="T1029" t="str">
            <v>AT</v>
          </cell>
          <cell r="U1029" t="str">
            <v>D.CHANAL</v>
          </cell>
          <cell r="AA1029" t="str">
            <v>E</v>
          </cell>
          <cell r="AB1029" t="str">
            <v>Projet</v>
          </cell>
          <cell r="AC1029" t="str">
            <v>ESF</v>
          </cell>
          <cell r="AD1029" t="str">
            <v>SM ET.4-10639</v>
          </cell>
          <cell r="AE1029" t="str">
            <v>Spécification de management MF19</v>
          </cell>
          <cell r="AF1029" t="str">
            <v>7.3.7</v>
          </cell>
          <cell r="AI1029">
            <v>1</v>
          </cell>
          <cell r="AP1029" t="str">
            <v>FD</v>
          </cell>
          <cell r="AU1029" t="str">
            <v>Maj</v>
          </cell>
          <cell r="AW1029" t="str">
            <v>Maj</v>
          </cell>
          <cell r="CH1029" t="e">
            <v>#N/A</v>
          </cell>
          <cell r="CI1029" t="e">
            <v>#N/A</v>
          </cell>
          <cell r="CJ1029" t="e">
            <v>#N/A</v>
          </cell>
        </row>
        <row r="1030">
          <cell r="B1030" t="str">
            <v>Ligne_233.8_PPD</v>
          </cell>
          <cell r="C1030" t="str">
            <v>233.8</v>
          </cell>
          <cell r="E1030" t="str">
            <v>Dossiers d'analyse sur Evénements Redoutés de Sécurité</v>
          </cell>
          <cell r="G1030" t="str">
            <v>ERS8 DEFAUT DE LA LIAISON RAIL/ROUE</v>
          </cell>
          <cell r="R1030" t="str">
            <v>BT</v>
          </cell>
          <cell r="S1030" t="str">
            <v>BT</v>
          </cell>
          <cell r="T1030" t="str">
            <v>AT</v>
          </cell>
          <cell r="U1030" t="str">
            <v>D.CHANAL</v>
          </cell>
          <cell r="AA1030" t="str">
            <v>E</v>
          </cell>
          <cell r="AB1030" t="str">
            <v>Projet</v>
          </cell>
          <cell r="AC1030" t="str">
            <v>ESF</v>
          </cell>
          <cell r="AD1030" t="str">
            <v>SM ET.4-10639</v>
          </cell>
          <cell r="AE1030" t="str">
            <v>Spécification de management MF19</v>
          </cell>
          <cell r="AF1030" t="str">
            <v>7.3.7</v>
          </cell>
          <cell r="AI1030">
            <v>1</v>
          </cell>
          <cell r="AP1030" t="str">
            <v>FD</v>
          </cell>
          <cell r="AU1030" t="str">
            <v>Maj</v>
          </cell>
          <cell r="AW1030" t="str">
            <v>Maj</v>
          </cell>
          <cell r="CH1030" t="e">
            <v>#N/A</v>
          </cell>
          <cell r="CI1030" t="e">
            <v>#N/A</v>
          </cell>
          <cell r="CJ1030" t="e">
            <v>#N/A</v>
          </cell>
        </row>
        <row r="1031">
          <cell r="B1031" t="str">
            <v>Ligne_233.9_PPD</v>
          </cell>
          <cell r="C1031" t="str">
            <v>233.9</v>
          </cell>
          <cell r="E1031" t="str">
            <v>Dossiers d'analyse sur Evénements Redoutés de Sécurité</v>
          </cell>
          <cell r="G1031" t="str">
            <v>ERS9 DEFAUT DE LA LIAISON BOGIE/CAISSE</v>
          </cell>
          <cell r="R1031" t="str">
            <v>BT</v>
          </cell>
          <cell r="S1031" t="str">
            <v>BT</v>
          </cell>
          <cell r="T1031" t="str">
            <v>AT</v>
          </cell>
          <cell r="U1031" t="str">
            <v>D.CHANAL</v>
          </cell>
          <cell r="AA1031" t="str">
            <v>E</v>
          </cell>
          <cell r="AB1031" t="str">
            <v>Projet</v>
          </cell>
          <cell r="AC1031" t="str">
            <v>ESF</v>
          </cell>
          <cell r="AD1031" t="str">
            <v>SM ET.4-10639</v>
          </cell>
          <cell r="AE1031" t="str">
            <v>Spécification de management MF19</v>
          </cell>
          <cell r="AF1031" t="str">
            <v>7.3.7</v>
          </cell>
          <cell r="AI1031">
            <v>1</v>
          </cell>
          <cell r="AP1031" t="str">
            <v>FD</v>
          </cell>
          <cell r="AU1031" t="str">
            <v>Maj</v>
          </cell>
          <cell r="AW1031" t="str">
            <v>Maj</v>
          </cell>
          <cell r="CH1031" t="e">
            <v>#N/A</v>
          </cell>
          <cell r="CI1031" t="e">
            <v>#N/A</v>
          </cell>
          <cell r="CJ1031" t="e">
            <v>#N/A</v>
          </cell>
        </row>
        <row r="1032">
          <cell r="B1032" t="str">
            <v>Ligne_233.10_PPD</v>
          </cell>
          <cell r="C1032" t="str">
            <v>233.10</v>
          </cell>
          <cell r="E1032" t="str">
            <v>Dossiers d'analyse sur Evénements Redoutés de Sécurité</v>
          </cell>
          <cell r="G1032" t="str">
            <v>ERS10 DEFAUT DE LA LIAISON ENTRE CAISSES</v>
          </cell>
          <cell r="R1032" t="str">
            <v>BT</v>
          </cell>
          <cell r="S1032" t="str">
            <v>BT</v>
          </cell>
          <cell r="T1032" t="str">
            <v>AT</v>
          </cell>
          <cell r="U1032" t="str">
            <v>D.CHANAL</v>
          </cell>
          <cell r="AA1032" t="str">
            <v>E</v>
          </cell>
          <cell r="AB1032" t="str">
            <v>Projet</v>
          </cell>
          <cell r="AC1032" t="str">
            <v>ESF</v>
          </cell>
          <cell r="AD1032" t="str">
            <v>SM ET.4-10639</v>
          </cell>
          <cell r="AE1032" t="str">
            <v>Spécification de management MF19</v>
          </cell>
          <cell r="AF1032" t="str">
            <v>7.3.7</v>
          </cell>
          <cell r="AI1032">
            <v>1</v>
          </cell>
          <cell r="AP1032" t="str">
            <v>FD</v>
          </cell>
          <cell r="AU1032" t="str">
            <v>Maj</v>
          </cell>
          <cell r="AW1032" t="str">
            <v>Maj</v>
          </cell>
          <cell r="CH1032" t="e">
            <v>#N/A</v>
          </cell>
          <cell r="CI1032" t="e">
            <v>#N/A</v>
          </cell>
          <cell r="CJ1032" t="e">
            <v>#N/A</v>
          </cell>
        </row>
        <row r="1033">
          <cell r="B1033" t="str">
            <v>Ligne_233.11_PPD</v>
          </cell>
          <cell r="C1033" t="str">
            <v>233.11</v>
          </cell>
          <cell r="E1033" t="str">
            <v>Dossiers d'analyse sur Evénements Redoutés de Sécurité</v>
          </cell>
          <cell r="G1033" t="str">
            <v>ERS11 CHUTE DE MATERIAUX OU D’EQUIPEMENTS A L'EXTERIEUR DU VEHICULE</v>
          </cell>
          <cell r="S1033" t="str">
            <v>AT</v>
          </cell>
          <cell r="T1033" t="str">
            <v>BT</v>
          </cell>
          <cell r="U1033" t="str">
            <v>D.CHANAL</v>
          </cell>
          <cell r="AA1033" t="str">
            <v>E</v>
          </cell>
          <cell r="AB1033" t="str">
            <v>Projet</v>
          </cell>
          <cell r="AC1033" t="str">
            <v>ESF</v>
          </cell>
          <cell r="AD1033" t="str">
            <v>SM ET.4-10639</v>
          </cell>
          <cell r="AE1033" t="str">
            <v>Spécification de management MF19</v>
          </cell>
          <cell r="AF1033" t="str">
            <v>7.3.7</v>
          </cell>
          <cell r="AI1033">
            <v>1</v>
          </cell>
          <cell r="AP1033" t="str">
            <v>FD</v>
          </cell>
          <cell r="AU1033" t="str">
            <v>Maj</v>
          </cell>
          <cell r="AW1033" t="str">
            <v>Maj</v>
          </cell>
          <cell r="CH1033" t="e">
            <v>#N/A</v>
          </cell>
          <cell r="CI1033" t="e">
            <v>#N/A</v>
          </cell>
          <cell r="CJ1033" t="e">
            <v>#N/A</v>
          </cell>
        </row>
        <row r="1034">
          <cell r="B1034" t="str">
            <v>Ligne_233.12_PPD</v>
          </cell>
          <cell r="C1034" t="str">
            <v>233.12</v>
          </cell>
          <cell r="E1034" t="str">
            <v>Dossiers d'analyse sur Evénements Redoutés de Sécurité</v>
          </cell>
          <cell r="G1034" t="str">
            <v>ERS12 OUVERTURE OU LIBERATION INTEMPESTIVE DE PORTE</v>
          </cell>
          <cell r="S1034" t="str">
            <v>AT</v>
          </cell>
          <cell r="T1034" t="str">
            <v>?</v>
          </cell>
          <cell r="U1034" t="str">
            <v>D.CHANAL</v>
          </cell>
          <cell r="AA1034" t="str">
            <v>E</v>
          </cell>
          <cell r="AB1034" t="str">
            <v>Projet</v>
          </cell>
          <cell r="AC1034" t="str">
            <v>ESF</v>
          </cell>
          <cell r="AD1034" t="str">
            <v>SM ET.4-10639</v>
          </cell>
          <cell r="AE1034" t="str">
            <v>Spécification de management MF19</v>
          </cell>
          <cell r="AF1034" t="str">
            <v>7.3.7</v>
          </cell>
          <cell r="AI1034">
            <v>1</v>
          </cell>
          <cell r="AP1034" t="str">
            <v>FD</v>
          </cell>
          <cell r="AU1034" t="str">
            <v>Maj</v>
          </cell>
          <cell r="AW1034" t="str">
            <v>Maj</v>
          </cell>
          <cell r="CH1034" t="e">
            <v>#N/A</v>
          </cell>
          <cell r="CI1034" t="e">
            <v>#N/A</v>
          </cell>
          <cell r="CJ1034" t="e">
            <v>#N/A</v>
          </cell>
        </row>
        <row r="1035">
          <cell r="B1035" t="str">
            <v>Ligne_233.13_PPD</v>
          </cell>
          <cell r="C1035" t="str">
            <v>233.13</v>
          </cell>
          <cell r="E1035" t="str">
            <v>Dossiers d'analyse sur Evénements Redoutés de Sécurité</v>
          </cell>
          <cell r="G1035" t="str">
            <v>ERS13 DEFAUT D’OUVERTURE OU DE LIBERATION DE DEUX PORTES ADJACENTES</v>
          </cell>
          <cell r="S1035" t="str">
            <v>AT</v>
          </cell>
          <cell r="T1035" t="str">
            <v>?</v>
          </cell>
          <cell r="U1035" t="str">
            <v>D.CHANAL</v>
          </cell>
          <cell r="AA1035" t="str">
            <v>E</v>
          </cell>
          <cell r="AB1035" t="str">
            <v>Projet</v>
          </cell>
          <cell r="AC1035" t="str">
            <v>ESF</v>
          </cell>
          <cell r="AD1035" t="str">
            <v>SM ET.4-10639</v>
          </cell>
          <cell r="AE1035" t="str">
            <v>Spécification de management MF19</v>
          </cell>
          <cell r="AF1035" t="str">
            <v>7.3.7</v>
          </cell>
          <cell r="AI1035">
            <v>1</v>
          </cell>
          <cell r="AP1035" t="str">
            <v>FD</v>
          </cell>
          <cell r="AU1035" t="str">
            <v>Maj</v>
          </cell>
          <cell r="AW1035" t="str">
            <v>Maj</v>
          </cell>
          <cell r="CH1035" t="e">
            <v>#N/A</v>
          </cell>
          <cell r="CI1035" t="e">
            <v>#N/A</v>
          </cell>
          <cell r="CJ1035" t="e">
            <v>#N/A</v>
          </cell>
        </row>
        <row r="1036">
          <cell r="B1036" t="str">
            <v>Ligne_233.14_PPD</v>
          </cell>
          <cell r="C1036" t="str">
            <v>233.14</v>
          </cell>
          <cell r="E1036" t="str">
            <v>Dossiers d'analyse sur Evénements Redoutés de Sécurité</v>
          </cell>
          <cell r="G1036" t="str">
            <v>ERS14 DEPART DE FEU</v>
          </cell>
          <cell r="S1036" t="str">
            <v>AT</v>
          </cell>
          <cell r="T1036" t="str">
            <v>BT</v>
          </cell>
          <cell r="U1036" t="str">
            <v>D.CHANAL</v>
          </cell>
          <cell r="AA1036" t="str">
            <v>E</v>
          </cell>
          <cell r="AB1036" t="str">
            <v>Projet</v>
          </cell>
          <cell r="AC1036" t="str">
            <v>ESF</v>
          </cell>
          <cell r="AD1036" t="str">
            <v>SM ET.4-10639</v>
          </cell>
          <cell r="AE1036" t="str">
            <v>Spécification de management MF19</v>
          </cell>
          <cell r="AF1036" t="str">
            <v>7.3.7</v>
          </cell>
          <cell r="AI1036">
            <v>1</v>
          </cell>
          <cell r="AP1036" t="str">
            <v>FD</v>
          </cell>
          <cell r="AU1036" t="str">
            <v>Maj</v>
          </cell>
          <cell r="AW1036" t="str">
            <v>Maj</v>
          </cell>
          <cell r="CH1036" t="e">
            <v>#N/A</v>
          </cell>
          <cell r="CI1036" t="e">
            <v>#N/A</v>
          </cell>
          <cell r="CJ1036" t="e">
            <v>#N/A</v>
          </cell>
        </row>
        <row r="1037">
          <cell r="B1037" t="str">
            <v>Ligne_233.15_PPD</v>
          </cell>
          <cell r="C1037" t="str">
            <v>233.15</v>
          </cell>
          <cell r="E1037" t="str">
            <v>Dossiers d'analyse sur Evénements Redoutés de Sécurité</v>
          </cell>
          <cell r="G1037" t="str">
            <v>ERS15 NON MAITRISE DU RISQUE INCENDIE ET DEGAGEMENT DE FUMEE</v>
          </cell>
          <cell r="S1037" t="str">
            <v>AT</v>
          </cell>
          <cell r="T1037" t="str">
            <v>BT</v>
          </cell>
          <cell r="U1037" t="str">
            <v>D.CHANAL</v>
          </cell>
          <cell r="AA1037" t="str">
            <v>E</v>
          </cell>
          <cell r="AB1037" t="str">
            <v>Projet</v>
          </cell>
          <cell r="AC1037" t="str">
            <v>ESF</v>
          </cell>
          <cell r="AD1037" t="str">
            <v>SM ET.4-10639</v>
          </cell>
          <cell r="AE1037" t="str">
            <v>Spécification de management MF19</v>
          </cell>
          <cell r="AF1037" t="str">
            <v>7.3.7</v>
          </cell>
          <cell r="AI1037">
            <v>1</v>
          </cell>
          <cell r="AP1037" t="str">
            <v>FD</v>
          </cell>
          <cell r="AU1037" t="str">
            <v>Maj</v>
          </cell>
          <cell r="AW1037" t="str">
            <v>Maj</v>
          </cell>
          <cell r="CH1037" t="e">
            <v>#N/A</v>
          </cell>
          <cell r="CI1037" t="e">
            <v>#N/A</v>
          </cell>
          <cell r="CJ1037" t="e">
            <v>#N/A</v>
          </cell>
        </row>
        <row r="1038">
          <cell r="B1038" t="str">
            <v>Ligne_233.16_PPD</v>
          </cell>
          <cell r="C1038" t="str">
            <v>233.16</v>
          </cell>
          <cell r="E1038" t="str">
            <v>Dossiers d'analyse sur Evénements Redoutés de Sécurité</v>
          </cell>
          <cell r="G1038" t="str">
            <v>ERS16 PROJECTION D’ELEMENTS MECANIQUES OU FLUIDES, BRULURES PAR CONTACT</v>
          </cell>
          <cell r="S1038" t="str">
            <v>AT</v>
          </cell>
          <cell r="T1038" t="str">
            <v>BT</v>
          </cell>
          <cell r="U1038" t="str">
            <v>D.CHANAL</v>
          </cell>
          <cell r="AA1038" t="str">
            <v>E</v>
          </cell>
          <cell r="AB1038" t="str">
            <v>Projet</v>
          </cell>
          <cell r="AC1038" t="str">
            <v>ESF</v>
          </cell>
          <cell r="AD1038" t="str">
            <v>SM ET.4-10639</v>
          </cell>
          <cell r="AE1038" t="str">
            <v>Spécification de management MF19</v>
          </cell>
          <cell r="AF1038" t="str">
            <v>7.3.7</v>
          </cell>
          <cell r="AI1038">
            <v>1</v>
          </cell>
          <cell r="AP1038" t="str">
            <v>FD</v>
          </cell>
          <cell r="AU1038" t="str">
            <v>Maj</v>
          </cell>
          <cell r="AW1038" t="str">
            <v>Maj</v>
          </cell>
          <cell r="CH1038" t="e">
            <v>#N/A</v>
          </cell>
          <cell r="CI1038" t="e">
            <v>#N/A</v>
          </cell>
          <cell r="CJ1038" t="e">
            <v>#N/A</v>
          </cell>
        </row>
        <row r="1039">
          <cell r="B1039" t="str">
            <v>Ligne_233.17_PPD</v>
          </cell>
          <cell r="C1039" t="str">
            <v>233.17</v>
          </cell>
          <cell r="E1039" t="str">
            <v>Dossiers d'analyse sur Evénements Redoutés de Sécurité</v>
          </cell>
          <cell r="G1039" t="str">
            <v>ERS17 DEFAUT DE CONFINEMENT PAR LES BAIES VITREES</v>
          </cell>
          <cell r="R1039" t="str">
            <v>BT</v>
          </cell>
          <cell r="S1039" t="str">
            <v>BT</v>
          </cell>
          <cell r="T1039" t="str">
            <v>AT</v>
          </cell>
          <cell r="U1039" t="str">
            <v>D.CHANAL</v>
          </cell>
          <cell r="AA1039" t="str">
            <v>E</v>
          </cell>
          <cell r="AB1039" t="str">
            <v>Projet</v>
          </cell>
          <cell r="AC1039" t="str">
            <v>ESF</v>
          </cell>
          <cell r="AD1039" t="str">
            <v>SM ET.4-10639</v>
          </cell>
          <cell r="AE1039" t="str">
            <v>Spécification de management MF19</v>
          </cell>
          <cell r="AF1039" t="str">
            <v>7.3.7</v>
          </cell>
          <cell r="AI1039">
            <v>1</v>
          </cell>
          <cell r="AP1039" t="str">
            <v>FD</v>
          </cell>
          <cell r="AU1039" t="str">
            <v>Maj</v>
          </cell>
          <cell r="AW1039" t="str">
            <v>Maj</v>
          </cell>
          <cell r="CH1039" t="e">
            <v>#N/A</v>
          </cell>
          <cell r="CI1039" t="e">
            <v>#N/A</v>
          </cell>
          <cell r="CJ1039" t="e">
            <v>#N/A</v>
          </cell>
        </row>
        <row r="1040">
          <cell r="B1040" t="str">
            <v>Ligne_233.18_PPD</v>
          </cell>
          <cell r="C1040" t="str">
            <v>233.18</v>
          </cell>
          <cell r="E1040" t="str">
            <v>Dossiers d'analyse sur Evénements Redoutés de Sécurité</v>
          </cell>
          <cell r="G1040" t="str">
            <v>ERS18 REINJECTION INTEMPESTIVE DE HT</v>
          </cell>
          <cell r="S1040" t="str">
            <v>AT</v>
          </cell>
          <cell r="T1040" t="str">
            <v>NA</v>
          </cell>
          <cell r="U1040" t="str">
            <v>D.CHANAL</v>
          </cell>
          <cell r="AA1040" t="str">
            <v>E</v>
          </cell>
          <cell r="AB1040" t="str">
            <v>Projet</v>
          </cell>
          <cell r="AC1040" t="str">
            <v>ESF</v>
          </cell>
          <cell r="AD1040" t="str">
            <v>SM ET.4-10639</v>
          </cell>
          <cell r="AE1040" t="str">
            <v>Spécification de management MF19</v>
          </cell>
          <cell r="AF1040" t="str">
            <v>7.3.7</v>
          </cell>
          <cell r="AI1040">
            <v>1</v>
          </cell>
          <cell r="AP1040" t="str">
            <v>FD</v>
          </cell>
          <cell r="AU1040" t="str">
            <v>Maj</v>
          </cell>
          <cell r="AW1040" t="str">
            <v>Maj</v>
          </cell>
          <cell r="CH1040" t="e">
            <v>#N/A</v>
          </cell>
          <cell r="CI1040" t="e">
            <v>#N/A</v>
          </cell>
          <cell r="CJ1040" t="e">
            <v>#N/A</v>
          </cell>
        </row>
        <row r="1041">
          <cell r="B1041" t="str">
            <v>Ligne_233.19_PPD</v>
          </cell>
          <cell r="C1041" t="str">
            <v>233.19</v>
          </cell>
          <cell r="E1041" t="str">
            <v>Dossiers d'analyse sur Evénements Redoutés de Sécurité</v>
          </cell>
          <cell r="G1041" t="str">
            <v>ERS19 MOUVEMENT INTEMPESTIF EN MAINTENANCE</v>
          </cell>
          <cell r="S1041" t="str">
            <v>AT</v>
          </cell>
          <cell r="T1041" t="str">
            <v>?</v>
          </cell>
          <cell r="U1041" t="str">
            <v>D.CHANAL</v>
          </cell>
          <cell r="AA1041" t="str">
            <v>E</v>
          </cell>
          <cell r="AB1041" t="str">
            <v>Projet</v>
          </cell>
          <cell r="AC1041" t="str">
            <v>ESF</v>
          </cell>
          <cell r="AD1041" t="str">
            <v>SM ET.4-10639</v>
          </cell>
          <cell r="AE1041" t="str">
            <v>Spécification de management MF19</v>
          </cell>
          <cell r="AF1041" t="str">
            <v>7.3.7</v>
          </cell>
          <cell r="AI1041">
            <v>1</v>
          </cell>
          <cell r="AP1041" t="str">
            <v>FD</v>
          </cell>
          <cell r="AU1041" t="str">
            <v>Maj</v>
          </cell>
          <cell r="AW1041" t="str">
            <v>Maj</v>
          </cell>
          <cell r="CH1041" t="e">
            <v>#N/A</v>
          </cell>
          <cell r="CI1041" t="e">
            <v>#N/A</v>
          </cell>
          <cell r="CJ1041" t="e">
            <v>#N/A</v>
          </cell>
        </row>
        <row r="1042">
          <cell r="B1042" t="str">
            <v>Ligne_233.20_PPD</v>
          </cell>
          <cell r="C1042" t="str">
            <v>233.20</v>
          </cell>
          <cell r="E1042" t="str">
            <v>Dossiers d'analyse sur Evénements Redoutés de Sécurité</v>
          </cell>
          <cell r="G1042" t="str">
            <v>ERS20 LIBERATION D’UN TRAIN SECOURU DEFREINE</v>
          </cell>
          <cell r="R1042" t="str">
            <v>BT</v>
          </cell>
          <cell r="S1042" t="str">
            <v>BT</v>
          </cell>
          <cell r="T1042" t="str">
            <v>AT</v>
          </cell>
          <cell r="U1042" t="str">
            <v>D.CHANAL</v>
          </cell>
          <cell r="AA1042" t="str">
            <v>E</v>
          </cell>
          <cell r="AB1042" t="str">
            <v>Projet</v>
          </cell>
          <cell r="AC1042" t="str">
            <v>ESF</v>
          </cell>
          <cell r="AD1042" t="str">
            <v>SM ET.4-10639</v>
          </cell>
          <cell r="AE1042" t="str">
            <v>Spécification de management MF19</v>
          </cell>
          <cell r="AF1042" t="str">
            <v>7.3.7</v>
          </cell>
          <cell r="AI1042">
            <v>1</v>
          </cell>
          <cell r="AP1042" t="str">
            <v>FD</v>
          </cell>
          <cell r="AU1042" t="str">
            <v>Maj</v>
          </cell>
          <cell r="AW1042" t="str">
            <v>Maj</v>
          </cell>
          <cell r="CH1042" t="e">
            <v>#N/A</v>
          </cell>
          <cell r="CI1042" t="e">
            <v>#N/A</v>
          </cell>
          <cell r="CJ1042" t="e">
            <v>#N/A</v>
          </cell>
        </row>
        <row r="1043">
          <cell r="B1043" t="str">
            <v>Ligne_233.21_PPD</v>
          </cell>
          <cell r="C1043" t="str">
            <v>233.21</v>
          </cell>
          <cell r="E1043" t="str">
            <v>Dossiers d'analyse sur Evénements Redoutés de Sécurité</v>
          </cell>
          <cell r="G1043" t="str">
            <v>ERS21 CHUTE DE MATERIAUX OU D’EQUIPEMENTS A L'INTERIEUR DU VEHICULE</v>
          </cell>
          <cell r="R1043" t="str">
            <v>BT</v>
          </cell>
          <cell r="S1043" t="str">
            <v>BT</v>
          </cell>
          <cell r="T1043" t="str">
            <v>AT</v>
          </cell>
          <cell r="U1043" t="str">
            <v>D.CHANAL</v>
          </cell>
          <cell r="AA1043" t="str">
            <v>E</v>
          </cell>
          <cell r="AB1043" t="str">
            <v>Projet</v>
          </cell>
          <cell r="AC1043" t="str">
            <v>ESF</v>
          </cell>
          <cell r="AD1043" t="str">
            <v>SM ET.4-10639</v>
          </cell>
          <cell r="AE1043" t="str">
            <v>Spécification de management MF19</v>
          </cell>
          <cell r="AF1043" t="str">
            <v>7.3.7</v>
          </cell>
          <cell r="AI1043">
            <v>1</v>
          </cell>
          <cell r="AP1043" t="str">
            <v>FD</v>
          </cell>
          <cell r="AU1043" t="str">
            <v>Maj</v>
          </cell>
          <cell r="AW1043" t="str">
            <v>Maj</v>
          </cell>
          <cell r="CH1043" t="e">
            <v>#N/A</v>
          </cell>
          <cell r="CI1043" t="e">
            <v>#N/A</v>
          </cell>
          <cell r="CJ1043" t="e">
            <v>#N/A</v>
          </cell>
        </row>
        <row r="1044">
          <cell r="B1044" t="str">
            <v>Ligne_233.22_PPD</v>
          </cell>
          <cell r="C1044" t="str">
            <v>233.22</v>
          </cell>
          <cell r="E1044" t="str">
            <v>Dossiers d'analyse sur Evénements Redoutés de Sécurité</v>
          </cell>
          <cell r="G1044" t="str">
            <v>ERS22 ENTRAINEMENT OU COINCEMENT D’UN VOYAGEUR</v>
          </cell>
          <cell r="S1044" t="str">
            <v>AT</v>
          </cell>
          <cell r="T1044" t="str">
            <v>?</v>
          </cell>
          <cell r="U1044" t="str">
            <v>D.CHANAL</v>
          </cell>
          <cell r="AA1044" t="str">
            <v>E</v>
          </cell>
          <cell r="AB1044" t="str">
            <v>Projet</v>
          </cell>
          <cell r="AC1044" t="str">
            <v>ESF</v>
          </cell>
          <cell r="AD1044" t="str">
            <v>SM ET.4-10639</v>
          </cell>
          <cell r="AE1044" t="str">
            <v>Spécification de management MF19</v>
          </cell>
          <cell r="AF1044" t="str">
            <v>7.3.7</v>
          </cell>
          <cell r="AI1044">
            <v>1</v>
          </cell>
          <cell r="AP1044" t="str">
            <v>FD</v>
          </cell>
          <cell r="AU1044" t="str">
            <v>Maj</v>
          </cell>
          <cell r="AW1044" t="str">
            <v>Maj</v>
          </cell>
          <cell r="CH1044" t="e">
            <v>#N/A</v>
          </cell>
          <cell r="CI1044" t="e">
            <v>#N/A</v>
          </cell>
          <cell r="CJ1044" t="e">
            <v>#N/A</v>
          </cell>
        </row>
        <row r="1045">
          <cell r="B1045" t="str">
            <v>Ligne_233.23_PPD</v>
          </cell>
          <cell r="C1045" t="str">
            <v>233.23</v>
          </cell>
          <cell r="E1045" t="str">
            <v>Dossiers d'analyse sur Evénements Redoutés de Sécurité</v>
          </cell>
          <cell r="G1045" t="str">
            <v>ERS23 PERTE TOTALE DE L’ECLAIRAGE VOYAGEURS</v>
          </cell>
          <cell r="S1045" t="str">
            <v>AT</v>
          </cell>
          <cell r="T1045" t="str">
            <v>BT</v>
          </cell>
          <cell r="U1045" t="str">
            <v>D.CHANAL</v>
          </cell>
          <cell r="AA1045" t="str">
            <v>E</v>
          </cell>
          <cell r="AB1045" t="str">
            <v>Projet</v>
          </cell>
          <cell r="AC1045" t="str">
            <v>ESF</v>
          </cell>
          <cell r="AD1045" t="str">
            <v>SM ET.4-10639</v>
          </cell>
          <cell r="AE1045" t="str">
            <v>Spécification de management MF19</v>
          </cell>
          <cell r="AF1045" t="str">
            <v>7.3.7</v>
          </cell>
          <cell r="AI1045">
            <v>1</v>
          </cell>
          <cell r="AP1045" t="str">
            <v>FD</v>
          </cell>
          <cell r="AU1045" t="str">
            <v>Maj</v>
          </cell>
          <cell r="AW1045" t="str">
            <v>Maj</v>
          </cell>
          <cell r="CH1045" t="e">
            <v>#N/A</v>
          </cell>
          <cell r="CI1045" t="e">
            <v>#N/A</v>
          </cell>
          <cell r="CJ1045" t="e">
            <v>#N/A</v>
          </cell>
        </row>
        <row r="1046">
          <cell r="B1046" t="str">
            <v>Ligne_233.24_PPD</v>
          </cell>
          <cell r="C1046" t="str">
            <v>233.24</v>
          </cell>
          <cell r="E1046" t="str">
            <v>Dossiers d'analyse sur Evénements Redoutés de Sécurité</v>
          </cell>
          <cell r="G1046" t="str">
            <v>ERS24 ELECTRISATION DE VOYAGEURS OU DU CONDUCTEUR</v>
          </cell>
          <cell r="S1046" t="str">
            <v>AT</v>
          </cell>
          <cell r="T1046" t="str">
            <v>BT</v>
          </cell>
          <cell r="U1046" t="str">
            <v>D.CHANAL</v>
          </cell>
          <cell r="AA1046" t="str">
            <v>E</v>
          </cell>
          <cell r="AB1046" t="str">
            <v>Projet</v>
          </cell>
          <cell r="AC1046" t="str">
            <v>ESF</v>
          </cell>
          <cell r="AD1046" t="str">
            <v>SM ET.4-10639</v>
          </cell>
          <cell r="AE1046" t="str">
            <v>Spécification de management MF19</v>
          </cell>
          <cell r="AF1046" t="str">
            <v>7.3.7</v>
          </cell>
          <cell r="AI1046">
            <v>1</v>
          </cell>
          <cell r="AP1046" t="str">
            <v>FD</v>
          </cell>
          <cell r="AU1046" t="str">
            <v>Maj</v>
          </cell>
          <cell r="AW1046" t="str">
            <v>Maj</v>
          </cell>
          <cell r="CH1046" t="e">
            <v>#N/A</v>
          </cell>
          <cell r="CI1046" t="e">
            <v>#N/A</v>
          </cell>
          <cell r="CJ1046" t="e">
            <v>#N/A</v>
          </cell>
        </row>
        <row r="1047">
          <cell r="B1047" t="str">
            <v>Ligne_233.25_PPD</v>
          </cell>
          <cell r="C1047" t="str">
            <v>233.25</v>
          </cell>
          <cell r="E1047" t="str">
            <v>Dossiers d'analyse sur Evénements Redoutés de Sécurité</v>
          </cell>
          <cell r="G1047" t="str">
            <v>ERS25 ELECTRISATION DU PERSONNEL  DE MAINTENANCE D’ORIGINE MATERIEL ROULANT</v>
          </cell>
          <cell r="S1047" t="str">
            <v>AT</v>
          </cell>
          <cell r="T1047" t="str">
            <v>BT</v>
          </cell>
          <cell r="U1047" t="str">
            <v>D.CHANAL</v>
          </cell>
          <cell r="AA1047" t="str">
            <v>E</v>
          </cell>
          <cell r="AB1047" t="str">
            <v>Projet</v>
          </cell>
          <cell r="AC1047" t="str">
            <v>ESF</v>
          </cell>
          <cell r="AD1047" t="str">
            <v>SM ET.4-10639</v>
          </cell>
          <cell r="AE1047" t="str">
            <v>Spécification de management MF19</v>
          </cell>
          <cell r="AF1047" t="str">
            <v>7.3.7</v>
          </cell>
          <cell r="AI1047">
            <v>1</v>
          </cell>
          <cell r="AP1047" t="str">
            <v>FD</v>
          </cell>
          <cell r="AU1047" t="str">
            <v>Maj</v>
          </cell>
          <cell r="AW1047" t="str">
            <v>Maj</v>
          </cell>
          <cell r="CH1047" t="e">
            <v>#N/A</v>
          </cell>
          <cell r="CI1047" t="e">
            <v>#N/A</v>
          </cell>
          <cell r="CJ1047" t="e">
            <v>#N/A</v>
          </cell>
        </row>
        <row r="1048">
          <cell r="B1048" t="str">
            <v>Ligne_233.26_PPD</v>
          </cell>
          <cell r="C1048" t="str">
            <v>233.26</v>
          </cell>
          <cell r="E1048" t="str">
            <v>Dossiers d'analyse sur Evénements Redoutés de Sécurité</v>
          </cell>
          <cell r="G1048" t="str">
            <v>ERS26 DEFAUT DE LIAISON ENTRE LE PCC/CONDUCTEUR ET LES PASSAGERS EN SITUATION D’URGENCE.</v>
          </cell>
          <cell r="S1048" t="str">
            <v>AT</v>
          </cell>
          <cell r="T1048" t="str">
            <v>?</v>
          </cell>
          <cell r="U1048" t="str">
            <v>D.CHANAL</v>
          </cell>
          <cell r="AA1048" t="str">
            <v>E</v>
          </cell>
          <cell r="AB1048" t="str">
            <v>Projet</v>
          </cell>
          <cell r="AC1048" t="str">
            <v>ESF</v>
          </cell>
          <cell r="AD1048" t="str">
            <v>SM ET.4-10639</v>
          </cell>
          <cell r="AE1048" t="str">
            <v>Spécification de management MF19</v>
          </cell>
          <cell r="AF1048" t="str">
            <v>7.3.7</v>
          </cell>
          <cell r="AI1048">
            <v>1</v>
          </cell>
          <cell r="AP1048" t="str">
            <v>FD</v>
          </cell>
          <cell r="AU1048" t="str">
            <v>Maj</v>
          </cell>
          <cell r="AW1048" t="str">
            <v>Maj</v>
          </cell>
          <cell r="CH1048" t="e">
            <v>#N/A</v>
          </cell>
          <cell r="CI1048" t="e">
            <v>#N/A</v>
          </cell>
          <cell r="CJ1048" t="e">
            <v>#N/A</v>
          </cell>
        </row>
        <row r="1049">
          <cell r="B1049" t="str">
            <v>Ligne_233.27_PPD</v>
          </cell>
          <cell r="C1049" t="str">
            <v>233.27</v>
          </cell>
          <cell r="E1049" t="str">
            <v>Dossiers d'analyse sur Evénements Redoutés de Sécurité</v>
          </cell>
          <cell r="G1049" t="str">
            <v>ERS28 DEFAUT DE RESISTANCE DU MATERIEL ROULANT EN CAS DE COLLISION A BASSE VITESSE</v>
          </cell>
          <cell r="R1049" t="str">
            <v>BT</v>
          </cell>
          <cell r="S1049" t="str">
            <v>BT</v>
          </cell>
          <cell r="T1049" t="str">
            <v>AT</v>
          </cell>
          <cell r="U1049" t="str">
            <v>D.CHANAL</v>
          </cell>
          <cell r="AA1049" t="str">
            <v>E</v>
          </cell>
          <cell r="AB1049" t="str">
            <v>Projet</v>
          </cell>
          <cell r="AC1049" t="str">
            <v>ESF</v>
          </cell>
          <cell r="AD1049" t="str">
            <v>SM ET.4-10639</v>
          </cell>
          <cell r="AE1049" t="str">
            <v>Spécification de management MF19</v>
          </cell>
          <cell r="AF1049" t="str">
            <v>7.3.7</v>
          </cell>
          <cell r="AI1049">
            <v>1</v>
          </cell>
          <cell r="AP1049" t="str">
            <v>FD</v>
          </cell>
          <cell r="AU1049" t="str">
            <v>Maj</v>
          </cell>
          <cell r="AW1049" t="str">
            <v>Maj</v>
          </cell>
          <cell r="CH1049" t="e">
            <v>#N/A</v>
          </cell>
          <cell r="CI1049" t="e">
            <v>#N/A</v>
          </cell>
          <cell r="CJ1049" t="e">
            <v>#N/A</v>
          </cell>
        </row>
        <row r="1050">
          <cell r="B1050" t="str">
            <v>Ligne_233.28_PPD</v>
          </cell>
          <cell r="C1050" t="str">
            <v>233.28</v>
          </cell>
          <cell r="E1050" t="str">
            <v>Dossiers d'analyse sur Evénements Redoutés de Sécurité</v>
          </cell>
          <cell r="G1050" t="str">
            <v>ERS29 DEFAUT D’AVERTISSEUR SONORE DU TRAIN</v>
          </cell>
          <cell r="S1050" t="str">
            <v>AT</v>
          </cell>
          <cell r="T1050" t="str">
            <v>BT</v>
          </cell>
          <cell r="U1050" t="str">
            <v>D.CHANAL</v>
          </cell>
          <cell r="AA1050" t="str">
            <v>E</v>
          </cell>
          <cell r="AB1050" t="str">
            <v>Projet</v>
          </cell>
          <cell r="AC1050" t="str">
            <v>ESF</v>
          </cell>
          <cell r="AD1050" t="str">
            <v>SM ET.4-10639</v>
          </cell>
          <cell r="AE1050" t="str">
            <v>Spécification de management MF19</v>
          </cell>
          <cell r="AF1050" t="str">
            <v>7.3.7</v>
          </cell>
          <cell r="AI1050">
            <v>1</v>
          </cell>
          <cell r="AP1050" t="str">
            <v>FD</v>
          </cell>
          <cell r="AU1050" t="str">
            <v>Maj</v>
          </cell>
          <cell r="AW1050" t="str">
            <v>Maj</v>
          </cell>
          <cell r="CH1050" t="e">
            <v>#N/A</v>
          </cell>
          <cell r="CI1050" t="e">
            <v>#N/A</v>
          </cell>
          <cell r="CJ1050" t="e">
            <v>#N/A</v>
          </cell>
        </row>
        <row r="1051">
          <cell r="B1051" t="str">
            <v>Ligne_233.29_PPD</v>
          </cell>
          <cell r="C1051" t="str">
            <v>233.29</v>
          </cell>
          <cell r="E1051" t="str">
            <v>Dossiers d'analyse sur Evénements Redoutés de Sécurité</v>
          </cell>
          <cell r="G1051" t="str">
            <v>ERS30 DEFAUT DE VISIBILITE CONDUCTEUR</v>
          </cell>
          <cell r="R1051" t="str">
            <v>BT</v>
          </cell>
          <cell r="S1051" t="str">
            <v>BT</v>
          </cell>
          <cell r="T1051" t="str">
            <v>AT</v>
          </cell>
          <cell r="U1051" t="str">
            <v>D.CHANAL</v>
          </cell>
          <cell r="AA1051" t="str">
            <v>E</v>
          </cell>
          <cell r="AB1051" t="str">
            <v>Projet</v>
          </cell>
          <cell r="AC1051" t="str">
            <v>ESF</v>
          </cell>
          <cell r="AD1051" t="str">
            <v>SM ET.4-10639</v>
          </cell>
          <cell r="AE1051" t="str">
            <v>Spécification de management MF19</v>
          </cell>
          <cell r="AF1051" t="str">
            <v>7.3.7</v>
          </cell>
          <cell r="AI1051">
            <v>1</v>
          </cell>
          <cell r="AP1051" t="str">
            <v>FD</v>
          </cell>
          <cell r="AU1051" t="str">
            <v>Maj</v>
          </cell>
          <cell r="AW1051" t="str">
            <v>Maj</v>
          </cell>
          <cell r="CH1051" t="e">
            <v>#N/A</v>
          </cell>
          <cell r="CI1051" t="e">
            <v>#N/A</v>
          </cell>
          <cell r="CJ1051" t="e">
            <v>#N/A</v>
          </cell>
        </row>
        <row r="1052">
          <cell r="B1052" t="str">
            <v>Ligne_233.30_PPD</v>
          </cell>
          <cell r="C1052" t="str">
            <v>233.30</v>
          </cell>
          <cell r="E1052" t="str">
            <v>Dossiers d'analyse sur Evénements Redoutés de Sécurité</v>
          </cell>
          <cell r="G1052" t="str">
            <v>ERS31 EVACUATION NON MAITRISEE</v>
          </cell>
          <cell r="S1052" t="str">
            <v>AT</v>
          </cell>
          <cell r="T1052" t="str">
            <v>?</v>
          </cell>
          <cell r="U1052" t="str">
            <v>D.CHANAL</v>
          </cell>
          <cell r="AA1052" t="str">
            <v>E</v>
          </cell>
          <cell r="AB1052" t="str">
            <v>Projet</v>
          </cell>
          <cell r="AC1052" t="str">
            <v>ESF</v>
          </cell>
          <cell r="AD1052" t="str">
            <v>SM ET.4-10639</v>
          </cell>
          <cell r="AE1052" t="str">
            <v>Spécification de management MF19</v>
          </cell>
          <cell r="AF1052" t="str">
            <v>7.3.7</v>
          </cell>
          <cell r="AI1052">
            <v>1</v>
          </cell>
          <cell r="AP1052" t="str">
            <v>FD</v>
          </cell>
          <cell r="AU1052" t="str">
            <v>Maj</v>
          </cell>
          <cell r="AW1052" t="str">
            <v>Maj</v>
          </cell>
          <cell r="CH1052" t="e">
            <v>#N/A</v>
          </cell>
          <cell r="CI1052" t="e">
            <v>#N/A</v>
          </cell>
          <cell r="CJ1052" t="e">
            <v>#N/A</v>
          </cell>
        </row>
        <row r="1053">
          <cell r="B1053" t="str">
            <v>Ligne_233.31_PPD</v>
          </cell>
          <cell r="C1053" t="str">
            <v>233.31</v>
          </cell>
          <cell r="E1053" t="str">
            <v>Dossiers d'analyse sur Evénements Redoutés de Sécurité</v>
          </cell>
          <cell r="G1053" t="str">
            <v>ERS32 DEFAUT D’ACCES A LA CABINE CONDUCTEUR EN SITUATION NORMALE ET EN SITUATION D’EVACUATION.</v>
          </cell>
          <cell r="R1053" t="str">
            <v>BT</v>
          </cell>
          <cell r="S1053" t="str">
            <v>BT</v>
          </cell>
          <cell r="T1053" t="str">
            <v>AT</v>
          </cell>
          <cell r="U1053" t="str">
            <v>D.CHANAL</v>
          </cell>
          <cell r="AA1053" t="str">
            <v>E</v>
          </cell>
          <cell r="AB1053" t="str">
            <v>Projet</v>
          </cell>
          <cell r="AC1053" t="str">
            <v>ESF</v>
          </cell>
          <cell r="AD1053" t="str">
            <v>SM ET.4-10639</v>
          </cell>
          <cell r="AE1053" t="str">
            <v>Spécification de management MF19</v>
          </cell>
          <cell r="AF1053" t="str">
            <v>7.3.7</v>
          </cell>
          <cell r="AI1053">
            <v>1</v>
          </cell>
          <cell r="AP1053" t="str">
            <v>FD</v>
          </cell>
          <cell r="AU1053" t="str">
            <v>Maj</v>
          </cell>
          <cell r="AW1053" t="str">
            <v>Maj</v>
          </cell>
          <cell r="CH1053" t="e">
            <v>#N/A</v>
          </cell>
          <cell r="CI1053" t="e">
            <v>#N/A</v>
          </cell>
          <cell r="CJ1053" t="e">
            <v>#N/A</v>
          </cell>
        </row>
        <row r="1054">
          <cell r="B1054" t="str">
            <v>Ligne_233.32_PPD</v>
          </cell>
          <cell r="C1054" t="str">
            <v>233.32</v>
          </cell>
          <cell r="E1054" t="str">
            <v>Dossiers d'analyse sur Evénements Redoutés de Sécurité</v>
          </cell>
          <cell r="G1054" t="str">
            <v>ERS33 DEFAUT DE SIGNALISATION DU TRAIN PAR LES FANAUX</v>
          </cell>
          <cell r="S1054" t="str">
            <v>AT</v>
          </cell>
          <cell r="T1054" t="str">
            <v>BT</v>
          </cell>
          <cell r="U1054" t="str">
            <v>D.CHANAL</v>
          </cell>
          <cell r="AA1054" t="str">
            <v>E</v>
          </cell>
          <cell r="AB1054" t="str">
            <v>Projet</v>
          </cell>
          <cell r="AC1054" t="str">
            <v>ESF</v>
          </cell>
          <cell r="AD1054" t="str">
            <v>SM ET.4-10639</v>
          </cell>
          <cell r="AE1054" t="str">
            <v>Spécification de management MF19</v>
          </cell>
          <cell r="AF1054" t="str">
            <v>7.3.7</v>
          </cell>
          <cell r="AI1054">
            <v>1</v>
          </cell>
          <cell r="AP1054" t="str">
            <v>FD</v>
          </cell>
          <cell r="AU1054" t="str">
            <v>Maj</v>
          </cell>
          <cell r="AW1054" t="str">
            <v>Maj</v>
          </cell>
          <cell r="CH1054" t="e">
            <v>#N/A</v>
          </cell>
          <cell r="CI1054" t="e">
            <v>#N/A</v>
          </cell>
          <cell r="CJ1054" t="e">
            <v>#N/A</v>
          </cell>
        </row>
        <row r="1055">
          <cell r="B1055" t="str">
            <v>Ligne_233.33_PPD</v>
          </cell>
          <cell r="C1055" t="str">
            <v>233.33</v>
          </cell>
          <cell r="E1055" t="str">
            <v>Dossiers d'analyse sur Evénements Redoutés de Sécurité</v>
          </cell>
          <cell r="G1055" t="str">
            <v>ERS34 CHUTE DE PASSAGER</v>
          </cell>
          <cell r="S1055" t="str">
            <v>AT</v>
          </cell>
          <cell r="T1055" t="str">
            <v>BT</v>
          </cell>
          <cell r="U1055" t="str">
            <v>D.CHANAL</v>
          </cell>
          <cell r="AA1055" t="str">
            <v>E</v>
          </cell>
          <cell r="AB1055" t="str">
            <v>Projet</v>
          </cell>
          <cell r="AC1055" t="str">
            <v>ESF</v>
          </cell>
          <cell r="AD1055" t="str">
            <v>SM ET.4-10639</v>
          </cell>
          <cell r="AE1055" t="str">
            <v>Spécification de management MF19</v>
          </cell>
          <cell r="AF1055" t="str">
            <v>7.3.7</v>
          </cell>
          <cell r="AI1055">
            <v>1</v>
          </cell>
          <cell r="AP1055" t="str">
            <v>FD</v>
          </cell>
          <cell r="AU1055" t="str">
            <v>Maj</v>
          </cell>
          <cell r="AW1055" t="str">
            <v>Maj</v>
          </cell>
          <cell r="CH1055" t="e">
            <v>#N/A</v>
          </cell>
          <cell r="CI1055" t="e">
            <v>#N/A</v>
          </cell>
          <cell r="CJ1055" t="e">
            <v>#N/A</v>
          </cell>
        </row>
        <row r="1056">
          <cell r="B1056" t="str">
            <v>Ligne_233.34_PPD</v>
          </cell>
          <cell r="C1056" t="str">
            <v>233.34</v>
          </cell>
          <cell r="E1056" t="str">
            <v>Dossiers d'analyse sur Evénements Redoutés de Sécurité</v>
          </cell>
          <cell r="G1056" t="str">
            <v>ERS35 ABSENCE DE RENOUVELLEMENT D’AIR DANS UNE VOITURE</v>
          </cell>
          <cell r="S1056" t="str">
            <v>AT</v>
          </cell>
          <cell r="T1056" t="str">
            <v>BT</v>
          </cell>
          <cell r="U1056" t="str">
            <v>D.CHANAL</v>
          </cell>
          <cell r="AA1056" t="str">
            <v>E</v>
          </cell>
          <cell r="AB1056" t="str">
            <v>Projet</v>
          </cell>
          <cell r="AC1056" t="str">
            <v>ESF</v>
          </cell>
          <cell r="AD1056" t="str">
            <v>SM ET.4-10639</v>
          </cell>
          <cell r="AE1056" t="str">
            <v>Spécification de management MF19</v>
          </cell>
          <cell r="AF1056" t="str">
            <v>7.3.7</v>
          </cell>
          <cell r="AI1056">
            <v>1</v>
          </cell>
          <cell r="AP1056" t="str">
            <v>FD</v>
          </cell>
          <cell r="AU1056" t="str">
            <v>Maj</v>
          </cell>
          <cell r="AW1056" t="str">
            <v>Maj</v>
          </cell>
          <cell r="CH1056" t="e">
            <v>#N/A</v>
          </cell>
          <cell r="CI1056" t="e">
            <v>#N/A</v>
          </cell>
          <cell r="CJ1056" t="e">
            <v>#N/A</v>
          </cell>
        </row>
        <row r="1057">
          <cell r="B1057" t="str">
            <v>Ligne_233.35_PPD</v>
          </cell>
          <cell r="C1057" t="str">
            <v>233.35</v>
          </cell>
          <cell r="E1057" t="str">
            <v>Dossiers d'analyse sur Evénements Redoutés de Sécurité</v>
          </cell>
          <cell r="G1057" t="str">
            <v>ERS36 POLLUTION DU RAIL OU DES APPAREILS DE VOIE</v>
          </cell>
          <cell r="S1057" t="str">
            <v>AT</v>
          </cell>
          <cell r="T1057" t="str">
            <v>BT</v>
          </cell>
          <cell r="U1057" t="str">
            <v>D.CHANAL</v>
          </cell>
          <cell r="AA1057" t="str">
            <v>E</v>
          </cell>
          <cell r="AB1057" t="str">
            <v>Projet</v>
          </cell>
          <cell r="AC1057" t="str">
            <v>ESF</v>
          </cell>
          <cell r="AD1057" t="str">
            <v>SM ET.4-10639</v>
          </cell>
          <cell r="AE1057" t="str">
            <v>Spécification de management MF19</v>
          </cell>
          <cell r="AF1057" t="str">
            <v>7.3.7</v>
          </cell>
          <cell r="AI1057">
            <v>1</v>
          </cell>
          <cell r="AP1057" t="str">
            <v>FD</v>
          </cell>
          <cell r="AU1057" t="str">
            <v>Maj</v>
          </cell>
          <cell r="AW1057" t="str">
            <v>Maj</v>
          </cell>
          <cell r="CH1057" t="e">
            <v>#N/A</v>
          </cell>
          <cell r="CI1057" t="e">
            <v>#N/A</v>
          </cell>
          <cell r="CJ1057" t="e">
            <v>#N/A</v>
          </cell>
        </row>
        <row r="1058">
          <cell r="B1058" t="str">
            <v>Ligne_234_PPD</v>
          </cell>
          <cell r="C1058">
            <v>234</v>
          </cell>
          <cell r="E1058" t="str">
            <v>Dossier de synthése de sécurité (DS)</v>
          </cell>
          <cell r="G1058" t="str">
            <v>LIVRABLE</v>
          </cell>
          <cell r="R1058" t="str">
            <v>NA</v>
          </cell>
          <cell r="S1058" t="str">
            <v>AT</v>
          </cell>
          <cell r="T1058" t="str">
            <v>NA</v>
          </cell>
          <cell r="U1058" t="str">
            <v>NA</v>
          </cell>
          <cell r="AA1058" t="str">
            <v>E</v>
          </cell>
          <cell r="AB1058" t="str">
            <v>Projet</v>
          </cell>
          <cell r="AC1058" t="str">
            <v>ESF</v>
          </cell>
          <cell r="AD1058" t="str">
            <v>SM ET.4-10639</v>
          </cell>
          <cell r="AE1058" t="str">
            <v>Spécification de management MF19</v>
          </cell>
          <cell r="AF1058" t="str">
            <v>7.3.9 ; 2.2.4.1 ; 7.6.2</v>
          </cell>
          <cell r="AI1058">
            <v>9</v>
          </cell>
          <cell r="AP1058" t="str">
            <v>FD</v>
          </cell>
          <cell r="AW1058" t="str">
            <v>Maj</v>
          </cell>
          <cell r="CH1058" t="e">
            <v>#N/A</v>
          </cell>
          <cell r="CI1058" t="e">
            <v>#N/A</v>
          </cell>
          <cell r="CJ1058" t="e">
            <v>#N/A</v>
          </cell>
        </row>
        <row r="1059">
          <cell r="B1059" t="str">
            <v>Ligne_234.1_PPD</v>
          </cell>
          <cell r="C1059" t="str">
            <v>234.1</v>
          </cell>
          <cell r="E1059" t="str">
            <v>Dossier de synthése de sécurité (DS)</v>
          </cell>
          <cell r="G1059" t="str">
            <v>DOSSIER DE CONCEPTION DE SECURITE GENERIQUE</v>
          </cell>
          <cell r="S1059" t="str">
            <v>AT</v>
          </cell>
          <cell r="T1059" t="str">
            <v>BT</v>
          </cell>
          <cell r="U1059" t="str">
            <v>D.CHANAL</v>
          </cell>
          <cell r="AA1059" t="str">
            <v>E</v>
          </cell>
          <cell r="AB1059" t="str">
            <v>Projet</v>
          </cell>
          <cell r="AC1059" t="str">
            <v>ESF</v>
          </cell>
          <cell r="AD1059" t="str">
            <v>SM ET.4-10639</v>
          </cell>
          <cell r="AE1059" t="str">
            <v>Spécification de management MF19</v>
          </cell>
          <cell r="AF1059" t="str">
            <v>7.3.9 ; 2.2.4.1 ; 7.6.2</v>
          </cell>
          <cell r="AI1059">
            <v>1</v>
          </cell>
          <cell r="AP1059" t="str">
            <v>FD</v>
          </cell>
          <cell r="AW1059" t="str">
            <v>Maj</v>
          </cell>
          <cell r="CH1059" t="e">
            <v>#N/A</v>
          </cell>
          <cell r="CI1059" t="e">
            <v>#N/A</v>
          </cell>
          <cell r="CJ1059" t="e">
            <v>#N/A</v>
          </cell>
        </row>
        <row r="1060">
          <cell r="B1060" t="str">
            <v>Ligne_234.2_PPD</v>
          </cell>
          <cell r="C1060" t="str">
            <v>234.2</v>
          </cell>
          <cell r="E1060" t="str">
            <v>Dossier de synthése de sécurité (DS)</v>
          </cell>
          <cell r="G1060" t="str">
            <v>DOSSIER DE SYNTHESE DE SECURITE 4V CC LIGNE 3BIS</v>
          </cell>
          <cell r="S1060" t="str">
            <v>AT</v>
          </cell>
          <cell r="T1060" t="str">
            <v>BT</v>
          </cell>
          <cell r="U1060" t="str">
            <v>D.CHANAL</v>
          </cell>
          <cell r="AA1060" t="str">
            <v>E</v>
          </cell>
          <cell r="AB1060" t="str">
            <v>Projet</v>
          </cell>
          <cell r="AC1060" t="str">
            <v>ESF</v>
          </cell>
          <cell r="AD1060" t="str">
            <v>SM ET.4-10639</v>
          </cell>
          <cell r="AE1060" t="str">
            <v>Spécification de management MF19</v>
          </cell>
          <cell r="AF1060" t="str">
            <v>7.3.9 ; 2.2.4.1 ; 7.6.2</v>
          </cell>
          <cell r="AI1060">
            <v>1</v>
          </cell>
          <cell r="AW1060" t="str">
            <v>FD</v>
          </cell>
          <cell r="CH1060" t="e">
            <v>#N/A</v>
          </cell>
          <cell r="CI1060" t="e">
            <v>#N/A</v>
          </cell>
          <cell r="CJ1060" t="e">
            <v>#N/A</v>
          </cell>
        </row>
        <row r="1061">
          <cell r="B1061" t="str">
            <v>Ligne_234.3_PPD</v>
          </cell>
          <cell r="C1061" t="str">
            <v>234.3</v>
          </cell>
          <cell r="E1061" t="str">
            <v>Dossier de synthése de sécurité (DS)</v>
          </cell>
          <cell r="G1061" t="str">
            <v>DOSSIER DE SYNTHESE DE SECURITE 4V CC LIGNE 7BIS</v>
          </cell>
          <cell r="S1061" t="str">
            <v>AT</v>
          </cell>
          <cell r="T1061" t="str">
            <v>BT</v>
          </cell>
          <cell r="U1061" t="str">
            <v>D.CHANAL</v>
          </cell>
          <cell r="AA1061" t="str">
            <v>E</v>
          </cell>
          <cell r="AB1061" t="str">
            <v>Projet</v>
          </cell>
          <cell r="AC1061" t="str">
            <v>ESF</v>
          </cell>
          <cell r="AD1061" t="str">
            <v>SM ET.4-10639</v>
          </cell>
          <cell r="AE1061" t="str">
            <v>Spécification de management MF19</v>
          </cell>
          <cell r="AF1061" t="str">
            <v>7.3.9 ; 2.2.4.1 ; 7.6.2</v>
          </cell>
          <cell r="AI1061">
            <v>1</v>
          </cell>
          <cell r="AW1061" t="str">
            <v>FD</v>
          </cell>
          <cell r="CH1061" t="e">
            <v>#N/A</v>
          </cell>
          <cell r="CI1061" t="e">
            <v>#N/A</v>
          </cell>
          <cell r="CJ1061" t="e">
            <v>#N/A</v>
          </cell>
        </row>
        <row r="1062">
          <cell r="B1062" t="str">
            <v>Ligne_234.4_PPD</v>
          </cell>
          <cell r="C1062" t="str">
            <v>234.4</v>
          </cell>
          <cell r="E1062" t="str">
            <v>Dossier de synthése de sécurité (DS)</v>
          </cell>
          <cell r="G1062" t="str">
            <v>DOSSIER DE CONCEPTION DE SECURITE 5V LIGNE 3</v>
          </cell>
          <cell r="S1062" t="str">
            <v>AT</v>
          </cell>
          <cell r="T1062" t="str">
            <v>BT</v>
          </cell>
          <cell r="U1062" t="str">
            <v>D.CHANAL</v>
          </cell>
          <cell r="AA1062" t="str">
            <v>E</v>
          </cell>
          <cell r="AB1062" t="str">
            <v>Projet</v>
          </cell>
          <cell r="AC1062" t="str">
            <v>ESF</v>
          </cell>
          <cell r="AD1062" t="str">
            <v>SM ET.4-10639</v>
          </cell>
          <cell r="AE1062" t="str">
            <v>Spécification de management MF19</v>
          </cell>
          <cell r="AF1062" t="str">
            <v>7.3.9 ; 2.2.4.1 ; 7.6.2</v>
          </cell>
          <cell r="AI1062">
            <v>1</v>
          </cell>
          <cell r="AW1062" t="str">
            <v>FD</v>
          </cell>
          <cell r="CH1062" t="e">
            <v>#N/A</v>
          </cell>
          <cell r="CI1062" t="e">
            <v>#N/A</v>
          </cell>
          <cell r="CJ1062" t="e">
            <v>#N/A</v>
          </cell>
        </row>
        <row r="1063">
          <cell r="B1063" t="str">
            <v>Ligne_234.5_PPD</v>
          </cell>
          <cell r="C1063" t="str">
            <v>234.5</v>
          </cell>
          <cell r="E1063" t="str">
            <v>Dossier de synthése de sécurité (DS)</v>
          </cell>
          <cell r="G1063" t="str">
            <v>DOSSIER DE CONCEPTION DE SECURITE 5V LIGNE 7</v>
          </cell>
          <cell r="S1063" t="str">
            <v>AT</v>
          </cell>
          <cell r="T1063" t="str">
            <v>BT</v>
          </cell>
          <cell r="U1063" t="str">
            <v>D.CHANAL</v>
          </cell>
          <cell r="AA1063" t="str">
            <v>E</v>
          </cell>
          <cell r="AB1063" t="str">
            <v>Projet</v>
          </cell>
          <cell r="AC1063" t="str">
            <v>ESF</v>
          </cell>
          <cell r="AD1063" t="str">
            <v>SM ET.4-10639</v>
          </cell>
          <cell r="AE1063" t="str">
            <v>Spécification de management MF19</v>
          </cell>
          <cell r="AF1063" t="str">
            <v>7.3.9 ; 2.2.4.1 ; 7.6.2</v>
          </cell>
          <cell r="AI1063">
            <v>1</v>
          </cell>
          <cell r="AW1063" t="str">
            <v>FD</v>
          </cell>
          <cell r="CH1063" t="e">
            <v>#N/A</v>
          </cell>
          <cell r="CI1063" t="e">
            <v>#N/A</v>
          </cell>
          <cell r="CJ1063" t="e">
            <v>#N/A</v>
          </cell>
        </row>
        <row r="1064">
          <cell r="B1064" t="str">
            <v>Ligne_234.6_PPD</v>
          </cell>
          <cell r="C1064" t="str">
            <v>234.6</v>
          </cell>
          <cell r="E1064" t="str">
            <v>Dossier de synthése de sécurité (DS)</v>
          </cell>
          <cell r="G1064" t="str">
            <v>DOSSIER DE CONCEPTION DE SECURITE 5V LIGNE 8</v>
          </cell>
          <cell r="S1064" t="str">
            <v>AT</v>
          </cell>
          <cell r="T1064" t="str">
            <v>BT</v>
          </cell>
          <cell r="U1064" t="str">
            <v>D.CHANAL</v>
          </cell>
          <cell r="AA1064" t="str">
            <v>E</v>
          </cell>
          <cell r="AB1064" t="str">
            <v>Projet</v>
          </cell>
          <cell r="AC1064" t="str">
            <v>ESF</v>
          </cell>
          <cell r="AD1064" t="str">
            <v>SM ET.4-10639</v>
          </cell>
          <cell r="AE1064" t="str">
            <v>Spécification de management MF19</v>
          </cell>
          <cell r="AF1064" t="str">
            <v>7.3.9 ; 2.2.4.1 ; 7.6.2</v>
          </cell>
          <cell r="AI1064">
            <v>1</v>
          </cell>
          <cell r="AW1064" t="str">
            <v>FD</v>
          </cell>
          <cell r="CH1064" t="e">
            <v>#N/A</v>
          </cell>
          <cell r="CI1064" t="e">
            <v>#N/A</v>
          </cell>
          <cell r="CJ1064" t="e">
            <v>#N/A</v>
          </cell>
        </row>
        <row r="1065">
          <cell r="B1065" t="str">
            <v>Ligne_234.7_PPD</v>
          </cell>
          <cell r="C1065" t="str">
            <v>234.7</v>
          </cell>
          <cell r="E1065" t="str">
            <v>Dossier de synthése de sécurité (DS)</v>
          </cell>
          <cell r="G1065" t="str">
            <v>DOSSIER DE CONCEPTION DE SECURITE 5V LIGNE 10</v>
          </cell>
          <cell r="S1065" t="str">
            <v>AT</v>
          </cell>
          <cell r="T1065" t="str">
            <v>BT</v>
          </cell>
          <cell r="U1065" t="str">
            <v>D.CHANAL</v>
          </cell>
          <cell r="AA1065" t="str">
            <v>E</v>
          </cell>
          <cell r="AB1065" t="str">
            <v>Projet</v>
          </cell>
          <cell r="AC1065" t="str">
            <v>ESF</v>
          </cell>
          <cell r="AD1065" t="str">
            <v>SM ET.4-10639</v>
          </cell>
          <cell r="AE1065" t="str">
            <v>Spécification de management MF19</v>
          </cell>
          <cell r="AF1065" t="str">
            <v>7.3.9 ; 2.2.4.1 ; 7.6.2</v>
          </cell>
          <cell r="AI1065">
            <v>1</v>
          </cell>
          <cell r="AW1065" t="str">
            <v>FD</v>
          </cell>
          <cell r="CH1065" t="e">
            <v>#N/A</v>
          </cell>
          <cell r="CI1065" t="e">
            <v>#N/A</v>
          </cell>
          <cell r="CJ1065" t="e">
            <v>#N/A</v>
          </cell>
        </row>
        <row r="1066">
          <cell r="B1066" t="str">
            <v>Ligne_234.8_PPD</v>
          </cell>
          <cell r="C1066" t="str">
            <v>234.8</v>
          </cell>
          <cell r="E1066" t="str">
            <v>Dossier de synthése de sécurité (DS)</v>
          </cell>
          <cell r="G1066" t="str">
            <v>DOSSIER DE CONCEPTION DE SECURITE 5V LIGNE 12</v>
          </cell>
          <cell r="S1066" t="str">
            <v>AT</v>
          </cell>
          <cell r="T1066" t="str">
            <v>BT</v>
          </cell>
          <cell r="U1066" t="str">
            <v>D.CHANAL</v>
          </cell>
          <cell r="AA1066" t="str">
            <v>E</v>
          </cell>
          <cell r="AB1066" t="str">
            <v>Projet</v>
          </cell>
          <cell r="AC1066" t="str">
            <v>ESF</v>
          </cell>
          <cell r="AD1066" t="str">
            <v>SM ET.4-10639</v>
          </cell>
          <cell r="AE1066" t="str">
            <v>Spécification de management MF19</v>
          </cell>
          <cell r="AF1066" t="str">
            <v>7.3.9 ; 2.2.4.1 ; 7.6.2</v>
          </cell>
          <cell r="AI1066">
            <v>1</v>
          </cell>
          <cell r="AW1066" t="str">
            <v>FD</v>
          </cell>
          <cell r="CH1066" t="e">
            <v>#N/A</v>
          </cell>
          <cell r="CI1066" t="e">
            <v>#N/A</v>
          </cell>
          <cell r="CJ1066" t="e">
            <v>#N/A</v>
          </cell>
        </row>
        <row r="1067">
          <cell r="B1067" t="str">
            <v>Ligne_234.9_PPD</v>
          </cell>
          <cell r="C1067" t="str">
            <v>234.9</v>
          </cell>
          <cell r="E1067" t="str">
            <v>Dossier de synthése de sécurité (DS)</v>
          </cell>
          <cell r="G1067" t="str">
            <v>DOSSIER DE CONCEPTION DE SECURITE 5V LIGNE 13</v>
          </cell>
          <cell r="S1067" t="str">
            <v>AT</v>
          </cell>
          <cell r="T1067" t="str">
            <v>BT</v>
          </cell>
          <cell r="U1067" t="str">
            <v>D.CHANAL</v>
          </cell>
          <cell r="AA1067" t="str">
            <v>E</v>
          </cell>
          <cell r="AB1067" t="str">
            <v>Projet</v>
          </cell>
          <cell r="AC1067" t="str">
            <v>ESF</v>
          </cell>
          <cell r="AD1067" t="str">
            <v>SM ET.4-10639</v>
          </cell>
          <cell r="AE1067" t="str">
            <v>Spécification de management MF19</v>
          </cell>
          <cell r="AF1067" t="str">
            <v>7.3.9 ; 2.2.4.1 ; 7.6.2</v>
          </cell>
          <cell r="AI1067">
            <v>1</v>
          </cell>
          <cell r="AW1067" t="str">
            <v>FD</v>
          </cell>
          <cell r="CH1067" t="e">
            <v>#N/A</v>
          </cell>
          <cell r="CI1067" t="e">
            <v>#N/A</v>
          </cell>
          <cell r="CJ1067" t="e">
            <v>#N/A</v>
          </cell>
        </row>
        <row r="1068">
          <cell r="A1068" t="str">
            <v>ADD0003308419</v>
          </cell>
          <cell r="B1068" t="str">
            <v>Ligne_235_PPD</v>
          </cell>
          <cell r="C1068">
            <v>235</v>
          </cell>
          <cell r="E1068" t="str">
            <v>Allocations de fiabilité et de disponibilité</v>
          </cell>
          <cell r="F1068" t="str">
            <v>B</v>
          </cell>
          <cell r="G1068" t="str">
            <v>ALLOCATIONS DE FIABILITE ET DE DISPONIBILITE</v>
          </cell>
          <cell r="M1068" t="str">
            <v>M-07_GESTION_DE_LA_SURETE_DE_FONCTIONNEMENT</v>
          </cell>
          <cell r="N1068" t="str">
            <v>DJD</v>
          </cell>
          <cell r="O1068" t="str">
            <v>DAF_DOSS. ANALYSE DE FIABILITÉ</v>
          </cell>
          <cell r="Q1068">
            <v>0</v>
          </cell>
          <cell r="R1068" t="str">
            <v>VPF</v>
          </cell>
          <cell r="S1068" t="str">
            <v>AT</v>
          </cell>
          <cell r="T1068" t="str">
            <v>BT</v>
          </cell>
          <cell r="U1068" t="str">
            <v>D.CHANAL</v>
          </cell>
          <cell r="V1068" t="str">
            <v xml:space="preserve">ALSTOM </v>
          </cell>
          <cell r="W1068" t="str">
            <v>N</v>
          </cell>
          <cell r="X1068" t="str">
            <v>Document contractuel FD</v>
          </cell>
          <cell r="Z1068" t="str">
            <v>RTS 191 JS2 ESF 04/09/2020</v>
          </cell>
          <cell r="AA1068" t="str">
            <v>E</v>
          </cell>
          <cell r="AB1068" t="str">
            <v>Projet</v>
          </cell>
          <cell r="AC1068" t="str">
            <v>ESF</v>
          </cell>
          <cell r="AD1068" t="str">
            <v>SM ET.4-10639</v>
          </cell>
          <cell r="AE1068" t="str">
            <v>Spécification de management MF19</v>
          </cell>
          <cell r="AF1068" t="str">
            <v>7.5.7.1</v>
          </cell>
          <cell r="AI1068">
            <v>1</v>
          </cell>
          <cell r="AL1068" t="str">
            <v>FD</v>
          </cell>
          <cell r="AN1068" t="str">
            <v>Maj</v>
          </cell>
          <cell r="AP1068" t="str">
            <v>Maj</v>
          </cell>
          <cell r="BJ1068">
            <v>44017</v>
          </cell>
          <cell r="CH1068" t="str">
            <v>MF19_BORD_AT_00018</v>
          </cell>
          <cell r="CI1068" t="str">
            <v>R</v>
          </cell>
          <cell r="CJ1068" t="str">
            <v>FD</v>
          </cell>
        </row>
        <row r="1069">
          <cell r="B1069" t="str">
            <v>Ligne_236_PPD</v>
          </cell>
          <cell r="C1069">
            <v>236</v>
          </cell>
          <cell r="E1069" t="str">
            <v>Note de synthèse de fiabilité /disponibilité prévisionnelle du système matériel roulant</v>
          </cell>
          <cell r="G1069" t="str">
            <v/>
          </cell>
          <cell r="S1069" t="str">
            <v>AT</v>
          </cell>
          <cell r="T1069" t="str">
            <v>BT</v>
          </cell>
          <cell r="U1069" t="str">
            <v>D.CHANAL</v>
          </cell>
          <cell r="AA1069" t="str">
            <v>E</v>
          </cell>
          <cell r="AB1069" t="str">
            <v>Projet</v>
          </cell>
          <cell r="AC1069" t="str">
            <v>ESF</v>
          </cell>
          <cell r="AD1069" t="str">
            <v>SM ET.4-10639</v>
          </cell>
          <cell r="AE1069" t="str">
            <v>Spécification de management MF19</v>
          </cell>
          <cell r="AF1069" t="str">
            <v>7.5.7.2</v>
          </cell>
          <cell r="AI1069">
            <v>1</v>
          </cell>
          <cell r="AP1069" t="str">
            <v>FD</v>
          </cell>
          <cell r="AU1069" t="str">
            <v>Maj</v>
          </cell>
          <cell r="AW1069" t="str">
            <v>Maj</v>
          </cell>
          <cell r="CH1069" t="e">
            <v>#N/A</v>
          </cell>
          <cell r="CI1069" t="e">
            <v>#N/A</v>
          </cell>
          <cell r="CJ1069" t="e">
            <v>#N/A</v>
          </cell>
        </row>
        <row r="1070">
          <cell r="B1070" t="str">
            <v>Ligne_237_PPD</v>
          </cell>
          <cell r="C1070">
            <v>237</v>
          </cell>
          <cell r="E1070" t="str">
            <v>Procédures de maîtrise des fournitures RATP</v>
          </cell>
          <cell r="G1070" t="str">
            <v/>
          </cell>
          <cell r="S1070" t="str">
            <v>AT</v>
          </cell>
          <cell r="AA1070" t="str">
            <v>E</v>
          </cell>
          <cell r="AB1070" t="str">
            <v>Projet</v>
          </cell>
          <cell r="AC1070" t="str">
            <v>RP11/CA</v>
          </cell>
          <cell r="AD1070" t="str">
            <v>SM ET.4-10639</v>
          </cell>
          <cell r="AE1070" t="str">
            <v>Spécification de management MF19</v>
          </cell>
          <cell r="AF1070" t="str">
            <v>9.4.5</v>
          </cell>
          <cell r="AI1070">
            <v>1</v>
          </cell>
          <cell r="AP1070" t="str">
            <v>FD</v>
          </cell>
          <cell r="CH1070" t="e">
            <v>#N/A</v>
          </cell>
          <cell r="CI1070" t="e">
            <v>#N/A</v>
          </cell>
          <cell r="CJ1070" t="e">
            <v>#N/A</v>
          </cell>
        </row>
        <row r="1071">
          <cell r="B1071" t="str">
            <v>Ligne_238_PPD</v>
          </cell>
          <cell r="C1071">
            <v>238</v>
          </cell>
          <cell r="E1071" t="str">
            <v>Document "Transformation CC/CA"</v>
          </cell>
          <cell r="G1071" t="str">
            <v/>
          </cell>
          <cell r="R1071" t="str">
            <v>BT</v>
          </cell>
          <cell r="S1071" t="str">
            <v>BT</v>
          </cell>
          <cell r="T1071" t="str">
            <v>AT</v>
          </cell>
          <cell r="AA1071" t="str">
            <v>E</v>
          </cell>
          <cell r="AB1071" t="str">
            <v>Transversal</v>
          </cell>
          <cell r="AC1071" t="str">
            <v>ETS</v>
          </cell>
          <cell r="AD1071" t="str">
            <v>SF ET.4-10645</v>
          </cell>
          <cell r="AE1071" t="str">
            <v>Système</v>
          </cell>
          <cell r="AF1071">
            <v>5</v>
          </cell>
          <cell r="AI1071">
            <v>1</v>
          </cell>
          <cell r="AP1071" t="str">
            <v>FD</v>
          </cell>
          <cell r="AX1071" t="str">
            <v>FD</v>
          </cell>
          <cell r="CG1071" t="str">
            <v>30/09/2020 : la FD de JD1 était barrée, enlevé le barré pour import base arbo</v>
          </cell>
          <cell r="CH1071" t="e">
            <v>#N/A</v>
          </cell>
          <cell r="CI1071" t="e">
            <v>#N/A</v>
          </cell>
          <cell r="CJ1071" t="e">
            <v>#N/A</v>
          </cell>
        </row>
        <row r="1072">
          <cell r="B1072" t="str">
            <v>Ligne_239_PPD</v>
          </cell>
          <cell r="C1072">
            <v>239</v>
          </cell>
          <cell r="E1072" t="str">
            <v>Fourniture équipement complémentaire IVSC/VP (2 serveurs IV, 1 écran, 1PLDN)</v>
          </cell>
          <cell r="G1072" t="str">
            <v/>
          </cell>
          <cell r="S1072" t="str">
            <v>AT</v>
          </cell>
          <cell r="U1072" t="str">
            <v>L.DERU</v>
          </cell>
          <cell r="Z1072" t="str">
            <v>discussion doc 50</v>
          </cell>
          <cell r="AA1072" t="str">
            <v>E</v>
          </cell>
          <cell r="AB1072" t="str">
            <v>Interface</v>
          </cell>
          <cell r="AC1072" t="str">
            <v>SIT</v>
          </cell>
          <cell r="AD1072" t="str">
            <v>ING-SVM-STV-D-2016-5130</v>
          </cell>
          <cell r="AE1072" t="str">
            <v>Stratégie intégration IVSC/VP</v>
          </cell>
          <cell r="AF1072" t="str">
            <v>9.4.3</v>
          </cell>
          <cell r="AI1072">
            <v>1</v>
          </cell>
          <cell r="AQ1072" t="str">
            <v>FD</v>
          </cell>
          <cell r="CH1072" t="e">
            <v>#N/A</v>
          </cell>
          <cell r="CI1072" t="e">
            <v>#N/A</v>
          </cell>
          <cell r="CJ1072" t="e">
            <v>#N/A</v>
          </cell>
        </row>
        <row r="1073">
          <cell r="B1073" t="str">
            <v>Ligne_240_PPD</v>
          </cell>
          <cell r="C1073">
            <v>240</v>
          </cell>
          <cell r="E1073" t="str">
            <v>Programme des essais de qualification de conception et des essais de type (liste des essais envisagés puis, pour chaque essai détail des moyens et conditions nécéssaires ainsi que des procédures d'essai) (produit + système matériel roulant)</v>
          </cell>
          <cell r="G1073" t="str">
            <v/>
          </cell>
          <cell r="S1073" t="str">
            <v>ABT</v>
          </cell>
          <cell r="AA1073" t="str">
            <v>E</v>
          </cell>
          <cell r="AB1073" t="str">
            <v>Projet</v>
          </cell>
          <cell r="AC1073" t="str">
            <v>ETS/EMC</v>
          </cell>
          <cell r="AD1073" t="str">
            <v>SM ET.4-10639</v>
          </cell>
          <cell r="AE1073" t="str">
            <v>Spécification de management MF19</v>
          </cell>
          <cell r="AF1073" t="str">
            <v>2.2.2.2.1 ; 2.2.3.2.2</v>
          </cell>
          <cell r="AI1073">
            <v>350</v>
          </cell>
          <cell r="AQ1073" t="str">
            <v>FD</v>
          </cell>
          <cell r="BA1073" t="str">
            <v>Maj</v>
          </cell>
          <cell r="CH1073" t="e">
            <v>#N/A</v>
          </cell>
          <cell r="CI1073" t="e">
            <v>#N/A</v>
          </cell>
          <cell r="CJ1073" t="e">
            <v>#N/A</v>
          </cell>
        </row>
        <row r="1074">
          <cell r="B1074" t="str">
            <v>Ligne_240.1_PPD</v>
          </cell>
          <cell r="C1074" t="str">
            <v>240.1</v>
          </cell>
          <cell r="E1074" t="str">
            <v>Programme des essais de qualification de conception et des essais de type (liste des essais envisagés puis, pour chaque essai détail des moyens et conditions nécéssaires ainsi que des procédures d'essai) (produit + système matériel roulant)</v>
          </cell>
          <cell r="G1074" t="str">
            <v>PROGRAMME DE QUALIFICATION SYSTEME ACCASTILLAGE</v>
          </cell>
          <cell r="R1074" t="str">
            <v>BT</v>
          </cell>
          <cell r="S1074" t="str">
            <v>BT</v>
          </cell>
          <cell r="T1074" t="str">
            <v>NA</v>
          </cell>
          <cell r="U1074" t="str">
            <v>Brahim Idlahcen</v>
          </cell>
          <cell r="Z1074" t="str">
            <v>RTS 193 JS2 EMC 07/09/2020</v>
          </cell>
          <cell r="AA1074" t="str">
            <v>E</v>
          </cell>
          <cell r="AB1074" t="str">
            <v>Projet</v>
          </cell>
          <cell r="AC1074" t="str">
            <v>EMC</v>
          </cell>
          <cell r="AD1074" t="str">
            <v>SM ET.4-10639</v>
          </cell>
          <cell r="AE1074" t="str">
            <v>Spécification de management MF19</v>
          </cell>
          <cell r="AF1074" t="str">
            <v>2.2.2.2.1 ; 2.2.3.2.2</v>
          </cell>
          <cell r="AI1074">
            <v>1</v>
          </cell>
          <cell r="AM1074" t="str">
            <v>FP</v>
          </cell>
          <cell r="AO1074" t="str">
            <v>FD</v>
          </cell>
          <cell r="BK1074">
            <v>44183</v>
          </cell>
          <cell r="CH1074" t="e">
            <v>#N/A</v>
          </cell>
          <cell r="CI1074" t="e">
            <v>#N/A</v>
          </cell>
          <cell r="CJ1074" t="e">
            <v>#N/A</v>
          </cell>
        </row>
        <row r="1075">
          <cell r="B1075" t="str">
            <v>Ligne_240.2_PPD</v>
          </cell>
          <cell r="C1075" t="str">
            <v>240.2</v>
          </cell>
          <cell r="E1075" t="str">
            <v>Programme des essais de qualification de conception et des essais de type (liste des essais envisagés puis, pour chaque essai détail des moyens et conditions nécéssaires ainsi que des procédures d'essai) (produit + système matériel roulant)</v>
          </cell>
          <cell r="G1075" t="str">
            <v>PROGRAMME DE QUALIFICATION SYSTEME VITRE FRONTALE</v>
          </cell>
          <cell r="R1075" t="str">
            <v>BT</v>
          </cell>
          <cell r="S1075" t="str">
            <v>BT</v>
          </cell>
          <cell r="T1075" t="str">
            <v>NA</v>
          </cell>
          <cell r="U1075" t="str">
            <v>Safia Herri</v>
          </cell>
          <cell r="Z1075" t="str">
            <v>RTS 193 JS2 EMC 07/09/2020</v>
          </cell>
          <cell r="AA1075" t="str">
            <v>E</v>
          </cell>
          <cell r="AB1075" t="str">
            <v>Projet</v>
          </cell>
          <cell r="AC1075" t="str">
            <v>EMC</v>
          </cell>
          <cell r="AD1075" t="str">
            <v>SM ET.4-10639</v>
          </cell>
          <cell r="AE1075" t="str">
            <v>Spécification de management MF19</v>
          </cell>
          <cell r="AF1075" t="str">
            <v>2.2.2.2.1 ; 2.2.3.2.2</v>
          </cell>
          <cell r="AI1075">
            <v>1</v>
          </cell>
          <cell r="AM1075" t="str">
            <v>FP</v>
          </cell>
          <cell r="AO1075" t="str">
            <v>FD</v>
          </cell>
          <cell r="BK1075">
            <v>44183</v>
          </cell>
          <cell r="CH1075" t="e">
            <v>#N/A</v>
          </cell>
          <cell r="CI1075" t="e">
            <v>#N/A</v>
          </cell>
          <cell r="CJ1075" t="e">
            <v>#N/A</v>
          </cell>
        </row>
        <row r="1076">
          <cell r="B1076" t="str">
            <v>Ligne_240.3_PPD</v>
          </cell>
          <cell r="C1076" t="str">
            <v>240.3</v>
          </cell>
          <cell r="E1076" t="str">
            <v>Programme des essais de qualification de conception et des essais de type (liste des essais envisagés puis, pour chaque essai détail des moyens et conditions nécéssaires ainsi que des procédures d'essai) (produit + système matériel roulant)</v>
          </cell>
          <cell r="G1076" t="str">
            <v>PROGRAMME DE QUALIFICATION SYSTEME BAIES VITREES LATERALES</v>
          </cell>
          <cell r="R1076" t="str">
            <v>BT</v>
          </cell>
          <cell r="S1076" t="str">
            <v>BT</v>
          </cell>
          <cell r="T1076" t="str">
            <v>NA</v>
          </cell>
          <cell r="U1076" t="str">
            <v>Mickael Karcz</v>
          </cell>
          <cell r="Z1076" t="str">
            <v>RTS 193 JS2 EMC 07/09/2020</v>
          </cell>
          <cell r="AA1076" t="str">
            <v>E</v>
          </cell>
          <cell r="AB1076" t="str">
            <v>Projet</v>
          </cell>
          <cell r="AC1076" t="str">
            <v>EMC</v>
          </cell>
          <cell r="AD1076" t="str">
            <v>SM ET.4-10639</v>
          </cell>
          <cell r="AE1076" t="str">
            <v>Spécification de management MF19</v>
          </cell>
          <cell r="AF1076" t="str">
            <v>2.2.2.2.1 ; 2.2.3.2.2</v>
          </cell>
          <cell r="AI1076">
            <v>1</v>
          </cell>
          <cell r="AM1076" t="str">
            <v>FP</v>
          </cell>
          <cell r="AO1076" t="str">
            <v>FD</v>
          </cell>
          <cell r="BK1076">
            <v>44183</v>
          </cell>
          <cell r="CH1076" t="e">
            <v>#N/A</v>
          </cell>
          <cell r="CI1076" t="e">
            <v>#N/A</v>
          </cell>
          <cell r="CJ1076" t="e">
            <v>#N/A</v>
          </cell>
        </row>
        <row r="1077">
          <cell r="B1077" t="str">
            <v>Ligne_240.4_PPD</v>
          </cell>
          <cell r="C1077" t="str">
            <v>240.4</v>
          </cell>
          <cell r="E1077" t="str">
            <v>Programme des essais de qualification de conception et des essais de type (liste des essais envisagés puis, pour chaque essai détail des moyens et conditions nécéssaires ainsi que des procédures d'essai) (produit + système matériel roulant)</v>
          </cell>
          <cell r="G1077" t="str">
            <v>PROGRAMME DE QUALIFICATION SYSTEME ESSUI-VITRE LAVE-VITRE</v>
          </cell>
          <cell r="R1077" t="str">
            <v>BT</v>
          </cell>
          <cell r="S1077" t="str">
            <v>BT</v>
          </cell>
          <cell r="T1077" t="str">
            <v>NA</v>
          </cell>
          <cell r="U1077" t="str">
            <v>Frédéric Fanouillet</v>
          </cell>
          <cell r="Z1077" t="str">
            <v>RTS 159 JS2 ETS 02/07/2020
RTS 193 JS2 EMC 07/09/2020</v>
          </cell>
          <cell r="AA1077" t="str">
            <v>E</v>
          </cell>
          <cell r="AB1077" t="str">
            <v>Projet</v>
          </cell>
          <cell r="AC1077" t="str">
            <v>EMC/ETS</v>
          </cell>
          <cell r="AD1077" t="str">
            <v>SM ET.4-10639</v>
          </cell>
          <cell r="AE1077" t="str">
            <v>Spécification de management MF19</v>
          </cell>
          <cell r="AF1077" t="str">
            <v>2.2.2.2.1 ; 2.2.3.2.2</v>
          </cell>
          <cell r="AI1077">
            <v>1</v>
          </cell>
          <cell r="AM1077" t="str">
            <v>FP</v>
          </cell>
          <cell r="AO1077" t="str">
            <v>FD</v>
          </cell>
          <cell r="BK1077">
            <v>44183</v>
          </cell>
          <cell r="CH1077" t="e">
            <v>#N/A</v>
          </cell>
          <cell r="CI1077" t="e">
            <v>#N/A</v>
          </cell>
          <cell r="CJ1077" t="e">
            <v>#N/A</v>
          </cell>
        </row>
        <row r="1078">
          <cell r="B1078" t="str">
            <v>Ligne_240.5_PPD</v>
          </cell>
          <cell r="C1078" t="str">
            <v>240.5</v>
          </cell>
          <cell r="E1078" t="str">
            <v>Programme des essais de qualification de conception et des essais de type (liste des essais envisagés puis, pour chaque essai détail des moyens et conditions nécéssaires ainsi que des procédures d'essai) (produit + système matériel roulant)</v>
          </cell>
          <cell r="G1078" t="str">
            <v>PROGRAMME DE QUALIFICATION SYSTÈME PARE-SOLEIL</v>
          </cell>
          <cell r="R1078" t="str">
            <v>BT</v>
          </cell>
          <cell r="S1078" t="str">
            <v>BT</v>
          </cell>
          <cell r="T1078" t="str">
            <v>NA</v>
          </cell>
          <cell r="U1078" t="str">
            <v>Samuel Froidure</v>
          </cell>
          <cell r="Z1078" t="str">
            <v>RTS 193 JS2 EMC 07/09/2020</v>
          </cell>
          <cell r="AA1078" t="str">
            <v>E</v>
          </cell>
          <cell r="AB1078" t="str">
            <v>Projet</v>
          </cell>
          <cell r="AC1078" t="str">
            <v>ETS/EMC</v>
          </cell>
          <cell r="AD1078" t="str">
            <v>SM ET.4-10639
ST EM.4-40093
SM ET.4-10643</v>
          </cell>
          <cell r="AE1078" t="str">
            <v>Spécification de management MF19
Caisse Confort 
Conduite</v>
          </cell>
          <cell r="AF1078" t="str">
            <v>2.2.2.2.1 ; 2.2.3.2.2</v>
          </cell>
          <cell r="AI1078">
            <v>1</v>
          </cell>
          <cell r="AM1078" t="str">
            <v>FP</v>
          </cell>
          <cell r="AO1078" t="str">
            <v>FD</v>
          </cell>
          <cell r="BK1078">
            <v>44183</v>
          </cell>
          <cell r="CH1078" t="e">
            <v>#N/A</v>
          </cell>
          <cell r="CI1078" t="e">
            <v>#N/A</v>
          </cell>
          <cell r="CJ1078" t="e">
            <v>#N/A</v>
          </cell>
        </row>
        <row r="1079">
          <cell r="B1079" t="str">
            <v>Ligne_240.6_PPD</v>
          </cell>
          <cell r="C1079" t="str">
            <v>240.6</v>
          </cell>
          <cell r="E1079" t="str">
            <v>Programme des essais de qualification de conception et des essais de type (liste des essais envisagés puis, pour chaque essai détail des moyens et conditions nécéssaires ainsi que des procédures d'essai) (produit + système matériel roulant)</v>
          </cell>
          <cell r="G1079" t="str">
            <v>PROGRAMME DE QUALIFICATION DISPOSITIF EVACUATION DES VOYAGEURS</v>
          </cell>
          <cell r="R1079" t="str">
            <v>BT</v>
          </cell>
          <cell r="S1079" t="str">
            <v>BT</v>
          </cell>
          <cell r="T1079" t="str">
            <v>NA</v>
          </cell>
          <cell r="U1079" t="str">
            <v>Stephen Henocq</v>
          </cell>
          <cell r="Z1079" t="str">
            <v>RTS 193 JS2 EMC 07/09/2020</v>
          </cell>
          <cell r="AA1079" t="str">
            <v>E</v>
          </cell>
          <cell r="AB1079" t="str">
            <v>Projet</v>
          </cell>
          <cell r="AC1079" t="str">
            <v>ETS/EMC</v>
          </cell>
          <cell r="AD1079" t="str">
            <v>SM ET.4-10639
ST EM.4-40093
SM ET.4-10643</v>
          </cell>
          <cell r="AE1079" t="str">
            <v>Spécification de management MF19
Caisse Confort 
Conduite</v>
          </cell>
          <cell r="AF1079" t="str">
            <v>2.2.2.2.1 ; 2.2.3.2.2</v>
          </cell>
          <cell r="AI1079">
            <v>1</v>
          </cell>
          <cell r="AM1079" t="str">
            <v>FP</v>
          </cell>
          <cell r="AO1079" t="str">
            <v>FD</v>
          </cell>
          <cell r="BK1079">
            <v>44183</v>
          </cell>
          <cell r="CH1079" t="e">
            <v>#N/A</v>
          </cell>
          <cell r="CI1079" t="e">
            <v>#N/A</v>
          </cell>
          <cell r="CJ1079" t="e">
            <v>#N/A</v>
          </cell>
        </row>
        <row r="1080">
          <cell r="B1080" t="str">
            <v>Ligne_240.7_PPD</v>
          </cell>
          <cell r="C1080" t="str">
            <v>240.7</v>
          </cell>
          <cell r="E1080" t="str">
            <v>Programme des essais de qualification de conception et des essais de type (liste des essais envisagés puis, pour chaque essai détail des moyens et conditions nécéssaires ainsi que des procédures d'essai) (produit + système matériel roulant)</v>
          </cell>
          <cell r="G1080" t="str">
            <v>PROGRAMME DE QUALIFICATION SYSTÈME REPOSE PIED</v>
          </cell>
          <cell r="R1080" t="str">
            <v>BT</v>
          </cell>
          <cell r="S1080" t="str">
            <v>BT</v>
          </cell>
          <cell r="T1080" t="str">
            <v>NA</v>
          </cell>
          <cell r="U1080" t="str">
            <v>Frédéric Fanouillet</v>
          </cell>
          <cell r="Z1080" t="str">
            <v>RTS 193 JS2 EMC 07/09/2020</v>
          </cell>
          <cell r="AA1080" t="str">
            <v>E</v>
          </cell>
          <cell r="AB1080" t="str">
            <v>Projet</v>
          </cell>
          <cell r="AC1080" t="str">
            <v>ETS/EMC</v>
          </cell>
          <cell r="AD1080" t="str">
            <v>SM ET.4-10639
ST EM.4-40093
SM ET.4-10643</v>
          </cell>
          <cell r="AE1080" t="str">
            <v>Spécification de management MF19
Caisse Confort 
Conduite</v>
          </cell>
          <cell r="AF1080" t="str">
            <v>2.2.2.2.1 ; 2.2.3.2.2</v>
          </cell>
          <cell r="AI1080">
            <v>1</v>
          </cell>
          <cell r="AM1080" t="str">
            <v>FP</v>
          </cell>
          <cell r="AO1080" t="str">
            <v>FD</v>
          </cell>
          <cell r="BK1080">
            <v>44183</v>
          </cell>
          <cell r="CH1080" t="e">
            <v>#N/A</v>
          </cell>
          <cell r="CI1080" t="e">
            <v>#N/A</v>
          </cell>
          <cell r="CJ1080" t="e">
            <v>#N/A</v>
          </cell>
        </row>
        <row r="1081">
          <cell r="A1081">
            <v>100447068</v>
          </cell>
          <cell r="B1081" t="str">
            <v>Ligne_240.8_PPD</v>
          </cell>
          <cell r="C1081" t="str">
            <v>240.8</v>
          </cell>
          <cell r="E1081" t="str">
            <v>Programme des essais de qualification de conception et des essais de type (liste des essais envisagés puis, pour chaque essai détail des moyens et conditions nécéssaires ainsi que des procédures d'essai) (produit + système matériel roulant)</v>
          </cell>
          <cell r="G1081" t="str">
            <v>SPECIFICATION D ESSAIS DE TYPE SOLLICITATIONS EXCEPTIONNELLES VEHICULE S</v>
          </cell>
          <cell r="R1081" t="str">
            <v>BT</v>
          </cell>
          <cell r="S1081" t="str">
            <v>BT</v>
          </cell>
          <cell r="T1081" t="str">
            <v>NA</v>
          </cell>
          <cell r="V1081" t="str">
            <v>BOMBARDIER</v>
          </cell>
          <cell r="Z1081" t="str">
            <v>RTS 193 JS2 EMC 07/09/2020</v>
          </cell>
          <cell r="AA1081" t="str">
            <v>E</v>
          </cell>
          <cell r="AB1081" t="str">
            <v>Projet</v>
          </cell>
          <cell r="AC1081" t="str">
            <v>ETS/EMC</v>
          </cell>
          <cell r="AD1081" t="str">
            <v>SM ET.4-10639
ST EM.4-40093
SM ET.4-10643</v>
          </cell>
          <cell r="AE1081" t="str">
            <v>Spécification de management MF19
Caisse Confort 
Conduite</v>
          </cell>
          <cell r="AF1081" t="str">
            <v>2.2.2.2.1 ; 2.2.3.2.2</v>
          </cell>
          <cell r="AI1081">
            <v>1</v>
          </cell>
          <cell r="AO1081" t="str">
            <v>FD</v>
          </cell>
          <cell r="CH1081" t="e">
            <v>#N/A</v>
          </cell>
          <cell r="CI1081" t="e">
            <v>#N/A</v>
          </cell>
          <cell r="CJ1081" t="e">
            <v>#N/A</v>
          </cell>
        </row>
        <row r="1082">
          <cell r="B1082" t="str">
            <v>Ligne_240.9_PPD</v>
          </cell>
          <cell r="C1082" t="str">
            <v>240.9</v>
          </cell>
          <cell r="E1082" t="str">
            <v>Programme des essais de qualification de conception et des essais de type (liste des essais envisagés puis, pour chaque essai détail des moyens et conditions nécéssaires ainsi que des procédures d'essai) (produit + système matériel roulant)</v>
          </cell>
          <cell r="G1082" t="str">
            <v>SPECIFICATION D ESSAIS DE TYPE SOLLICITATIONS DE SERVICE VEHICULE S</v>
          </cell>
          <cell r="R1082" t="str">
            <v>BT</v>
          </cell>
          <cell r="S1082" t="str">
            <v>BT</v>
          </cell>
          <cell r="T1082" t="str">
            <v>NA</v>
          </cell>
          <cell r="V1082" t="str">
            <v>BOMBARDIER</v>
          </cell>
          <cell r="Z1082" t="str">
            <v>RTS 193 JS2 EMC 07/09/2020</v>
          </cell>
          <cell r="AA1082" t="str">
            <v>E</v>
          </cell>
          <cell r="AB1082" t="str">
            <v>Projet</v>
          </cell>
          <cell r="AC1082" t="str">
            <v>ETS/EMC</v>
          </cell>
          <cell r="AD1082" t="str">
            <v>SM ET.4-10639
ST EM.4-40093
SM ET.4-10643</v>
          </cell>
          <cell r="AE1082" t="str">
            <v>Spécification de management MF19
Caisse Confort 
Conduite</v>
          </cell>
          <cell r="AF1082" t="str">
            <v>2.2.2.2.1 ; 2.2.3.2.2</v>
          </cell>
          <cell r="AI1082">
            <v>1</v>
          </cell>
          <cell r="AQ1082" t="str">
            <v>FD</v>
          </cell>
          <cell r="CH1082" t="e">
            <v>#N/A</v>
          </cell>
          <cell r="CI1082" t="e">
            <v>#N/A</v>
          </cell>
          <cell r="CJ1082" t="e">
            <v>#N/A</v>
          </cell>
        </row>
        <row r="1083">
          <cell r="A1083">
            <v>100447067</v>
          </cell>
          <cell r="B1083" t="str">
            <v>Ligne_240.10_PPD</v>
          </cell>
          <cell r="C1083" t="str">
            <v>240.10</v>
          </cell>
          <cell r="E1083" t="str">
            <v>Programme des essais de qualification de conception et des essais de type (liste des essais envisagés puis, pour chaque essai détail des moyens et conditions nécéssaires ainsi que des procédures d'essai) (produit + système matériel roulant)</v>
          </cell>
          <cell r="G1083" t="str">
            <v>SPECIFICATION D ESSAIS DE TYPE TRAVERSE PIVOT</v>
          </cell>
          <cell r="R1083" t="str">
            <v>BT</v>
          </cell>
          <cell r="S1083" t="str">
            <v>BT</v>
          </cell>
          <cell r="T1083" t="str">
            <v>NA</v>
          </cell>
          <cell r="V1083" t="str">
            <v>BOMBARDIER</v>
          </cell>
          <cell r="Z1083" t="str">
            <v>RTS 193 JS2 EMC 07/09/2020</v>
          </cell>
          <cell r="AA1083" t="str">
            <v>E</v>
          </cell>
          <cell r="AB1083" t="str">
            <v>Projet</v>
          </cell>
          <cell r="AC1083" t="str">
            <v>ETS/EMC</v>
          </cell>
          <cell r="AD1083" t="str">
            <v>SM ET.4-10639
ST EM.4-40093
SM ET.4-10643</v>
          </cell>
          <cell r="AE1083" t="str">
            <v>Spécification de management MF19
Caisse Confort 
Conduite</v>
          </cell>
          <cell r="AF1083" t="str">
            <v>2.2.2.2.1 ; 2.2.3.2.2</v>
          </cell>
          <cell r="AI1083">
            <v>1</v>
          </cell>
          <cell r="AO1083" t="str">
            <v>FD</v>
          </cell>
          <cell r="CH1083" t="e">
            <v>#N/A</v>
          </cell>
          <cell r="CI1083" t="e">
            <v>#N/A</v>
          </cell>
          <cell r="CJ1083" t="e">
            <v>#N/A</v>
          </cell>
        </row>
        <row r="1084">
          <cell r="A1084">
            <v>100459160</v>
          </cell>
          <cell r="B1084" t="str">
            <v>Ligne_240.11_PPD</v>
          </cell>
          <cell r="C1084" t="str">
            <v>240.11</v>
          </cell>
          <cell r="E1084" t="str">
            <v>Programme des essais de qualification de conception et des essais de type (liste des essais envisagés puis, pour chaque essai détail des moyens et conditions nécessaires ainsi que des procédures d'essai) (produit + système matériel roulant)</v>
          </cell>
          <cell r="G1084" t="str">
            <v>PROGRAMME DE QUALIFICATION DU COMPLEXE PLANCHER</v>
          </cell>
          <cell r="R1084" t="str">
            <v>BT</v>
          </cell>
          <cell r="S1084" t="str">
            <v>BT</v>
          </cell>
          <cell r="T1084" t="str">
            <v>NA</v>
          </cell>
          <cell r="U1084" t="str">
            <v>Samuel Froidure</v>
          </cell>
          <cell r="V1084" t="str">
            <v>BOMBARDIER</v>
          </cell>
          <cell r="Z1084" t="str">
            <v>RTS 193 JS2 EMC 07/09/2020</v>
          </cell>
          <cell r="AA1084" t="str">
            <v>E</v>
          </cell>
          <cell r="AB1084" t="str">
            <v>Projet</v>
          </cell>
          <cell r="AC1084" t="str">
            <v>ETS/EMC</v>
          </cell>
          <cell r="AD1084" t="str">
            <v>SM ET.4-10639
ST EM.4-40093
SM ET.4-10643</v>
          </cell>
          <cell r="AE1084" t="str">
            <v>Spécification de management MF19
Caisse Confort 
Conduite</v>
          </cell>
          <cell r="AF1084" t="str">
            <v>2.2.2.2.1 ; 2.2.3.2.2</v>
          </cell>
          <cell r="AI1084">
            <v>1</v>
          </cell>
          <cell r="AM1084" t="str">
            <v>FP</v>
          </cell>
          <cell r="AO1084" t="str">
            <v>FD</v>
          </cell>
          <cell r="BK1084">
            <v>44183</v>
          </cell>
          <cell r="CH1084" t="e">
            <v>#N/A</v>
          </cell>
          <cell r="CI1084" t="e">
            <v>#N/A</v>
          </cell>
          <cell r="CJ1084" t="e">
            <v>#N/A</v>
          </cell>
        </row>
        <row r="1085">
          <cell r="B1085" t="str">
            <v>Ligne_241_PPD</v>
          </cell>
          <cell r="C1085">
            <v>241</v>
          </cell>
          <cell r="E1085" t="str">
            <v>Définition du contenu des dossiers de Contrôle (produit + système matériel roulant)</v>
          </cell>
          <cell r="G1085" t="str">
            <v/>
          </cell>
          <cell r="S1085" t="str">
            <v>AT</v>
          </cell>
          <cell r="T1085" t="str">
            <v>BT</v>
          </cell>
          <cell r="AA1085" t="str">
            <v>E</v>
          </cell>
          <cell r="AB1085" t="str">
            <v>Projet</v>
          </cell>
          <cell r="AC1085" t="str">
            <v>M2I</v>
          </cell>
          <cell r="AD1085" t="str">
            <v>SM ET.4-10639</v>
          </cell>
          <cell r="AE1085" t="str">
            <v>Spécification de management MF19</v>
          </cell>
          <cell r="AF1085" t="str">
            <v>9.6.3</v>
          </cell>
          <cell r="AI1085">
            <v>1</v>
          </cell>
          <cell r="AQ1085" t="str">
            <v>FD</v>
          </cell>
          <cell r="CH1085" t="e">
            <v>#N/A</v>
          </cell>
          <cell r="CI1085" t="e">
            <v>#N/A</v>
          </cell>
          <cell r="CJ1085" t="e">
            <v>#N/A</v>
          </cell>
        </row>
        <row r="1086">
          <cell r="B1086" t="str">
            <v>Ligne_242_PPD</v>
          </cell>
          <cell r="C1086">
            <v>242</v>
          </cell>
          <cell r="E1086" t="str">
            <v>Modèle informatique pour chaque configuration du MF19 (CA, CC, 5 voitures long, 5 voitures court, 4 voitures,…). Ce modèle informatique, compatible avec Simulink est destiné à être intégré dans le simulateur d’environnement de la plateforme de qualification du CBTC, pour simuler le comportement dynamique du MF19 et d’émuler son fonctionnement à l’interface avec le CBTC.</v>
          </cell>
          <cell r="G1086" t="str">
            <v/>
          </cell>
          <cell r="S1086" t="str">
            <v>AT</v>
          </cell>
          <cell r="AA1086" t="str">
            <v>E</v>
          </cell>
          <cell r="AB1086" t="str">
            <v>Transversal</v>
          </cell>
          <cell r="AC1086" t="str">
            <v>ETS</v>
          </cell>
          <cell r="AD1086" t="str">
            <v>SF ET.4-10645</v>
          </cell>
          <cell r="AE1086" t="str">
            <v>Système</v>
          </cell>
          <cell r="AF1086">
            <v>8</v>
          </cell>
          <cell r="AI1086">
            <v>1</v>
          </cell>
          <cell r="AU1086" t="str">
            <v>FD</v>
          </cell>
          <cell r="CH1086" t="e">
            <v>#N/A</v>
          </cell>
          <cell r="CI1086" t="e">
            <v>#N/A</v>
          </cell>
          <cell r="CJ1086" t="e">
            <v>#N/A</v>
          </cell>
        </row>
        <row r="1087">
          <cell r="B1087" t="str">
            <v>Ligne_243_PPD</v>
          </cell>
          <cell r="C1087">
            <v>243</v>
          </cell>
          <cell r="E1087" t="str">
            <v>PV de validation de chaque essai de qualification de conception (produit)</v>
          </cell>
          <cell r="G1087" t="str">
            <v/>
          </cell>
          <cell r="S1087" t="str">
            <v>AT</v>
          </cell>
          <cell r="T1087" t="str">
            <v>BT</v>
          </cell>
          <cell r="AA1087" t="str">
            <v>E</v>
          </cell>
          <cell r="AB1087" t="str">
            <v>Projet</v>
          </cell>
          <cell r="AC1087" t="str">
            <v>RP11/CA</v>
          </cell>
          <cell r="AD1087" t="str">
            <v>SM ET.4-10639</v>
          </cell>
          <cell r="AE1087" t="str">
            <v>Spécification de management MF19</v>
          </cell>
          <cell r="AF1087" t="str">
            <v>2.2.2.2.2</v>
          </cell>
          <cell r="AI1087">
            <v>300</v>
          </cell>
          <cell r="AU1087" t="str">
            <v>FD</v>
          </cell>
          <cell r="CH1087" t="e">
            <v>#N/A</v>
          </cell>
          <cell r="CI1087" t="e">
            <v>#N/A</v>
          </cell>
          <cell r="CJ1087" t="e">
            <v>#N/A</v>
          </cell>
        </row>
        <row r="1088">
          <cell r="B1088" t="str">
            <v>Ligne_243.1_PPD</v>
          </cell>
          <cell r="C1088" t="str">
            <v>243.1</v>
          </cell>
          <cell r="E1088" t="str">
            <v>PV de validation de chaque essai de qualification de conception (produit)</v>
          </cell>
          <cell r="G1088" t="str">
            <v>RAPPORT ESSAI MOTEUR TRACTION (intégrant les courbes et valeurs du 31.2 mesurées)</v>
          </cell>
          <cell r="S1088" t="str">
            <v>AT</v>
          </cell>
          <cell r="T1088" t="str">
            <v>BT</v>
          </cell>
          <cell r="AA1088" t="str">
            <v>E</v>
          </cell>
          <cell r="AB1088" t="str">
            <v>Projet</v>
          </cell>
          <cell r="AC1088" t="str">
            <v>RP11/CA</v>
          </cell>
          <cell r="AD1088" t="str">
            <v>SM ET.4-10639</v>
          </cell>
          <cell r="AE1088" t="str">
            <v>Spécification de management MF19</v>
          </cell>
          <cell r="AF1088" t="str">
            <v>2.2.2.2.2</v>
          </cell>
          <cell r="AI1088">
            <v>1</v>
          </cell>
          <cell r="AU1088" t="str">
            <v>FD</v>
          </cell>
          <cell r="CH1088" t="e">
            <v>#N/A</v>
          </cell>
          <cell r="CI1088" t="e">
            <v>#N/A</v>
          </cell>
          <cell r="CJ1088" t="e">
            <v>#N/A</v>
          </cell>
        </row>
        <row r="1089">
          <cell r="B1089" t="str">
            <v>Ligne_244_PPD</v>
          </cell>
          <cell r="C1089">
            <v>244</v>
          </cell>
          <cell r="E1089" t="str">
            <v>Les différentes pièces (images de synthèse, maquettes, prototypes, échantillons, pièces de présérie et de série, …) permettant de contrôler le respect du projet et la conformité des différents éléments en termes de design</v>
          </cell>
          <cell r="G1089" t="str">
            <v/>
          </cell>
          <cell r="S1089" t="str">
            <v>ABT</v>
          </cell>
          <cell r="AA1089" t="str">
            <v>E</v>
          </cell>
          <cell r="AB1089" t="str">
            <v>Design</v>
          </cell>
          <cell r="AC1089" t="str">
            <v>MOP</v>
          </cell>
          <cell r="AD1089" t="str">
            <v>MOP-ESD-17-6015</v>
          </cell>
          <cell r="AE1089" t="str">
            <v>Spécification de management du design</v>
          </cell>
          <cell r="AF1089" t="str">
            <v>3.5</v>
          </cell>
          <cell r="AI1089">
            <v>1</v>
          </cell>
          <cell r="AU1089" t="str">
            <v>FD</v>
          </cell>
          <cell r="CH1089" t="e">
            <v>#N/A</v>
          </cell>
          <cell r="CI1089" t="e">
            <v>#N/A</v>
          </cell>
          <cell r="CJ1089" t="e">
            <v>#N/A</v>
          </cell>
        </row>
        <row r="1090">
          <cell r="B1090" t="str">
            <v>Ligne_245_PPD</v>
          </cell>
          <cell r="C1090">
            <v>245</v>
          </cell>
          <cell r="E1090" t="str">
            <v>Liste des essais de sécurité (tests et essais de série pour la mise en service)</v>
          </cell>
          <cell r="G1090" t="str">
            <v>LISTE DES ESSAI DE SECURITE</v>
          </cell>
          <cell r="M1090" t="str">
            <v>M-07_GESTION_DE_LA_SURETE_DE_FONCTIONNEMENT</v>
          </cell>
          <cell r="R1090" t="str">
            <v>VPF</v>
          </cell>
          <cell r="S1090" t="str">
            <v>AT</v>
          </cell>
          <cell r="T1090" t="str">
            <v>BT</v>
          </cell>
          <cell r="U1090" t="str">
            <v>D.CHANAL</v>
          </cell>
          <cell r="Z1090" t="str">
            <v>RTS 191 JS2 ESF 04/09/2020</v>
          </cell>
          <cell r="AA1090" t="str">
            <v>E</v>
          </cell>
          <cell r="AB1090" t="str">
            <v>Projet</v>
          </cell>
          <cell r="AC1090" t="str">
            <v>ESF</v>
          </cell>
          <cell r="AD1090" t="str">
            <v>SM ET.4-10639</v>
          </cell>
          <cell r="AE1090" t="str">
            <v>Spécification de management MF19</v>
          </cell>
          <cell r="AF1090" t="str">
            <v>7.3.9</v>
          </cell>
          <cell r="AI1090">
            <v>1</v>
          </cell>
          <cell r="AN1090" t="str">
            <v>FP</v>
          </cell>
          <cell r="AP1090" t="str">
            <v>Maj</v>
          </cell>
          <cell r="AU1090" t="str">
            <v>FD</v>
          </cell>
          <cell r="AW1090" t="str">
            <v>Maj</v>
          </cell>
          <cell r="CH1090" t="e">
            <v>#N/A</v>
          </cell>
          <cell r="CI1090" t="e">
            <v>#N/A</v>
          </cell>
          <cell r="CJ1090" t="e">
            <v>#N/A</v>
          </cell>
        </row>
        <row r="1091">
          <cell r="B1091" t="str">
            <v>Ligne_246_PPD</v>
          </cell>
          <cell r="C1091">
            <v>246</v>
          </cell>
          <cell r="E1091" t="str">
            <v>Matrice de traçabilité entre le programme d’essais du Titulaire et la spécification technique ING-SVMSGE-D2012 5128</v>
          </cell>
          <cell r="G1091" t="str">
            <v/>
          </cell>
          <cell r="S1091" t="str">
            <v>AT</v>
          </cell>
          <cell r="T1091" t="str">
            <v>BT</v>
          </cell>
          <cell r="U1091" t="str">
            <v>L.DERU</v>
          </cell>
          <cell r="Z1091" t="str">
            <v>discussion doc 50</v>
          </cell>
          <cell r="AA1091" t="str">
            <v>E</v>
          </cell>
          <cell r="AB1091" t="str">
            <v>Interface</v>
          </cell>
          <cell r="AC1091" t="str">
            <v>SIT</v>
          </cell>
          <cell r="AD1091" t="str">
            <v>ING-SVM-STV-D-2016-5128</v>
          </cell>
          <cell r="AE1091" t="str">
            <v>Spécification technique vidéoprotection</v>
          </cell>
          <cell r="AF1091" t="str">
            <v>13.1</v>
          </cell>
          <cell r="AI1091">
            <v>1</v>
          </cell>
          <cell r="AU1091" t="str">
            <v>FP</v>
          </cell>
          <cell r="BA1091" t="str">
            <v>Maj</v>
          </cell>
          <cell r="BE1091" t="str">
            <v>FD</v>
          </cell>
          <cell r="BG1091" t="str">
            <v>FD</v>
          </cell>
          <cell r="CG1091" t="str">
            <v>30/09/2020 : la FD de JU2.Ti était barrée, enlevé le barré pour import base arbo</v>
          </cell>
          <cell r="CH1091" t="e">
            <v>#N/A</v>
          </cell>
          <cell r="CI1091" t="e">
            <v>#N/A</v>
          </cell>
          <cell r="CJ1091" t="e">
            <v>#N/A</v>
          </cell>
        </row>
        <row r="1092">
          <cell r="B1092" t="str">
            <v>Ligne_247_PPD</v>
          </cell>
          <cell r="C1092">
            <v>247</v>
          </cell>
          <cell r="E1092" t="str">
            <v>Recette des 2 plateformes (documentation, formation, ...)</v>
          </cell>
          <cell r="G1092" t="str">
            <v/>
          </cell>
          <cell r="S1092" t="str">
            <v>AT</v>
          </cell>
          <cell r="U1092" t="str">
            <v>L.DERU</v>
          </cell>
          <cell r="Z1092" t="str">
            <v>discussion doc 50</v>
          </cell>
          <cell r="AA1092" t="str">
            <v>E</v>
          </cell>
          <cell r="AB1092" t="str">
            <v>Interface</v>
          </cell>
          <cell r="AC1092" t="str">
            <v>SIT</v>
          </cell>
          <cell r="AD1092" t="str">
            <v>ING-SVM-STV-D-2016-5130</v>
          </cell>
          <cell r="AE1092" t="str">
            <v>Stratégie intégration IVSC/VP</v>
          </cell>
          <cell r="AF1092" t="str">
            <v>9.4</v>
          </cell>
          <cell r="AI1092">
            <v>1</v>
          </cell>
          <cell r="AQ1092" t="str">
            <v>FD</v>
          </cell>
          <cell r="CH1092" t="e">
            <v>#N/A</v>
          </cell>
          <cell r="CI1092" t="e">
            <v>#N/A</v>
          </cell>
          <cell r="CJ1092" t="e">
            <v>#N/A</v>
          </cell>
        </row>
        <row r="1093">
          <cell r="B1093" t="str">
            <v>Ligne_248_PPD</v>
          </cell>
          <cell r="C1093">
            <v>248</v>
          </cell>
          <cell r="E1093" t="str">
            <v>Fourniture de 2 plateformes de développement IVSC/VP</v>
          </cell>
          <cell r="G1093" t="str">
            <v/>
          </cell>
          <cell r="S1093" t="str">
            <v>AT</v>
          </cell>
          <cell r="U1093" t="str">
            <v>L.DERU</v>
          </cell>
          <cell r="Z1093" t="str">
            <v>discussion doc 50</v>
          </cell>
          <cell r="AA1093" t="str">
            <v>E</v>
          </cell>
          <cell r="AB1093" t="str">
            <v>Interface</v>
          </cell>
          <cell r="AC1093" t="str">
            <v>SIT</v>
          </cell>
          <cell r="AD1093" t="str">
            <v>ING-SVM-STV-D-2016-5130</v>
          </cell>
          <cell r="AE1093" t="str">
            <v>Stratégie intégration IVSC/VP</v>
          </cell>
          <cell r="AF1093" t="str">
            <v>9.4</v>
          </cell>
          <cell r="AI1093">
            <v>1</v>
          </cell>
          <cell r="AQ1093" t="str">
            <v>FD</v>
          </cell>
          <cell r="CH1093" t="e">
            <v>#N/A</v>
          </cell>
          <cell r="CI1093" t="e">
            <v>#N/A</v>
          </cell>
          <cell r="CJ1093" t="e">
            <v>#N/A</v>
          </cell>
        </row>
        <row r="1094">
          <cell r="B1094" t="str">
            <v>Ligne_249_PPD</v>
          </cell>
          <cell r="C1094">
            <v>249</v>
          </cell>
          <cell r="E1094" t="str">
            <v>Exécution des plans de test des fournitures MR sur Plateforme.</v>
          </cell>
          <cell r="G1094" t="str">
            <v/>
          </cell>
          <cell r="S1094" t="str">
            <v>AT</v>
          </cell>
          <cell r="U1094" t="str">
            <v>L.DERU</v>
          </cell>
          <cell r="Z1094" t="str">
            <v>discussion doc 50</v>
          </cell>
          <cell r="AA1094" t="str">
            <v>E</v>
          </cell>
          <cell r="AB1094" t="str">
            <v>Interface</v>
          </cell>
          <cell r="AC1094" t="str">
            <v>SIT</v>
          </cell>
          <cell r="AD1094" t="str">
            <v>ING-SVM-STV-D-2016-5130</v>
          </cell>
          <cell r="AE1094" t="str">
            <v>Stratégie intégration IVSC/VP</v>
          </cell>
          <cell r="AF1094">
            <v>3</v>
          </cell>
          <cell r="AI1094">
            <v>1</v>
          </cell>
          <cell r="AQ1094" t="str">
            <v>FD</v>
          </cell>
          <cell r="CH1094" t="e">
            <v>#N/A</v>
          </cell>
          <cell r="CI1094" t="e">
            <v>#N/A</v>
          </cell>
          <cell r="CJ1094" t="e">
            <v>#N/A</v>
          </cell>
        </row>
        <row r="1095">
          <cell r="B1095" t="str">
            <v>Ligne_250_PPD</v>
          </cell>
          <cell r="C1095">
            <v>250</v>
          </cell>
          <cell r="E1095" t="str">
            <v>Test d’intégration Matériel hors marché MR sur Plateforme,
Test d'intégration IVSC/VP sur premier train statique
Test d'intégration IVSC/VP sur premier train Dynamique</v>
          </cell>
          <cell r="G1095" t="str">
            <v/>
          </cell>
          <cell r="S1095" t="str">
            <v>AT</v>
          </cell>
          <cell r="U1095" t="str">
            <v>L.DERU</v>
          </cell>
          <cell r="Z1095" t="str">
            <v>discussion doc 50</v>
          </cell>
          <cell r="AA1095" t="str">
            <v>E</v>
          </cell>
          <cell r="AB1095" t="str">
            <v>Interface</v>
          </cell>
          <cell r="AC1095" t="str">
            <v>SIT</v>
          </cell>
          <cell r="AD1095" t="str">
            <v>ING-SVM-STV-D-2016-5130</v>
          </cell>
          <cell r="AE1095" t="str">
            <v>Stratégie intégration IVSC/VP</v>
          </cell>
          <cell r="AF1095" t="str">
            <v>3 et 5.2</v>
          </cell>
          <cell r="AI1095">
            <v>1</v>
          </cell>
          <cell r="AU1095" t="str">
            <v>FD</v>
          </cell>
          <cell r="CH1095" t="e">
            <v>#N/A</v>
          </cell>
          <cell r="CI1095" t="e">
            <v>#N/A</v>
          </cell>
          <cell r="CJ1095" t="e">
            <v>#N/A</v>
          </cell>
        </row>
        <row r="1096">
          <cell r="B1096" t="str">
            <v>Ligne_251_PPD</v>
          </cell>
          <cell r="C1096">
            <v>251</v>
          </cell>
          <cell r="E1096" t="str">
            <v>Documentation d'interface programmatique (API) des systèmes qui sont interfacés (fichiers code source)</v>
          </cell>
          <cell r="G1096" t="str">
            <v/>
          </cell>
          <cell r="S1096" t="str">
            <v>AT</v>
          </cell>
          <cell r="U1096" t="str">
            <v>L.DERU</v>
          </cell>
          <cell r="Z1096" t="str">
            <v>discussion doc 50</v>
          </cell>
          <cell r="AA1096" t="str">
            <v>E</v>
          </cell>
          <cell r="AB1096" t="str">
            <v>Interface</v>
          </cell>
          <cell r="AC1096" t="str">
            <v>SIT</v>
          </cell>
          <cell r="AD1096" t="str">
            <v>ING-SVM-STV-D-2016-5130</v>
          </cell>
          <cell r="AE1096" t="str">
            <v>Stratégie intégration IVSC/VP</v>
          </cell>
          <cell r="AF1096" t="str">
            <v>9.6</v>
          </cell>
          <cell r="AI1096">
            <v>1</v>
          </cell>
          <cell r="AR1096" t="str">
            <v>FP</v>
          </cell>
          <cell r="AT1096" t="str">
            <v>FD</v>
          </cell>
          <cell r="CG1096" t="str">
            <v>30/09/2020 : la FD de JD1 et FP de JD2.2 était barrée, enlevé le barré pour import base arbo</v>
          </cell>
          <cell r="CH1096" t="e">
            <v>#N/A</v>
          </cell>
          <cell r="CI1096" t="e">
            <v>#N/A</v>
          </cell>
          <cell r="CJ1096" t="e">
            <v>#N/A</v>
          </cell>
        </row>
        <row r="1097">
          <cell r="B1097" t="str">
            <v>Ligne_252_PPD</v>
          </cell>
          <cell r="C1097">
            <v>252</v>
          </cell>
          <cell r="E1097" t="str">
            <v xml:space="preserve">Liste des ingrédients (maintenance et/ou nettoyage) et fournitures de leurs dossiers de sécurité </v>
          </cell>
          <cell r="G1097" t="str">
            <v/>
          </cell>
          <cell r="R1097" t="str">
            <v>VPF</v>
          </cell>
          <cell r="S1097" t="str">
            <v>AT</v>
          </cell>
          <cell r="T1097" t="str">
            <v>BT</v>
          </cell>
          <cell r="U1097" t="str">
            <v>M.THOREL</v>
          </cell>
          <cell r="AA1097" t="str">
            <v>SL</v>
          </cell>
          <cell r="AB1097" t="str">
            <v>Soutien Logistique</v>
          </cell>
          <cell r="AC1097" t="str">
            <v>M2I</v>
          </cell>
          <cell r="AD1097" t="str">
            <v>IPM-MT-MF19-SSL</v>
          </cell>
          <cell r="AE1097" t="str">
            <v xml:space="preserve">Spécification de Soutien Logistique Intégré </v>
          </cell>
          <cell r="AF1097" t="str">
            <v>8.1.3</v>
          </cell>
          <cell r="AI1097">
            <v>16</v>
          </cell>
          <cell r="AT1097" t="str">
            <v>FD</v>
          </cell>
          <cell r="BF1097" t="str">
            <v>Maj</v>
          </cell>
          <cell r="CG1097" t="str">
            <v>30/09/2020 : pour la FP barré de JD2.2, j'ai enlevé le barré pour import dans la base arbo</v>
          </cell>
          <cell r="CH1097" t="e">
            <v>#N/A</v>
          </cell>
          <cell r="CI1097" t="e">
            <v>#N/A</v>
          </cell>
          <cell r="CJ1097" t="e">
            <v>#N/A</v>
          </cell>
        </row>
        <row r="1098">
          <cell r="B1098" t="str">
            <v>Ligne_253_PPD</v>
          </cell>
          <cell r="C1098">
            <v>253</v>
          </cell>
          <cell r="E1098" t="str">
            <v xml:space="preserve">Liste des pièces d’usure </v>
          </cell>
          <cell r="G1098" t="str">
            <v/>
          </cell>
          <cell r="R1098" t="str">
            <v>VPF</v>
          </cell>
          <cell r="S1098" t="str">
            <v>AT</v>
          </cell>
          <cell r="T1098" t="str">
            <v>BT</v>
          </cell>
          <cell r="U1098" t="str">
            <v>M.THOREL</v>
          </cell>
          <cell r="AA1098" t="str">
            <v>SL</v>
          </cell>
          <cell r="AB1098" t="str">
            <v>Soutien Logistique</v>
          </cell>
          <cell r="AC1098" t="str">
            <v>M2I</v>
          </cell>
          <cell r="AD1098" t="str">
            <v>IPM-MT-MF19-SSL</v>
          </cell>
          <cell r="AE1098" t="str">
            <v xml:space="preserve">Spécification de Soutien Logistique Intégré </v>
          </cell>
          <cell r="AF1098" t="str">
            <v>8.1.4</v>
          </cell>
          <cell r="AI1098">
            <v>1</v>
          </cell>
          <cell r="AT1098" t="str">
            <v>FD</v>
          </cell>
          <cell r="BF1098" t="str">
            <v>Maj</v>
          </cell>
          <cell r="CH1098" t="e">
            <v>#N/A</v>
          </cell>
          <cell r="CI1098" t="e">
            <v>#N/A</v>
          </cell>
          <cell r="CJ1098" t="e">
            <v>#N/A</v>
          </cell>
        </row>
        <row r="1099">
          <cell r="B1099" t="str">
            <v>Ligne_254_PPD</v>
          </cell>
          <cell r="C1099">
            <v>254</v>
          </cell>
          <cell r="E1099" t="str">
            <v>Liste des composants critiques (obsolescence) et traitement selon ST06/04/001 - Mise à jour annuelle à partir de la 1ère soumission</v>
          </cell>
          <cell r="G1099" t="str">
            <v>A DECOMPOSER suivant proposition groupementaprès retour RATP</v>
          </cell>
          <cell r="R1099" t="str">
            <v>NA</v>
          </cell>
          <cell r="S1099" t="str">
            <v>ABT</v>
          </cell>
          <cell r="T1099" t="str">
            <v>NA</v>
          </cell>
          <cell r="U1099" t="str">
            <v>M.THOREL</v>
          </cell>
          <cell r="Z1099" t="str">
            <v>RTS 161 JS2 AME/M2I/MRB 03/07/2020</v>
          </cell>
          <cell r="AA1099" t="str">
            <v>SL</v>
          </cell>
          <cell r="AB1099" t="str">
            <v>Soutien Logistique</v>
          </cell>
          <cell r="AC1099" t="str">
            <v>M2I</v>
          </cell>
          <cell r="AD1099" t="str">
            <v>IPM-MT-MF19-SSL et ST/06/04/001</v>
          </cell>
          <cell r="AE1099" t="str">
            <v>Spécification de Soutien Logistique Intégré / Gestion de l’obsolescence par les industriels</v>
          </cell>
          <cell r="AF1099" t="str">
            <v xml:space="preserve">8.3 (IPM) / </v>
          </cell>
          <cell r="AI1099">
            <v>1</v>
          </cell>
          <cell r="AN1099" t="str">
            <v xml:space="preserve">FP </v>
          </cell>
          <cell r="AP1099" t="str">
            <v>FP</v>
          </cell>
          <cell r="AU1099" t="str">
            <v>Maj</v>
          </cell>
          <cell r="BA1099" t="str">
            <v>FD</v>
          </cell>
          <cell r="BF1099" t="str">
            <v>Maj</v>
          </cell>
          <cell r="CH1099" t="e">
            <v>#N/A</v>
          </cell>
          <cell r="CI1099" t="e">
            <v>#N/A</v>
          </cell>
          <cell r="CJ1099" t="e">
            <v>#N/A</v>
          </cell>
        </row>
        <row r="1100">
          <cell r="B1100" t="str">
            <v>Ligne_255_PPD</v>
          </cell>
          <cell r="C1100">
            <v>255</v>
          </cell>
          <cell r="E1100" t="str">
            <v>Liste et fourniture relatives aux logiciels ou exécutables (y compris les sources selon ST MRF N°EZ,4-20058</v>
          </cell>
          <cell r="G1100" t="str">
            <v>repris dans le livrable 214 lié à la 20058</v>
          </cell>
          <cell r="R1100" t="str">
            <v>VPF</v>
          </cell>
          <cell r="S1100" t="str">
            <v>AT</v>
          </cell>
          <cell r="T1100" t="str">
            <v>BT</v>
          </cell>
          <cell r="U1100" t="str">
            <v>J.DOMAS</v>
          </cell>
          <cell r="AA1100" t="str">
            <v>SL</v>
          </cell>
          <cell r="AB1100" t="str">
            <v>Soutien Logistique</v>
          </cell>
          <cell r="AC1100" t="str">
            <v>M2I</v>
          </cell>
          <cell r="AD1100" t="str">
            <v>IPM-MT-MF19-SSL</v>
          </cell>
          <cell r="AE1100" t="str">
            <v xml:space="preserve">Spécification de Soutien Logistique Intégré </v>
          </cell>
          <cell r="AF1100" t="str">
            <v>8.5.1</v>
          </cell>
          <cell r="AI1100">
            <v>1</v>
          </cell>
          <cell r="AU1100" t="str">
            <v>FP</v>
          </cell>
          <cell r="AX1100" t="str">
            <v>FD</v>
          </cell>
          <cell r="BF1100" t="str">
            <v>Maj</v>
          </cell>
          <cell r="CH1100" t="e">
            <v>#N/A</v>
          </cell>
          <cell r="CI1100" t="e">
            <v>#N/A</v>
          </cell>
          <cell r="CJ1100" t="e">
            <v>#N/A</v>
          </cell>
        </row>
        <row r="1101">
          <cell r="B1101" t="str">
            <v>Ligne_256_PPD</v>
          </cell>
          <cell r="C1101">
            <v>256</v>
          </cell>
          <cell r="E1101" t="str">
            <v>Conception AMC et AML, plan, documentation, essais de testabilité, démonstration de l'atteinte des objectifs</v>
          </cell>
          <cell r="G1101" t="str">
            <v>à vérifier livrables contenant les informations attendues</v>
          </cell>
          <cell r="R1101" t="str">
            <v>VPF</v>
          </cell>
          <cell r="S1101" t="str">
            <v>AT</v>
          </cell>
          <cell r="U1101" t="str">
            <v>M.THOREL</v>
          </cell>
          <cell r="Z1101" t="str">
            <v>RTS 161 JS2 AME/M2I/MRB 03/07/2020</v>
          </cell>
          <cell r="AA1101" t="str">
            <v>SL</v>
          </cell>
          <cell r="AB1101" t="str">
            <v>Soutien Logistique</v>
          </cell>
          <cell r="AC1101" t="str">
            <v>M2I</v>
          </cell>
          <cell r="AD1101" t="str">
            <v>IPM-MT-MF19-SSL</v>
          </cell>
          <cell r="AE1101" t="str">
            <v xml:space="preserve">Spécification de Soutien Logistique Intégré </v>
          </cell>
          <cell r="AF1101">
            <v>19</v>
          </cell>
          <cell r="AI1101">
            <v>1</v>
          </cell>
          <cell r="AN1101" t="str">
            <v>FP</v>
          </cell>
          <cell r="AU1101" t="str">
            <v>FP</v>
          </cell>
          <cell r="BA1101" t="str">
            <v>FD</v>
          </cell>
          <cell r="BF1101" t="str">
            <v>Maj</v>
          </cell>
          <cell r="CH1101" t="e">
            <v>#N/A</v>
          </cell>
          <cell r="CI1101" t="e">
            <v>#N/A</v>
          </cell>
          <cell r="CJ1101" t="e">
            <v>#N/A</v>
          </cell>
        </row>
        <row r="1102">
          <cell r="B1102" t="str">
            <v>Ligne_257_PPD</v>
          </cell>
          <cell r="C1102">
            <v>257</v>
          </cell>
          <cell r="E1102" t="str">
            <v xml:space="preserve">Documentation de maintenance (MCG+ CATI+MDF) et supports  </v>
          </cell>
          <cell r="G1102" t="str">
            <v>A DECOMPOSER</v>
          </cell>
          <cell r="R1102" t="str">
            <v>VPF</v>
          </cell>
          <cell r="S1102" t="str">
            <v>ABT</v>
          </cell>
          <cell r="U1102" t="str">
            <v>M.THOREL</v>
          </cell>
          <cell r="AA1102" t="str">
            <v>SL</v>
          </cell>
          <cell r="AB1102" t="str">
            <v>Soutien Logistique</v>
          </cell>
          <cell r="AC1102" t="str">
            <v>M2I</v>
          </cell>
          <cell r="AD1102" t="str">
            <v>IPM-MT-MF19-SSL</v>
          </cell>
          <cell r="AE1102" t="str">
            <v xml:space="preserve">Spécification de Soutien Logistique Intégré </v>
          </cell>
          <cell r="AF1102" t="str">
            <v>8.6.3</v>
          </cell>
          <cell r="AI1102">
            <v>20</v>
          </cell>
          <cell r="AT1102" t="str">
            <v>FD</v>
          </cell>
          <cell r="BF1102" t="str">
            <v>Maj</v>
          </cell>
          <cell r="CG1102" t="str">
            <v>30/09/2020 : pour la FP barré de JD2.2, j'ai enlevé le barré pour import dans la base arbo</v>
          </cell>
          <cell r="CH1102" t="e">
            <v>#N/A</v>
          </cell>
          <cell r="CI1102" t="e">
            <v>#N/A</v>
          </cell>
          <cell r="CJ1102" t="e">
            <v>#N/A</v>
          </cell>
        </row>
        <row r="1103">
          <cell r="B1103" t="str">
            <v>Ligne_258_PPD</v>
          </cell>
          <cell r="C1103">
            <v>258</v>
          </cell>
          <cell r="E1103" t="str">
            <v xml:space="preserve">Liste des fournisseurs (basée sur la LCPF) (liste des couples produits fournisseurs) </v>
          </cell>
          <cell r="G1103" t="str">
            <v>DOUBLON AVEC ITEM 56 du PPD (TBC)</v>
          </cell>
          <cell r="R1103" t="str">
            <v>VPF</v>
          </cell>
          <cell r="S1103" t="str">
            <v>AT</v>
          </cell>
          <cell r="T1103" t="str">
            <v>BT</v>
          </cell>
          <cell r="U1103" t="str">
            <v>L.FREMY</v>
          </cell>
          <cell r="AA1103" t="str">
            <v>SL</v>
          </cell>
          <cell r="AB1103" t="str">
            <v>Soutien Logistique</v>
          </cell>
          <cell r="AC1103" t="str">
            <v>M2I</v>
          </cell>
          <cell r="AD1103" t="str">
            <v>IPM-MT-MF19-SSL et SD09005</v>
          </cell>
          <cell r="AE1103" t="str">
            <v>Spécification de Soutien Logistique Intégré / Exigences de maintenabilité des équipements embarqués</v>
          </cell>
          <cell r="AF1103" t="str">
            <v>8.8 (IPM) / 2.1 (MRB)</v>
          </cell>
          <cell r="AI1103">
            <v>1</v>
          </cell>
          <cell r="AU1103" t="str">
            <v>FP</v>
          </cell>
          <cell r="AX1103" t="str">
            <v>FD</v>
          </cell>
          <cell r="BF1103" t="str">
            <v>Maj</v>
          </cell>
          <cell r="CH1103" t="e">
            <v>#N/A</v>
          </cell>
          <cell r="CI1103" t="e">
            <v>#N/A</v>
          </cell>
          <cell r="CJ1103" t="e">
            <v>#N/A</v>
          </cell>
        </row>
        <row r="1104">
          <cell r="B1104" t="str">
            <v>Ligne_259_PPD</v>
          </cell>
          <cell r="C1104">
            <v>259</v>
          </cell>
          <cell r="E1104" t="str">
            <v xml:space="preserve">Formations : Plan de formation </v>
          </cell>
          <cell r="G1104" t="str">
            <v/>
          </cell>
          <cell r="R1104" t="str">
            <v>VPF</v>
          </cell>
          <cell r="S1104" t="str">
            <v>AT</v>
          </cell>
          <cell r="T1104" t="str">
            <v>BT</v>
          </cell>
          <cell r="U1104" t="str">
            <v>M.THOREL</v>
          </cell>
          <cell r="AA1104" t="str">
            <v>SL</v>
          </cell>
          <cell r="AB1104" t="str">
            <v>Soutien Logistique</v>
          </cell>
          <cell r="AC1104" t="str">
            <v>M2I</v>
          </cell>
          <cell r="AD1104" t="str">
            <v>IPM-MT-MF19-SSL</v>
          </cell>
          <cell r="AE1104" t="str">
            <v xml:space="preserve">Spécification de Soutien Logistique Intégré </v>
          </cell>
          <cell r="AF1104" t="str">
            <v>8.7</v>
          </cell>
          <cell r="AI1104">
            <v>1</v>
          </cell>
          <cell r="AT1104" t="str">
            <v>FD</v>
          </cell>
          <cell r="CG1104" t="str">
            <v>30/09/2020 : pour la FP barré de JD2.2, j'ai enlevé le barré pour import dans la base arbo</v>
          </cell>
          <cell r="CH1104" t="e">
            <v>#N/A</v>
          </cell>
          <cell r="CI1104" t="e">
            <v>#N/A</v>
          </cell>
          <cell r="CJ1104" t="e">
            <v>#N/A</v>
          </cell>
        </row>
        <row r="1105">
          <cell r="B1105" t="str">
            <v>Ligne_260_PPD</v>
          </cell>
          <cell r="C1105">
            <v>260</v>
          </cell>
          <cell r="E1105" t="str">
            <v xml:space="preserve">Formations : Scénarios et fiches programmes </v>
          </cell>
          <cell r="G1105" t="str">
            <v>A DECOMPOSER</v>
          </cell>
          <cell r="R1105" t="str">
            <v>VPF</v>
          </cell>
          <cell r="S1105" t="str">
            <v>ABT</v>
          </cell>
          <cell r="U1105" t="str">
            <v>M.THOREL</v>
          </cell>
          <cell r="AA1105" t="str">
            <v>SL</v>
          </cell>
          <cell r="AB1105" t="str">
            <v>Soutien Logistique</v>
          </cell>
          <cell r="AC1105" t="str">
            <v>M2I</v>
          </cell>
          <cell r="AD1105" t="str">
            <v>IPM-MT-MF19-SSL</v>
          </cell>
          <cell r="AE1105" t="str">
            <v xml:space="preserve">Spécification de Soutien Logistique Intégré </v>
          </cell>
          <cell r="AF1105" t="str">
            <v>8.7</v>
          </cell>
          <cell r="AI1105">
            <v>20</v>
          </cell>
          <cell r="AT1105" t="str">
            <v>FD</v>
          </cell>
          <cell r="CG1105" t="str">
            <v>30/09/2020 : pour la FP barré de JD2.2, j'ai enlevé le barré pour import dans la base arbo</v>
          </cell>
          <cell r="CH1105" t="e">
            <v>#N/A</v>
          </cell>
          <cell r="CI1105" t="e">
            <v>#N/A</v>
          </cell>
          <cell r="CJ1105" t="e">
            <v>#N/A</v>
          </cell>
        </row>
        <row r="1106">
          <cell r="B1106" t="str">
            <v>Ligne_261_PPD</v>
          </cell>
          <cell r="C1106">
            <v>261</v>
          </cell>
          <cell r="E1106" t="str">
            <v xml:space="preserve">Formations : Supports de formation à la maintenance </v>
          </cell>
          <cell r="G1106" t="str">
            <v>A DECOMPOSER</v>
          </cell>
          <cell r="R1106" t="str">
            <v>VPF</v>
          </cell>
          <cell r="S1106" t="str">
            <v>ABT</v>
          </cell>
          <cell r="U1106" t="str">
            <v>M.THOREL</v>
          </cell>
          <cell r="AA1106" t="str">
            <v>SL</v>
          </cell>
          <cell r="AB1106" t="str">
            <v>Soutien Logistique</v>
          </cell>
          <cell r="AC1106" t="str">
            <v>M2I</v>
          </cell>
          <cell r="AD1106" t="str">
            <v>IPM-MT-MF19-SSL</v>
          </cell>
          <cell r="AE1106" t="str">
            <v xml:space="preserve">Spécification de Soutien Logistique Intégré </v>
          </cell>
          <cell r="AF1106" t="str">
            <v>8.7</v>
          </cell>
          <cell r="AI1106">
            <v>20</v>
          </cell>
          <cell r="AU1106" t="str">
            <v>FP</v>
          </cell>
          <cell r="AX1106" t="str">
            <v>FD</v>
          </cell>
          <cell r="CH1106" t="e">
            <v>#N/A</v>
          </cell>
          <cell r="CI1106" t="e">
            <v>#N/A</v>
          </cell>
          <cell r="CJ1106" t="e">
            <v>#N/A</v>
          </cell>
        </row>
        <row r="1107">
          <cell r="B1107" t="str">
            <v>Ligne_262_PPD</v>
          </cell>
          <cell r="C1107">
            <v>262</v>
          </cell>
          <cell r="E1107" t="str">
            <v>Documents des logiciels et documents des composants programmables non livrés au jalon JD1  comprenant les documents demandés dans les spécifications techniques de référence  EZ.4-20051 (cf. §8.1.2), EZ.4-20055 (cf. §8.1.2) et EZ.4-20058 (cf. §6)</v>
          </cell>
          <cell r="G1107" t="str">
            <v>LIVRABLE</v>
          </cell>
          <cell r="S1107" t="str">
            <v>AT</v>
          </cell>
          <cell r="T1107" t="str">
            <v>BT</v>
          </cell>
          <cell r="U1107" t="str">
            <v>J.DOMAS</v>
          </cell>
          <cell r="AA1107" t="str">
            <v>E</v>
          </cell>
          <cell r="AB1107" t="str">
            <v>Logiciel</v>
          </cell>
          <cell r="AC1107" t="str">
            <v>EAI</v>
          </cell>
          <cell r="AD1107" t="str">
            <v xml:space="preserve">ST EZ.4-20051
ST EZ.4-20055
ST EZ.4-20058 </v>
          </cell>
          <cell r="AE1107" t="str">
            <v xml:space="preserve">
Spécification pour la réalisation des logiciels embarqués
Composants électroniques complexes
Spécification pour la réalisation des outils de maintenance de niveau 1 sur PC portable
</v>
          </cell>
          <cell r="AI1107">
            <v>200</v>
          </cell>
          <cell r="AU1107" t="str">
            <v xml:space="preserve">FD </v>
          </cell>
          <cell r="AW1107" t="str">
            <v>FD</v>
          </cell>
          <cell r="CH1107" t="e">
            <v>#N/A</v>
          </cell>
          <cell r="CI1107" t="e">
            <v>#N/A</v>
          </cell>
          <cell r="CJ1107" t="e">
            <v>#N/A</v>
          </cell>
        </row>
        <row r="1108">
          <cell r="B1108" t="str">
            <v>Ligne_263_PPD</v>
          </cell>
          <cell r="C1108">
            <v>263</v>
          </cell>
          <cell r="E1108" t="str">
            <v xml:space="preserve">Fourniture des fichiers sources des logiciels et des composants programmables et preuve de régénération à l'identique des fichiers de programmation et des fichiers exécutables </v>
          </cell>
          <cell r="G1108" t="str">
            <v>LIVRABLE</v>
          </cell>
          <cell r="S1108" t="str">
            <v>AT</v>
          </cell>
          <cell r="T1108" t="str">
            <v>BT</v>
          </cell>
          <cell r="U1108" t="str">
            <v>J.DOMAS</v>
          </cell>
          <cell r="AA1108" t="str">
            <v>E</v>
          </cell>
          <cell r="AB1108" t="str">
            <v>Logiciel</v>
          </cell>
          <cell r="AC1108" t="str">
            <v>EAI</v>
          </cell>
          <cell r="AD1108" t="str">
            <v xml:space="preserve">ST EZ.4-20051
ST EZ.4-20055
ST EZ.4-20058 </v>
          </cell>
          <cell r="AE1108" t="str">
            <v xml:space="preserve">
Spécification pour la réalisation des logiciels embarqués
Composants électroniques complexes
Spécification pour la réalisation des outils de maintenance de niveau 1 sur PC portable
</v>
          </cell>
          <cell r="AI1108">
            <v>10</v>
          </cell>
          <cell r="AW1108" t="str">
            <v>FD</v>
          </cell>
          <cell r="CG1108" t="str">
            <v>30/09/2020 : pour la FD barré de JD2.2, j'ai enlevé le barré pour import dans la base arbo</v>
          </cell>
          <cell r="CH1108" t="e">
            <v>#N/A</v>
          </cell>
          <cell r="CI1108" t="e">
            <v>#N/A</v>
          </cell>
          <cell r="CJ1108" t="e">
            <v>#N/A</v>
          </cell>
        </row>
        <row r="1109">
          <cell r="B1109" t="str">
            <v>Ligne_264_PPD</v>
          </cell>
          <cell r="C1109">
            <v>264</v>
          </cell>
          <cell r="E1109" t="str">
            <v>Rapports de testabilité (selon exigences SL et DIRAME/06/04-12 et ST EZ.4-10529)</v>
          </cell>
          <cell r="G1109" t="str">
            <v/>
          </cell>
          <cell r="R1109" t="str">
            <v>VPF</v>
          </cell>
          <cell r="S1109" t="str">
            <v>AT</v>
          </cell>
          <cell r="U1109" t="str">
            <v>D.CHANAL</v>
          </cell>
          <cell r="AA1109" t="str">
            <v>SL</v>
          </cell>
          <cell r="AB1109" t="str">
            <v>Soutien Logistique</v>
          </cell>
          <cell r="AC1109" t="str">
            <v>M2I</v>
          </cell>
          <cell r="AD1109" t="str">
            <v>IPM-MT-MF19-SSL</v>
          </cell>
          <cell r="AE1109" t="str">
            <v xml:space="preserve">Spécification de Soutien Logistique Intégré </v>
          </cell>
          <cell r="AF1109">
            <v>12.1</v>
          </cell>
          <cell r="AI1109">
            <v>1</v>
          </cell>
          <cell r="AU1109" t="str">
            <v>FP</v>
          </cell>
          <cell r="AX1109" t="str">
            <v>FD</v>
          </cell>
          <cell r="CH1109" t="e">
            <v>#N/A</v>
          </cell>
          <cell r="CI1109" t="e">
            <v>#N/A</v>
          </cell>
          <cell r="CJ1109" t="e">
            <v>#N/A</v>
          </cell>
        </row>
        <row r="1110">
          <cell r="B1110" t="str">
            <v>Ligne_265_PPD</v>
          </cell>
          <cell r="C1110">
            <v>265</v>
          </cell>
          <cell r="E1110" t="str">
            <v xml:space="preserve">EMST : Dossier de levage - relevage - désaccouplement - accouplement - manutention </v>
          </cell>
          <cell r="G1110" t="str">
            <v/>
          </cell>
          <cell r="R1110" t="str">
            <v>BT</v>
          </cell>
          <cell r="S1110" t="str">
            <v>BT</v>
          </cell>
          <cell r="T1110" t="str">
            <v>NA</v>
          </cell>
          <cell r="U1110" t="str">
            <v>M.THOREL</v>
          </cell>
          <cell r="AA1110" t="str">
            <v>SL</v>
          </cell>
          <cell r="AB1110" t="str">
            <v>Soutien Logistique</v>
          </cell>
          <cell r="AC1110" t="str">
            <v>M2I</v>
          </cell>
          <cell r="AD1110" t="str">
            <v>IPM-MT-MF19-SSL</v>
          </cell>
          <cell r="AE1110" t="str">
            <v xml:space="preserve">Spécification de Soutien Logistique Intégré </v>
          </cell>
          <cell r="AF1110" t="str">
            <v>8.4</v>
          </cell>
          <cell r="AI1110">
            <v>1</v>
          </cell>
          <cell r="AT1110" t="str">
            <v>FD</v>
          </cell>
          <cell r="CG1110" t="str">
            <v>30/09/2020 : pour la FP barré de JD2.2, j'ai enlevé le barré pour import dans la base arbo</v>
          </cell>
          <cell r="CH1110" t="e">
            <v>#N/A</v>
          </cell>
          <cell r="CI1110" t="e">
            <v>#N/A</v>
          </cell>
          <cell r="CJ1110" t="e">
            <v>#N/A</v>
          </cell>
        </row>
        <row r="1111">
          <cell r="B1111" t="str">
            <v>Ligne_266_PPD</v>
          </cell>
          <cell r="C1111">
            <v>266</v>
          </cell>
          <cell r="E1111" t="str">
            <v xml:space="preserve">EMST : Procédures de transport et de stockage </v>
          </cell>
          <cell r="G1111" t="str">
            <v/>
          </cell>
          <cell r="S1111" t="str">
            <v>ABT</v>
          </cell>
          <cell r="U1111" t="str">
            <v>M.THOREL</v>
          </cell>
          <cell r="AA1111" t="str">
            <v>SL</v>
          </cell>
          <cell r="AB1111" t="str">
            <v>Soutien Logistique</v>
          </cell>
          <cell r="AC1111" t="str">
            <v>M2I</v>
          </cell>
          <cell r="AD1111" t="str">
            <v>IPM-MT-MF19-SSL et SD09005</v>
          </cell>
          <cell r="AE1111" t="str">
            <v>Spécification de Soutien Logistique Intégré / Exigences de maintenabilité des équipements embarqués</v>
          </cell>
          <cell r="AF1111" t="str">
            <v>8.4 (IPM) / 3 (MRB)</v>
          </cell>
          <cell r="AI1111">
            <v>1</v>
          </cell>
          <cell r="AT1111" t="str">
            <v>FD</v>
          </cell>
          <cell r="CH1111" t="e">
            <v>#N/A</v>
          </cell>
          <cell r="CI1111" t="e">
            <v>#N/A</v>
          </cell>
          <cell r="CJ1111" t="e">
            <v>#N/A</v>
          </cell>
        </row>
        <row r="1112">
          <cell r="B1112" t="str">
            <v>Ligne_267_PPD</v>
          </cell>
          <cell r="C1112">
            <v>267</v>
          </cell>
          <cell r="E1112" t="str">
            <v xml:space="preserve">EMST : Fournitures Outillages et dossiers EMST </v>
          </cell>
          <cell r="G1112" t="str">
            <v>DOUBLON A SUPPRIMER (DEFINITION OUTILLAGE ITEM 184)</v>
          </cell>
          <cell r="R1112" t="str">
            <v>VPF</v>
          </cell>
          <cell r="S1112" t="str">
            <v>ABT</v>
          </cell>
          <cell r="U1112" t="str">
            <v>M.THOREL</v>
          </cell>
          <cell r="AA1112" t="str">
            <v>SL</v>
          </cell>
          <cell r="AB1112" t="str">
            <v>Soutien Logistique</v>
          </cell>
          <cell r="AC1112" t="str">
            <v>M2I</v>
          </cell>
          <cell r="AD1112" t="str">
            <v>IPM-MT-MF19-SSL</v>
          </cell>
          <cell r="AE1112" t="str">
            <v xml:space="preserve">Spécification de Soutien Logistique Intégré </v>
          </cell>
          <cell r="AF1112" t="str">
            <v>8.4</v>
          </cell>
          <cell r="AI1112">
            <v>50</v>
          </cell>
          <cell r="AT1112" t="str">
            <v>FD</v>
          </cell>
          <cell r="AX1112" t="str">
            <v>Maj</v>
          </cell>
          <cell r="BB1112" t="str">
            <v>Maj</v>
          </cell>
          <cell r="CG1112" t="str">
            <v>30/09/2020 : pour la FP barré de JD2.2, j'ai enlevé le barré pour import dans la base arbo</v>
          </cell>
          <cell r="CH1112" t="e">
            <v>#N/A</v>
          </cell>
          <cell r="CI1112" t="e">
            <v>#N/A</v>
          </cell>
          <cell r="CJ1112" t="e">
            <v>#N/A</v>
          </cell>
        </row>
        <row r="1113">
          <cell r="B1113" t="str">
            <v>Ligne_268_PPD</v>
          </cell>
          <cell r="C1113">
            <v>268</v>
          </cell>
          <cell r="E1113" t="str">
            <v xml:space="preserve">Dossier d’intégration dans les infrastructures (avec note de consommation d’énergie) </v>
          </cell>
          <cell r="G1113" t="str">
            <v>Dossier d’intégration dans les infrastructures</v>
          </cell>
          <cell r="R1113" t="str">
            <v>VPF</v>
          </cell>
          <cell r="S1113" t="str">
            <v>AT</v>
          </cell>
          <cell r="T1113" t="str">
            <v>BT</v>
          </cell>
          <cell r="U1113" t="str">
            <v>M.THOREL</v>
          </cell>
          <cell r="Z1113" t="str">
            <v>RTS 161 JS2 AME/M2I/MRB 03/07/2020</v>
          </cell>
          <cell r="AA1113" t="str">
            <v>SL</v>
          </cell>
          <cell r="AB1113" t="str">
            <v>Soutien Logistique</v>
          </cell>
          <cell r="AC1113" t="str">
            <v>M2I</v>
          </cell>
          <cell r="AD1113" t="str">
            <v>IPM-MT-MF19-SSL</v>
          </cell>
          <cell r="AE1113" t="str">
            <v xml:space="preserve">Spécification de Soutien Logistique Intégré </v>
          </cell>
          <cell r="AF1113" t="str">
            <v>9.1</v>
          </cell>
          <cell r="AI1113">
            <v>1</v>
          </cell>
          <cell r="AN1113" t="str">
            <v>FP</v>
          </cell>
          <cell r="AU1113" t="str">
            <v>FD</v>
          </cell>
          <cell r="CH1113" t="e">
            <v>#N/A</v>
          </cell>
          <cell r="CI1113" t="e">
            <v>#N/A</v>
          </cell>
          <cell r="CJ1113" t="e">
            <v>#N/A</v>
          </cell>
        </row>
        <row r="1114">
          <cell r="A1114" t="str">
            <v>ADD0003308501</v>
          </cell>
          <cell r="B1114" t="str">
            <v>Ligne_269_PPD</v>
          </cell>
          <cell r="C1114">
            <v>269</v>
          </cell>
          <cell r="E1114" t="str">
            <v xml:space="preserve">Plan du Service Après Vente (SAV) </v>
          </cell>
          <cell r="G1114" t="str">
            <v/>
          </cell>
          <cell r="M1114" t="str">
            <v>M-08_SOUTIEN_LOGISTIQUE_INTEGRE</v>
          </cell>
          <cell r="N1114" t="str">
            <v>DM</v>
          </cell>
          <cell r="O1114" t="str">
            <v>PMN_PLAN MANAGMT</v>
          </cell>
          <cell r="R1114" t="str">
            <v>VPF</v>
          </cell>
          <cell r="S1114" t="str">
            <v>AT</v>
          </cell>
          <cell r="T1114" t="str">
            <v>BT</v>
          </cell>
          <cell r="U1114" t="str">
            <v>C.WOOLLVEN</v>
          </cell>
          <cell r="AA1114" t="str">
            <v>SL</v>
          </cell>
          <cell r="AB1114" t="str">
            <v>Soutien Logistique</v>
          </cell>
          <cell r="AC1114" t="str">
            <v>M2I</v>
          </cell>
          <cell r="AD1114" t="str">
            <v>IPM-MT-MF19-SSL et SD09005</v>
          </cell>
          <cell r="AE1114" t="str">
            <v>Spécification de Soutien Logistique Intégré / Exigences de maintenabilité des équipements embarqués</v>
          </cell>
          <cell r="AF1114" t="str">
            <v>9.1 (IPM) / 2.1 (MRB)</v>
          </cell>
          <cell r="AI1114">
            <v>1</v>
          </cell>
          <cell r="AT1114" t="str">
            <v>FD</v>
          </cell>
          <cell r="CG1114" t="str">
            <v>30/09/2020 : pour la FP barré de JD2.2, j'ai enlevé le barré pour import dans la base arbo</v>
          </cell>
          <cell r="CH1114" t="e">
            <v>#N/A</v>
          </cell>
          <cell r="CI1114" t="e">
            <v>#N/A</v>
          </cell>
          <cell r="CJ1114" t="e">
            <v>#N/A</v>
          </cell>
        </row>
        <row r="1115">
          <cell r="B1115" t="str">
            <v>Ligne_270_PPD</v>
          </cell>
          <cell r="C1115">
            <v>270</v>
          </cell>
          <cell r="E1115" t="str">
            <v>Dossier de maintenance N2, spécification détaillée protocole de communication, catalogue illustré et nomenclature</v>
          </cell>
          <cell r="G1115" t="str">
            <v/>
          </cell>
          <cell r="R1115" t="str">
            <v>VPF</v>
          </cell>
          <cell r="S1115" t="str">
            <v>AT</v>
          </cell>
          <cell r="T1115" t="str">
            <v>EX</v>
          </cell>
          <cell r="U1115" t="str">
            <v>M.THOREL</v>
          </cell>
          <cell r="AA1115" t="str">
            <v>SL</v>
          </cell>
          <cell r="AB1115" t="str">
            <v>Maintenabilité</v>
          </cell>
          <cell r="AC1115" t="str">
            <v>MRB</v>
          </cell>
          <cell r="AD1115" t="str">
            <v>SD09005</v>
          </cell>
          <cell r="AE1115" t="str">
            <v>Exigences de maintenabilité des équipements embarqués</v>
          </cell>
          <cell r="AF1115" t="str">
            <v>4.1</v>
          </cell>
          <cell r="AI1115">
            <v>1</v>
          </cell>
          <cell r="AU1115" t="str">
            <v>FP</v>
          </cell>
          <cell r="AX1115" t="str">
            <v>FD</v>
          </cell>
          <cell r="BF1115" t="str">
            <v>Maj</v>
          </cell>
          <cell r="CH1115" t="e">
            <v>#N/A</v>
          </cell>
          <cell r="CI1115" t="e">
            <v>#N/A</v>
          </cell>
          <cell r="CJ1115" t="e">
            <v>#N/A</v>
          </cell>
        </row>
        <row r="1116">
          <cell r="B1116" t="str">
            <v>Ligne_271_PPD</v>
          </cell>
          <cell r="C1116">
            <v>271</v>
          </cell>
          <cell r="E1116" t="str">
            <v>Dossiers de fabrication (DF Produit ) pour les produits issus de la LCPF (uniquement consultable sur site de fabrication)</v>
          </cell>
          <cell r="G1116" t="str">
            <v/>
          </cell>
          <cell r="S1116" t="str">
            <v>AT</v>
          </cell>
          <cell r="T1116" t="str">
            <v>BT</v>
          </cell>
          <cell r="AA1116" t="str">
            <v>E</v>
          </cell>
          <cell r="AB1116" t="str">
            <v>Projet</v>
          </cell>
          <cell r="AC1116" t="str">
            <v>M2I</v>
          </cell>
          <cell r="AD1116" t="str">
            <v>SM ET.4-10639</v>
          </cell>
          <cell r="AE1116" t="str">
            <v>Spécification de management MF19</v>
          </cell>
          <cell r="AF1116" t="str">
            <v>9.5.2</v>
          </cell>
          <cell r="AI1116">
            <v>1</v>
          </cell>
          <cell r="AS1116" t="str">
            <v>FD</v>
          </cell>
          <cell r="CH1116" t="e">
            <v>#N/A</v>
          </cell>
          <cell r="CI1116" t="e">
            <v>#N/A</v>
          </cell>
          <cell r="CJ1116" t="e">
            <v>#N/A</v>
          </cell>
        </row>
        <row r="1117">
          <cell r="B1117" t="str">
            <v>Ligne_272_PPD</v>
          </cell>
          <cell r="C1117">
            <v>272</v>
          </cell>
          <cell r="E1117" t="str">
            <v>Plan d’Assurance qualité des produits de la LCPF</v>
          </cell>
          <cell r="G1117" t="str">
            <v>inclus le PAQ du livrable 208</v>
          </cell>
          <cell r="R1117" t="str">
            <v>VPF</v>
          </cell>
          <cell r="S1117" t="str">
            <v>AT</v>
          </cell>
          <cell r="T1117" t="str">
            <v>BT</v>
          </cell>
          <cell r="U1117" t="str">
            <v>L.FREMY</v>
          </cell>
          <cell r="AA1117" t="str">
            <v>SL</v>
          </cell>
          <cell r="AB1117" t="str">
            <v>Soutien Logistique</v>
          </cell>
          <cell r="AC1117" t="str">
            <v>EAQ</v>
          </cell>
          <cell r="AD1117" t="str">
            <v>SM ET.4-10639</v>
          </cell>
          <cell r="AE1117" t="str">
            <v>Spécification de management MF19</v>
          </cell>
          <cell r="AF1117" t="str">
            <v>9.3.2</v>
          </cell>
          <cell r="AI1117">
            <v>65</v>
          </cell>
          <cell r="AS1117" t="str">
            <v>FD</v>
          </cell>
          <cell r="CG1117" t="str">
            <v>30/09/2020 : dans les colonnes "Métier" (=M2I), "N° MF19" (=IPM-MT-MF19-SSL) et "Nom" (=Spécification de Soutien Logistique Intégré ) et "§ " (=19), il y avait du texte barré, j'ai tout supprimé pour l'import dans la base arbo</v>
          </cell>
          <cell r="CH1117" t="e">
            <v>#N/A</v>
          </cell>
          <cell r="CI1117" t="e">
            <v>#N/A</v>
          </cell>
          <cell r="CJ1117" t="e">
            <v>#N/A</v>
          </cell>
        </row>
        <row r="1118">
          <cell r="B1118" t="str">
            <v>Ligne_273_PPD</v>
          </cell>
          <cell r="C1118">
            <v>273</v>
          </cell>
          <cell r="E1118" t="str">
            <v>Plan de surveillance de l’augmentation de la périodicité de révision</v>
          </cell>
          <cell r="G1118" t="str">
            <v/>
          </cell>
          <cell r="S1118" t="str">
            <v>ABT</v>
          </cell>
          <cell r="U1118" t="str">
            <v>M.THOREL</v>
          </cell>
          <cell r="AA1118" t="str">
            <v>SL</v>
          </cell>
          <cell r="AB1118" t="str">
            <v>Soutien Logistique</v>
          </cell>
          <cell r="AC1118" t="str">
            <v>M2I</v>
          </cell>
          <cell r="AD1118" t="str">
            <v>IPM-MT-MF19-SSL</v>
          </cell>
          <cell r="AE1118" t="str">
            <v xml:space="preserve">Spécification de Soutien Logistique Intégré </v>
          </cell>
          <cell r="AF1118">
            <v>19</v>
          </cell>
          <cell r="AI1118">
            <v>1</v>
          </cell>
          <cell r="AU1118" t="str">
            <v>FP</v>
          </cell>
          <cell r="BA1118" t="str">
            <v>Maj</v>
          </cell>
          <cell r="CH1118" t="e">
            <v>#N/A</v>
          </cell>
          <cell r="CI1118" t="e">
            <v>#N/A</v>
          </cell>
          <cell r="CJ1118" t="e">
            <v>#N/A</v>
          </cell>
        </row>
        <row r="1119">
          <cell r="B1119" t="str">
            <v>Ligne_274_PPD</v>
          </cell>
          <cell r="C1119">
            <v>274</v>
          </cell>
          <cell r="E1119" t="str">
            <v xml:space="preserve">Dossier de testabilité par URL et URA (selon exigence SL et DIR AME 06-04-12) </v>
          </cell>
          <cell r="G1119" t="str">
            <v>DOUBLON AVEC L'ITEM 175 (POINT 2 FRD 133)</v>
          </cell>
          <cell r="R1119" t="str">
            <v>NA</v>
          </cell>
          <cell r="S1119" t="str">
            <v>AT</v>
          </cell>
          <cell r="T1119" t="str">
            <v>NA</v>
          </cell>
          <cell r="U1119" t="str">
            <v>M.THOREL</v>
          </cell>
          <cell r="AA1119" t="str">
            <v>SL</v>
          </cell>
          <cell r="AB1119" t="str">
            <v>Soutien Logistique</v>
          </cell>
          <cell r="AC1119" t="str">
            <v>M2I</v>
          </cell>
          <cell r="AD1119" t="str">
            <v>IPM-MT-MF19-SSL</v>
          </cell>
          <cell r="AE1119" t="str">
            <v xml:space="preserve">Spécification de Soutien Logistique Intégré </v>
          </cell>
          <cell r="AF1119">
            <v>19</v>
          </cell>
          <cell r="AI1119" t="str">
            <v>RENVOI</v>
          </cell>
          <cell r="AU1119" t="str">
            <v>FP</v>
          </cell>
          <cell r="BA1119" t="str">
            <v>FD</v>
          </cell>
          <cell r="BF1119" t="str">
            <v>Maj</v>
          </cell>
          <cell r="CH1119" t="e">
            <v>#N/A</v>
          </cell>
          <cell r="CI1119" t="e">
            <v>#N/A</v>
          </cell>
          <cell r="CJ1119" t="e">
            <v>#N/A</v>
          </cell>
        </row>
        <row r="1120">
          <cell r="B1120" t="str">
            <v>Ligne_275_PPD</v>
          </cell>
          <cell r="C1120">
            <v>275</v>
          </cell>
          <cell r="E1120" t="str">
            <v xml:space="preserve">Documentation d’outillage et de test électronique </v>
          </cell>
          <cell r="G1120" t="str">
            <v>DOUBLON AVEC L'ITEM 176 (POINT 2 FRD 133)</v>
          </cell>
          <cell r="R1120" t="str">
            <v>NA</v>
          </cell>
          <cell r="S1120" t="str">
            <v>AT</v>
          </cell>
          <cell r="T1120" t="str">
            <v>NA</v>
          </cell>
          <cell r="U1120" t="str">
            <v>M.THOREL</v>
          </cell>
          <cell r="Z1120" t="str">
            <v>RTS 161 JS2 AME/M2I/MRB 03/07/2020</v>
          </cell>
          <cell r="AA1120" t="str">
            <v>SL</v>
          </cell>
          <cell r="AB1120" t="str">
            <v>Soutien Logistique</v>
          </cell>
          <cell r="AC1120" t="str">
            <v>M2I</v>
          </cell>
          <cell r="AD1120" t="str">
            <v>IPM-MT-MF19-SSL</v>
          </cell>
          <cell r="AE1120" t="str">
            <v xml:space="preserve">Spécification de Soutien Logistique Intégré </v>
          </cell>
          <cell r="AF1120">
            <v>19</v>
          </cell>
          <cell r="AI1120" t="str">
            <v>RENVOI</v>
          </cell>
          <cell r="AN1120" t="str">
            <v>FP</v>
          </cell>
          <cell r="AT1120" t="str">
            <v>FP</v>
          </cell>
          <cell r="AU1120" t="str">
            <v>Maj</v>
          </cell>
          <cell r="BA1120" t="str">
            <v>FD</v>
          </cell>
          <cell r="BF1120" t="str">
            <v>Maj</v>
          </cell>
          <cell r="CH1120" t="e">
            <v>#N/A</v>
          </cell>
          <cell r="CI1120" t="e">
            <v>#N/A</v>
          </cell>
          <cell r="CJ1120" t="e">
            <v>#N/A</v>
          </cell>
        </row>
        <row r="1121">
          <cell r="B1121" t="str">
            <v>Ligne_276_PPD</v>
          </cell>
          <cell r="C1121">
            <v>276</v>
          </cell>
          <cell r="E1121" t="str">
            <v xml:space="preserve">                                                                                                                                            </v>
          </cell>
          <cell r="G1121" t="str">
            <v>DOUBLON AVEC L'ITEM 177 (POINT 2 FRD 133)</v>
          </cell>
          <cell r="R1121" t="str">
            <v>NA</v>
          </cell>
          <cell r="S1121" t="str">
            <v>AT</v>
          </cell>
          <cell r="T1121" t="str">
            <v>NA</v>
          </cell>
          <cell r="U1121" t="str">
            <v>M.THOREL</v>
          </cell>
          <cell r="AA1121" t="str">
            <v>SL</v>
          </cell>
          <cell r="AB1121" t="str">
            <v>Soutien Logistique</v>
          </cell>
          <cell r="AC1121" t="str">
            <v>M2I</v>
          </cell>
          <cell r="AD1121" t="str">
            <v>IPM-MT-MF19-SSL</v>
          </cell>
          <cell r="AE1121" t="str">
            <v xml:space="preserve">Spécification de Soutien Logistique Intégré </v>
          </cell>
          <cell r="AF1121">
            <v>19</v>
          </cell>
          <cell r="AI1121" t="str">
            <v>RENVOI</v>
          </cell>
          <cell r="AT1121" t="str">
            <v>FP</v>
          </cell>
          <cell r="CH1121" t="e">
            <v>#N/A</v>
          </cell>
          <cell r="CI1121" t="e">
            <v>#N/A</v>
          </cell>
          <cell r="CJ1121" t="e">
            <v>#N/A</v>
          </cell>
        </row>
        <row r="1122">
          <cell r="B1122" t="str">
            <v>Ligne_277_PPD</v>
          </cell>
          <cell r="C1122">
            <v>277</v>
          </cell>
          <cell r="E1122" t="str">
            <v>Dossiers de contrôle (DC) pour les produits issus de la LCPF</v>
          </cell>
          <cell r="G1122" t="str">
            <v/>
          </cell>
          <cell r="S1122" t="str">
            <v>AT</v>
          </cell>
          <cell r="T1122" t="str">
            <v>BT</v>
          </cell>
          <cell r="AA1122" t="str">
            <v>E</v>
          </cell>
          <cell r="AB1122" t="str">
            <v>Projet</v>
          </cell>
          <cell r="AC1122" t="str">
            <v>M2I</v>
          </cell>
          <cell r="AD1122" t="str">
            <v>SM ET.4-10639</v>
          </cell>
          <cell r="AE1122" t="str">
            <v>Spécification de management MF19</v>
          </cell>
          <cell r="AF1122" t="str">
            <v>9.6.3</v>
          </cell>
          <cell r="AI1122">
            <v>300</v>
          </cell>
          <cell r="AS1122" t="str">
            <v>FD</v>
          </cell>
          <cell r="CH1122" t="e">
            <v>#N/A</v>
          </cell>
          <cell r="CI1122" t="e">
            <v>#N/A</v>
          </cell>
          <cell r="CJ1122" t="e">
            <v>#N/A</v>
          </cell>
        </row>
        <row r="1123">
          <cell r="B1123" t="str">
            <v>Ligne_278_PPD</v>
          </cell>
          <cell r="C1123">
            <v>278</v>
          </cell>
          <cell r="E1123" t="str">
            <v>Rapports de revue d'IPA pour les produits issus de la LCPF</v>
          </cell>
          <cell r="G1123" t="str">
            <v/>
          </cell>
          <cell r="S1123" t="str">
            <v>AT</v>
          </cell>
          <cell r="U1123" t="str">
            <v>L.FREMY</v>
          </cell>
          <cell r="AA1123" t="str">
            <v>E</v>
          </cell>
          <cell r="AB1123" t="str">
            <v>Projet</v>
          </cell>
          <cell r="AC1123" t="str">
            <v>EAQ</v>
          </cell>
          <cell r="AD1123" t="str">
            <v>SM ET.4-10639</v>
          </cell>
          <cell r="AE1123" t="str">
            <v>Spécification de management MF19</v>
          </cell>
          <cell r="AF1123" t="str">
            <v>9.5.3.2</v>
          </cell>
          <cell r="AI1123">
            <v>300</v>
          </cell>
          <cell r="AS1123" t="str">
            <v>FD</v>
          </cell>
          <cell r="CH1123" t="e">
            <v>#N/A</v>
          </cell>
          <cell r="CI1123" t="e">
            <v>#N/A</v>
          </cell>
          <cell r="CJ1123" t="e">
            <v>#N/A</v>
          </cell>
        </row>
        <row r="1124">
          <cell r="B1124" t="str">
            <v>Ligne_279_PPD</v>
          </cell>
          <cell r="C1124">
            <v>279</v>
          </cell>
          <cell r="E1124" t="str">
            <v>Suivi Qualité des Pièces et Montages Critiques de Sécurité (SQPMCS)</v>
          </cell>
          <cell r="G1124" t="str">
            <v/>
          </cell>
          <cell r="S1124" t="str">
            <v>AT</v>
          </cell>
          <cell r="T1124" t="str">
            <v>BT</v>
          </cell>
          <cell r="AA1124" t="str">
            <v>E</v>
          </cell>
          <cell r="AB1124" t="str">
            <v>Projet</v>
          </cell>
          <cell r="AC1124" t="str">
            <v>EAQ</v>
          </cell>
          <cell r="AD1124" t="str">
            <v>SM ET.4-10639</v>
          </cell>
          <cell r="AE1124" t="str">
            <v>Spécification de management MF19</v>
          </cell>
          <cell r="AF1124" t="str">
            <v>9.3.4.4</v>
          </cell>
          <cell r="AI1124">
            <v>1</v>
          </cell>
          <cell r="AS1124" t="str">
            <v>FD</v>
          </cell>
          <cell r="AX1124" t="str">
            <v>Maj</v>
          </cell>
          <cell r="AY1124" t="str">
            <v>Maj</v>
          </cell>
          <cell r="BB1124" t="str">
            <v>Maj</v>
          </cell>
          <cell r="CH1124" t="e">
            <v>#N/A</v>
          </cell>
          <cell r="CI1124" t="e">
            <v>#N/A</v>
          </cell>
          <cell r="CJ1124" t="e">
            <v>#N/A</v>
          </cell>
        </row>
        <row r="1125">
          <cell r="B1125" t="str">
            <v>Ligne_280_PPD</v>
          </cell>
          <cell r="C1125">
            <v>280</v>
          </cell>
          <cell r="E1125" t="str">
            <v>Dossier de contrôle (DC) système train</v>
          </cell>
          <cell r="G1125" t="str">
            <v>renvoi ves les différents livrables demandés par ailleurs</v>
          </cell>
          <cell r="S1125" t="str">
            <v>AT</v>
          </cell>
          <cell r="T1125" t="str">
            <v>BT</v>
          </cell>
          <cell r="U1125" t="str">
            <v>C.SION</v>
          </cell>
          <cell r="Z1125" t="str">
            <v>RTS 174 JS2 EAI 20/07/2020</v>
          </cell>
          <cell r="AA1125" t="str">
            <v>E</v>
          </cell>
          <cell r="AB1125" t="str">
            <v>Electronique</v>
          </cell>
          <cell r="AC1125" t="str">
            <v>EAI/EAQ</v>
          </cell>
          <cell r="AD1125" t="str">
            <v>ST ET.4-10529</v>
          </cell>
          <cell r="AE1125" t="str">
            <v>Documentation relative à l’étude et la réalisation de systèmes électroniques</v>
          </cell>
          <cell r="AF1125" t="str">
            <v>2.8</v>
          </cell>
          <cell r="AI1125">
            <v>30</v>
          </cell>
          <cell r="AN1125" t="str">
            <v>FP</v>
          </cell>
          <cell r="AP1125" t="str">
            <v>Maj</v>
          </cell>
          <cell r="AY1125" t="str">
            <v>FD</v>
          </cell>
          <cell r="BE1125" t="str">
            <v>Maj</v>
          </cell>
          <cell r="CH1125" t="e">
            <v>#N/A</v>
          </cell>
          <cell r="CI1125" t="e">
            <v>#N/A</v>
          </cell>
          <cell r="CJ1125" t="e">
            <v>#N/A</v>
          </cell>
        </row>
        <row r="1126">
          <cell r="B1126" t="str">
            <v>Ligne_281_PPD</v>
          </cell>
          <cell r="C1126">
            <v>281</v>
          </cell>
          <cell r="E1126" t="str">
            <v>Rapports de revue d'IPA Montage</v>
          </cell>
          <cell r="G1126" t="str">
            <v/>
          </cell>
          <cell r="S1126" t="str">
            <v>AT</v>
          </cell>
          <cell r="U1126" t="str">
            <v>L.FREMY</v>
          </cell>
          <cell r="AA1126" t="str">
            <v>E</v>
          </cell>
          <cell r="AB1126" t="str">
            <v>Projet</v>
          </cell>
          <cell r="AC1126" t="str">
            <v>EAQ</v>
          </cell>
          <cell r="AD1126" t="str">
            <v>SM ET.4-10639</v>
          </cell>
          <cell r="AE1126" t="str">
            <v>Spécification de management MF19</v>
          </cell>
          <cell r="AF1126" t="str">
            <v>9.5.3.3</v>
          </cell>
          <cell r="AI1126">
            <v>300</v>
          </cell>
          <cell r="AY1126" t="str">
            <v>FD</v>
          </cell>
          <cell r="CH1126" t="e">
            <v>#N/A</v>
          </cell>
          <cell r="CI1126" t="e">
            <v>#N/A</v>
          </cell>
          <cell r="CJ1126" t="e">
            <v>#N/A</v>
          </cell>
        </row>
        <row r="1127">
          <cell r="B1127" t="str">
            <v>Ligne_282_PPD</v>
          </cell>
          <cell r="C1127">
            <v>282</v>
          </cell>
          <cell r="E1127" t="str">
            <v>Revue d'acceptation de l'état réalisé du système train  qui a pour objet de montrer que le train répond aux exigences du Cahier des Charges. Cette revue aboutit à l'autorisation d'engager le processus de fabrication des trains.</v>
          </cell>
          <cell r="G1127" t="str">
            <v/>
          </cell>
          <cell r="S1127" t="str">
            <v>AT</v>
          </cell>
          <cell r="T1127" t="str">
            <v>BT</v>
          </cell>
          <cell r="AA1127" t="str">
            <v>E</v>
          </cell>
          <cell r="AB1127" t="str">
            <v>Projet</v>
          </cell>
          <cell r="AC1127" t="str">
            <v>RP11/CA</v>
          </cell>
          <cell r="AD1127" t="str">
            <v>SM ET.4-10639</v>
          </cell>
          <cell r="AE1127" t="str">
            <v>Spécification de management MF19</v>
          </cell>
          <cell r="AF1127" t="str">
            <v>2.2.3.1.2</v>
          </cell>
          <cell r="AI1127">
            <v>1</v>
          </cell>
          <cell r="AY1127" t="str">
            <v>FD</v>
          </cell>
          <cell r="CH1127" t="e">
            <v>#N/A</v>
          </cell>
          <cell r="CI1127" t="e">
            <v>#N/A</v>
          </cell>
          <cell r="CJ1127" t="e">
            <v>#N/A</v>
          </cell>
        </row>
        <row r="1128">
          <cell r="B1128" t="str">
            <v>Ligne_283_PPD</v>
          </cell>
          <cell r="C1128">
            <v>283</v>
          </cell>
          <cell r="E1128" t="str">
            <v>Modèle de registre de contrôle train (RCT)</v>
          </cell>
          <cell r="G1128" t="str">
            <v/>
          </cell>
          <cell r="S1128" t="str">
            <v>AT</v>
          </cell>
          <cell r="U1128" t="str">
            <v>L.FREMY</v>
          </cell>
          <cell r="AA1128" t="str">
            <v>E</v>
          </cell>
          <cell r="AB1128" t="str">
            <v>Projet</v>
          </cell>
          <cell r="AC1128" t="str">
            <v>M2I</v>
          </cell>
          <cell r="AD1128" t="str">
            <v>SM ET.4-10639</v>
          </cell>
          <cell r="AE1128" t="str">
            <v>Spécification de management MF19</v>
          </cell>
          <cell r="AF1128" t="str">
            <v>9.8.2</v>
          </cell>
          <cell r="AI1128">
            <v>1</v>
          </cell>
          <cell r="AY1128" t="str">
            <v>FD</v>
          </cell>
          <cell r="CH1128" t="e">
            <v>#N/A</v>
          </cell>
          <cell r="CI1128" t="e">
            <v>#N/A</v>
          </cell>
          <cell r="CJ1128" t="e">
            <v>#N/A</v>
          </cell>
        </row>
        <row r="1129">
          <cell r="B1129" t="str">
            <v>Ligne_284_PPD</v>
          </cell>
          <cell r="C1129">
            <v>284</v>
          </cell>
          <cell r="E1129" t="str">
            <v xml:space="preserve">Fournitures Outillages spécifiques, moyens de tests (hors électroniques) et EMST </v>
          </cell>
          <cell r="G1129" t="str">
            <v>A DECOMPOSER</v>
          </cell>
          <cell r="R1129" t="str">
            <v>VPF</v>
          </cell>
          <cell r="S1129" t="str">
            <v>ABT</v>
          </cell>
          <cell r="U1129" t="str">
            <v>M.THOREL</v>
          </cell>
          <cell r="AA1129" t="str">
            <v>SL</v>
          </cell>
          <cell r="AB1129" t="str">
            <v>Soutien Logistique</v>
          </cell>
          <cell r="AC1129" t="str">
            <v>M2I</v>
          </cell>
          <cell r="AD1129" t="str">
            <v>IPM-MT-MF19-SSL</v>
          </cell>
          <cell r="AE1129" t="str">
            <v xml:space="preserve">Spécification de Soutien Logistique Intégré </v>
          </cell>
          <cell r="AF1129" t="str">
            <v>8.4.1</v>
          </cell>
          <cell r="AI1129">
            <v>1</v>
          </cell>
          <cell r="AT1129" t="str">
            <v>FD</v>
          </cell>
          <cell r="AX1129" t="str">
            <v>Maj</v>
          </cell>
          <cell r="BB1129" t="str">
            <v>Maj</v>
          </cell>
          <cell r="CH1129" t="e">
            <v>#N/A</v>
          </cell>
          <cell r="CI1129" t="e">
            <v>#N/A</v>
          </cell>
          <cell r="CJ1129" t="e">
            <v>#N/A</v>
          </cell>
        </row>
        <row r="1130">
          <cell r="B1130" t="str">
            <v>Ligne_285_PPD</v>
          </cell>
          <cell r="C1130">
            <v>285</v>
          </cell>
          <cell r="E1130" t="str">
            <v xml:space="preserve">Liste des rechanges des outillages </v>
          </cell>
          <cell r="G1130" t="str">
            <v>A DECOMPOSER</v>
          </cell>
          <cell r="R1130" t="str">
            <v>VPF</v>
          </cell>
          <cell r="S1130" t="str">
            <v>ABT</v>
          </cell>
          <cell r="U1130" t="str">
            <v>M.THOREL</v>
          </cell>
          <cell r="AA1130" t="str">
            <v>SL</v>
          </cell>
          <cell r="AB1130" t="str">
            <v>Soutien Logistique</v>
          </cell>
          <cell r="AC1130" t="str">
            <v>M2I</v>
          </cell>
          <cell r="AD1130" t="str">
            <v>IPM-MT-MF19-SSL</v>
          </cell>
          <cell r="AE1130" t="str">
            <v xml:space="preserve">Spécification de Soutien Logistique Intégré </v>
          </cell>
          <cell r="AF1130" t="str">
            <v>8.4.5</v>
          </cell>
          <cell r="AI1130">
            <v>1</v>
          </cell>
          <cell r="AT1130" t="str">
            <v>FD</v>
          </cell>
          <cell r="CH1130" t="e">
            <v>#N/A</v>
          </cell>
          <cell r="CI1130" t="e">
            <v>#N/A</v>
          </cell>
          <cell r="CJ1130" t="e">
            <v>#N/A</v>
          </cell>
        </row>
        <row r="1131">
          <cell r="B1131" t="str">
            <v>Ligne_286_PPD</v>
          </cell>
          <cell r="C1131">
            <v>286</v>
          </cell>
          <cell r="E1131" t="str">
            <v>Analyse des documents logiciel (PQL)</v>
          </cell>
          <cell r="G1131" t="str">
            <v>renvoi aux différents livrables logiciel (214,…) si pris en compte dans PAQL train</v>
          </cell>
          <cell r="S1131" t="str">
            <v>AT</v>
          </cell>
          <cell r="T1131" t="str">
            <v>BT</v>
          </cell>
          <cell r="U1131" t="str">
            <v>J.DOMAS</v>
          </cell>
          <cell r="Z1131" t="str">
            <v>RTS 161 JS2 AME/M2I/MRB 03/07/2020</v>
          </cell>
          <cell r="AA1131" t="str">
            <v>SL</v>
          </cell>
          <cell r="AB1131" t="str">
            <v>Soutien Logistique</v>
          </cell>
          <cell r="AC1131" t="str">
            <v>M2I</v>
          </cell>
          <cell r="AD1131" t="str">
            <v>IPM-MT-MF19-SSL</v>
          </cell>
          <cell r="AE1131" t="str">
            <v xml:space="preserve">Spécification de Soutien Logistique Intégré </v>
          </cell>
          <cell r="AF1131">
            <v>19</v>
          </cell>
          <cell r="AI1131">
            <v>1</v>
          </cell>
          <cell r="AN1131" t="str">
            <v>FP</v>
          </cell>
          <cell r="AU1131" t="str">
            <v>FD</v>
          </cell>
          <cell r="CH1131" t="e">
            <v>#N/A</v>
          </cell>
          <cell r="CI1131" t="e">
            <v>#N/A</v>
          </cell>
          <cell r="CJ1131" t="e">
            <v>#N/A</v>
          </cell>
        </row>
        <row r="1132">
          <cell r="B1132" t="str">
            <v>Ligne_287_PPD</v>
          </cell>
          <cell r="C1132">
            <v>287</v>
          </cell>
          <cell r="E1132" t="str">
            <v>Analyses et documents logiciels (Spécifications, ….aux tests)</v>
          </cell>
          <cell r="G1132" t="str">
            <v>renvoi vers les livrables spécifiques de la spec 20058 à confirmer</v>
          </cell>
          <cell r="S1132" t="str">
            <v>AT</v>
          </cell>
          <cell r="T1132" t="str">
            <v>BT</v>
          </cell>
          <cell r="U1132" t="str">
            <v>J.DOMAS</v>
          </cell>
          <cell r="Z1132" t="str">
            <v>RTS 161 JS2 AME/M2I/MRB 03/07/2020</v>
          </cell>
          <cell r="AA1132" t="str">
            <v>SL</v>
          </cell>
          <cell r="AB1132" t="str">
            <v>Soutien Logistique</v>
          </cell>
          <cell r="AC1132" t="str">
            <v>M2I</v>
          </cell>
          <cell r="AD1132" t="str">
            <v>IPM-MT-MF19-SSL</v>
          </cell>
          <cell r="AE1132" t="str">
            <v xml:space="preserve">Spécification de Soutien Logistique Intégré </v>
          </cell>
          <cell r="AF1132">
            <v>19</v>
          </cell>
          <cell r="AI1132">
            <v>1</v>
          </cell>
          <cell r="AN1132" t="str">
            <v>FP</v>
          </cell>
          <cell r="AT1132" t="str">
            <v>FD</v>
          </cell>
          <cell r="BF1132" t="str">
            <v>Maj</v>
          </cell>
          <cell r="CH1132" t="e">
            <v>#N/A</v>
          </cell>
          <cell r="CI1132" t="e">
            <v>#N/A</v>
          </cell>
          <cell r="CJ1132" t="e">
            <v>#N/A</v>
          </cell>
        </row>
        <row r="1133">
          <cell r="B1133" t="str">
            <v>Ligne_288_PPD</v>
          </cell>
          <cell r="C1133">
            <v>288</v>
          </cell>
          <cell r="E1133" t="str">
            <v xml:space="preserve">Documentation associée à certains rechanges (PV, ..) </v>
          </cell>
          <cell r="G1133" t="str">
            <v>A DECOMPOSER</v>
          </cell>
          <cell r="R1133" t="str">
            <v>VPF</v>
          </cell>
          <cell r="S1133" t="str">
            <v>ABT</v>
          </cell>
          <cell r="U1133" t="str">
            <v>M.THOREL</v>
          </cell>
          <cell r="AA1133" t="str">
            <v>SL</v>
          </cell>
          <cell r="AB1133" t="str">
            <v>Soutien Logistique</v>
          </cell>
          <cell r="AC1133" t="str">
            <v>M2I</v>
          </cell>
          <cell r="AD1133" t="str">
            <v>IPM-MT-MF19-SSL et SD09005</v>
          </cell>
          <cell r="AE1133" t="str">
            <v>Spécification de Soutien Logistique Intégré / Exigences de maintenabilité des équipements embarqués</v>
          </cell>
          <cell r="AF1133" t="str">
            <v>8.2.2 (IPM) / 2.1 (MRB)</v>
          </cell>
          <cell r="AI1133">
            <v>1</v>
          </cell>
          <cell r="AX1133" t="str">
            <v>FD</v>
          </cell>
          <cell r="CG1133" t="str">
            <v>30/09/2020 : la FD de JP2.1.T1 était barré, j'ai enlevé le barré pour l'import dans la base arbo</v>
          </cell>
          <cell r="CH1133" t="e">
            <v>#N/A</v>
          </cell>
          <cell r="CI1133" t="e">
            <v>#N/A</v>
          </cell>
          <cell r="CJ1133" t="e">
            <v>#N/A</v>
          </cell>
        </row>
        <row r="1134">
          <cell r="B1134" t="str">
            <v>Ligne_289_PPD</v>
          </cell>
          <cell r="C1134">
            <v>289</v>
          </cell>
          <cell r="E1134" t="str">
            <v xml:space="preserve">Fournitures outillages de tests électroniques (niveaux 1 à 4) </v>
          </cell>
          <cell r="G1134" t="str">
            <v>DOUBLON AVEC L'ITEM 177 (POINT 2 FRD 133)</v>
          </cell>
          <cell r="R1134" t="str">
            <v>VPF</v>
          </cell>
          <cell r="S1134" t="str">
            <v>AT</v>
          </cell>
          <cell r="T1134" t="str">
            <v>BT</v>
          </cell>
          <cell r="U1134" t="str">
            <v>M.THOREL</v>
          </cell>
          <cell r="AA1134" t="str">
            <v>SL</v>
          </cell>
          <cell r="AB1134" t="str">
            <v>Maintenabilité</v>
          </cell>
          <cell r="AC1134" t="str">
            <v>AME</v>
          </cell>
          <cell r="AD1134" t="str">
            <v>DIR/06/04-12</v>
          </cell>
          <cell r="AE1134" t="str">
            <v>Directive de maintenabilité et de testabilité des équipements électroniques</v>
          </cell>
          <cell r="AF1134" t="str">
            <v>6.2.2</v>
          </cell>
          <cell r="AI1134">
            <v>1</v>
          </cell>
          <cell r="AT1134" t="str">
            <v>FP</v>
          </cell>
          <cell r="BC1134" t="str">
            <v>FD</v>
          </cell>
          <cell r="BF1134" t="str">
            <v>Maj</v>
          </cell>
          <cell r="CH1134" t="e">
            <v>#N/A</v>
          </cell>
          <cell r="CI1134" t="e">
            <v>#N/A</v>
          </cell>
          <cell r="CJ1134" t="e">
            <v>#N/A</v>
          </cell>
        </row>
        <row r="1135">
          <cell r="B1135" t="str">
            <v>Ligne_290_PPD</v>
          </cell>
          <cell r="C1135">
            <v>290</v>
          </cell>
          <cell r="E1135" t="str">
            <v>Manuels des équipements d'aide à la maintenance spécifiques N2</v>
          </cell>
          <cell r="G1135" t="str">
            <v>A DECOMPOSER</v>
          </cell>
          <cell r="R1135" t="str">
            <v>VPF</v>
          </cell>
          <cell r="S1135" t="str">
            <v>AT</v>
          </cell>
          <cell r="T1135" t="str">
            <v>EX</v>
          </cell>
          <cell r="U1135" t="str">
            <v>M.THOREL</v>
          </cell>
          <cell r="AA1135" t="str">
            <v>SL</v>
          </cell>
          <cell r="AB1135" t="str">
            <v>Maintenabilité</v>
          </cell>
          <cell r="AC1135" t="str">
            <v>MRB</v>
          </cell>
          <cell r="AD1135" t="str">
            <v>SD09005</v>
          </cell>
          <cell r="AE1135" t="str">
            <v>Exigences de maintenabilité des équipements embarqués</v>
          </cell>
          <cell r="AF1135" t="str">
            <v>4.1, 4.4 et 4.5</v>
          </cell>
          <cell r="AI1135">
            <v>1</v>
          </cell>
          <cell r="AT1135" t="str">
            <v>FP</v>
          </cell>
          <cell r="BE1135" t="str">
            <v>FD</v>
          </cell>
          <cell r="BF1135" t="str">
            <v>Maj</v>
          </cell>
          <cell r="CH1135" t="e">
            <v>#N/A</v>
          </cell>
          <cell r="CI1135" t="e">
            <v>#N/A</v>
          </cell>
          <cell r="CJ1135" t="e">
            <v>#N/A</v>
          </cell>
        </row>
        <row r="1136">
          <cell r="B1136" t="str">
            <v>Ligne_291_PPD</v>
          </cell>
          <cell r="C1136">
            <v>291</v>
          </cell>
          <cell r="E1136" t="str">
            <v>Documentation de maintenance selon ST MRB SD09005 (§4 dossiers de maintenance, manuels de maintenance N1 et N2 par type d’équipements,  catalogue illustré, grille tarifaire, etc.)</v>
          </cell>
          <cell r="G1136" t="str">
            <v>A DECOMPOSER</v>
          </cell>
          <cell r="R1136" t="str">
            <v>VPF</v>
          </cell>
          <cell r="S1136" t="str">
            <v>AT</v>
          </cell>
          <cell r="T1136" t="str">
            <v>EX</v>
          </cell>
          <cell r="U1136" t="str">
            <v>M.THOREL</v>
          </cell>
          <cell r="AA1136" t="str">
            <v>SL</v>
          </cell>
          <cell r="AB1136" t="str">
            <v>Soutien Logistique</v>
          </cell>
          <cell r="AC1136" t="str">
            <v>M2I</v>
          </cell>
          <cell r="AD1136" t="str">
            <v>IPM-MT-MF19-SSL et SD09005</v>
          </cell>
          <cell r="AE1136" t="str">
            <v xml:space="preserve">Spécification de Soutien Logistique Intégré </v>
          </cell>
          <cell r="AF1136" t="str">
            <v>19 / 4.1 (MRB)</v>
          </cell>
          <cell r="AI1136">
            <v>1</v>
          </cell>
          <cell r="AT1136" t="str">
            <v>FD</v>
          </cell>
          <cell r="BF1136" t="str">
            <v>Maj</v>
          </cell>
          <cell r="CH1136" t="e">
            <v>#N/A</v>
          </cell>
          <cell r="CI1136" t="e">
            <v>#N/A</v>
          </cell>
          <cell r="CJ1136" t="e">
            <v>#N/A</v>
          </cell>
        </row>
        <row r="1137">
          <cell r="B1137" t="str">
            <v>Ligne_292_PPD</v>
          </cell>
          <cell r="C1137">
            <v>292</v>
          </cell>
          <cell r="E1137" t="str">
            <v>Formation : ST MRB SD09005 (§4.2)</v>
          </cell>
          <cell r="G1137" t="str">
            <v/>
          </cell>
          <cell r="R1137" t="str">
            <v>VPF</v>
          </cell>
          <cell r="S1137" t="str">
            <v>AT</v>
          </cell>
          <cell r="T1137" t="str">
            <v>EX</v>
          </cell>
          <cell r="U1137" t="str">
            <v>M.THOREL</v>
          </cell>
          <cell r="AA1137" t="str">
            <v>SL</v>
          </cell>
          <cell r="AB1137" t="str">
            <v>Soutien Logistique</v>
          </cell>
          <cell r="AC1137" t="str">
            <v>M2I</v>
          </cell>
          <cell r="AD1137" t="str">
            <v>IPM-MT-MF19-SSL et SD09005</v>
          </cell>
          <cell r="AE1137" t="str">
            <v xml:space="preserve">Spécification de Soutien Logistique Intégré </v>
          </cell>
          <cell r="AF1137" t="str">
            <v>19 / 4.2 (MRB)</v>
          </cell>
          <cell r="AI1137">
            <v>1</v>
          </cell>
          <cell r="AT1137" t="str">
            <v>FD</v>
          </cell>
          <cell r="BF1137" t="str">
            <v>Maj</v>
          </cell>
          <cell r="CH1137" t="e">
            <v>#N/A</v>
          </cell>
          <cell r="CI1137" t="e">
            <v>#N/A</v>
          </cell>
          <cell r="CJ1137" t="e">
            <v>#N/A</v>
          </cell>
        </row>
        <row r="1138">
          <cell r="B1138" t="str">
            <v>Ligne_293_PPD</v>
          </cell>
          <cell r="C1138">
            <v>293</v>
          </cell>
          <cell r="E1138" t="str">
            <v>Equipements d’aide à la maintenance et documentation associée (§4.3) suivant SD09005</v>
          </cell>
          <cell r="G1138" t="str">
            <v/>
          </cell>
          <cell r="R1138" t="str">
            <v>VPF</v>
          </cell>
          <cell r="S1138" t="str">
            <v>AT</v>
          </cell>
          <cell r="T1138" t="str">
            <v>EX</v>
          </cell>
          <cell r="U1138" t="str">
            <v>M.THOREL</v>
          </cell>
          <cell r="AA1138" t="str">
            <v>SL</v>
          </cell>
          <cell r="AB1138" t="str">
            <v>Soutien Logistique</v>
          </cell>
          <cell r="AC1138" t="str">
            <v>M2I</v>
          </cell>
          <cell r="AD1138" t="str">
            <v>IPM-MT-MF19-SSL et SD09005</v>
          </cell>
          <cell r="AE1138" t="str">
            <v xml:space="preserve">Spécification de Soutien Logistique Intégré </v>
          </cell>
          <cell r="AF1138" t="str">
            <v>19 / 4.3 (MRB</v>
          </cell>
          <cell r="AI1138">
            <v>1</v>
          </cell>
          <cell r="AT1138" t="str">
            <v>FD</v>
          </cell>
          <cell r="BF1138" t="str">
            <v>Maj</v>
          </cell>
          <cell r="CH1138" t="e">
            <v>#N/A</v>
          </cell>
          <cell r="CI1138" t="e">
            <v>#N/A</v>
          </cell>
          <cell r="CJ1138" t="e">
            <v>#N/A</v>
          </cell>
        </row>
        <row r="1139">
          <cell r="B1139" t="str">
            <v>Ligne_294_PPD</v>
          </cell>
          <cell r="C1139">
            <v>294</v>
          </cell>
          <cell r="E1139" t="str">
            <v>Matrice de conformité aux exigences de sureté informatique renseignée</v>
          </cell>
          <cell r="G1139" t="str">
            <v/>
          </cell>
          <cell r="R1139" t="str">
            <v>CYB</v>
          </cell>
          <cell r="S1139" t="str">
            <v>AT</v>
          </cell>
          <cell r="U1139" t="str">
            <v>E.BOQUILLON</v>
          </cell>
          <cell r="AA1139" t="str">
            <v>E</v>
          </cell>
          <cell r="AB1139" t="str">
            <v>Projet</v>
          </cell>
          <cell r="AC1139" t="str">
            <v>ETS</v>
          </cell>
          <cell r="AD1139" t="str">
            <v>SM ET.4-10639</v>
          </cell>
          <cell r="AE1139" t="str">
            <v>Spécification de management MF19</v>
          </cell>
          <cell r="AF1139" t="str">
            <v>13.4</v>
          </cell>
          <cell r="AI1139">
            <v>1</v>
          </cell>
          <cell r="AT1139" t="str">
            <v>FD</v>
          </cell>
          <cell r="CH1139" t="e">
            <v>#N/A</v>
          </cell>
          <cell r="CI1139" t="e">
            <v>#N/A</v>
          </cell>
          <cell r="CJ1139" t="e">
            <v>#N/A</v>
          </cell>
        </row>
        <row r="1140">
          <cell r="B1140" t="str">
            <v>Ligne_295_PPD</v>
          </cell>
          <cell r="C1140">
            <v>295</v>
          </cell>
          <cell r="E1140" t="str">
            <v>Manuels utilisateurs de la sureté informatique (MCS)</v>
          </cell>
          <cell r="G1140" t="str">
            <v/>
          </cell>
          <cell r="R1140" t="str">
            <v>CYB</v>
          </cell>
          <cell r="S1140" t="str">
            <v>AT</v>
          </cell>
          <cell r="U1140" t="str">
            <v>E.BOQUILLON</v>
          </cell>
          <cell r="AA1140" t="str">
            <v>E</v>
          </cell>
          <cell r="AB1140" t="str">
            <v>Projet</v>
          </cell>
          <cell r="AC1140" t="str">
            <v>ETS</v>
          </cell>
          <cell r="AD1140" t="str">
            <v>SM ET.4-10639</v>
          </cell>
          <cell r="AE1140" t="str">
            <v>Spécification de management MF19</v>
          </cell>
          <cell r="AF1140" t="str">
            <v>13.4</v>
          </cell>
          <cell r="AI1140">
            <v>1</v>
          </cell>
          <cell r="AT1140" t="str">
            <v>FD</v>
          </cell>
          <cell r="CH1140" t="e">
            <v>#N/A</v>
          </cell>
          <cell r="CI1140" t="e">
            <v>#N/A</v>
          </cell>
          <cell r="CJ1140" t="e">
            <v>#N/A</v>
          </cell>
        </row>
        <row r="1141">
          <cell r="B1141" t="str">
            <v>Ligne_296_PPD</v>
          </cell>
          <cell r="C1141">
            <v>296</v>
          </cell>
          <cell r="E1141" t="str">
            <v>Dossiers d’exploitation de la sureté informatique (MCS)</v>
          </cell>
          <cell r="G1141" t="str">
            <v/>
          </cell>
          <cell r="R1141" t="str">
            <v>CYB</v>
          </cell>
          <cell r="S1141" t="str">
            <v>AT</v>
          </cell>
          <cell r="U1141" t="str">
            <v>E.BOQUILLON</v>
          </cell>
          <cell r="AA1141" t="str">
            <v>E</v>
          </cell>
          <cell r="AB1141" t="str">
            <v>Projet</v>
          </cell>
          <cell r="AC1141" t="str">
            <v>ETS</v>
          </cell>
          <cell r="AD1141" t="str">
            <v>SM ET.4-10639</v>
          </cell>
          <cell r="AE1141" t="str">
            <v>Spécification de management MF19</v>
          </cell>
          <cell r="AF1141" t="str">
            <v>13.4</v>
          </cell>
          <cell r="AI1141">
            <v>1</v>
          </cell>
          <cell r="AT1141" t="str">
            <v>FD</v>
          </cell>
          <cell r="CH1141" t="e">
            <v>#N/A</v>
          </cell>
          <cell r="CI1141" t="e">
            <v>#N/A</v>
          </cell>
          <cell r="CJ1141" t="e">
            <v>#N/A</v>
          </cell>
        </row>
        <row r="1142">
          <cell r="B1142" t="str">
            <v>Ligne_297_PPD</v>
          </cell>
          <cell r="C1142">
            <v>297</v>
          </cell>
          <cell r="E1142" t="str">
            <v>Dossiers de maintenance de la sureté informatique (MCS)</v>
          </cell>
          <cell r="G1142" t="str">
            <v/>
          </cell>
          <cell r="R1142" t="str">
            <v>CYB</v>
          </cell>
          <cell r="S1142" t="str">
            <v>AT</v>
          </cell>
          <cell r="U1142" t="str">
            <v>E.BOQUILLON</v>
          </cell>
          <cell r="AA1142" t="str">
            <v>E</v>
          </cell>
          <cell r="AB1142" t="str">
            <v>Projet</v>
          </cell>
          <cell r="AC1142" t="str">
            <v>ETS</v>
          </cell>
          <cell r="AD1142" t="str">
            <v>SM ET.4-10639</v>
          </cell>
          <cell r="AE1142" t="str">
            <v>Spécification de management MF19</v>
          </cell>
          <cell r="AF1142" t="str">
            <v>13.4</v>
          </cell>
          <cell r="AI1142">
            <v>1</v>
          </cell>
          <cell r="AT1142" t="str">
            <v>FD</v>
          </cell>
          <cell r="CH1142" t="e">
            <v>#N/A</v>
          </cell>
          <cell r="CI1142" t="e">
            <v>#N/A</v>
          </cell>
          <cell r="CJ1142" t="e">
            <v>#N/A</v>
          </cell>
        </row>
        <row r="1143">
          <cell r="B1143" t="str">
            <v>Ligne_298_PPD</v>
          </cell>
          <cell r="C1143">
            <v>298</v>
          </cell>
          <cell r="E1143" t="str">
            <v>Procédures d’exploitation de la sureté informatique (MCS)</v>
          </cell>
          <cell r="G1143" t="str">
            <v/>
          </cell>
          <cell r="R1143" t="str">
            <v>CYB</v>
          </cell>
          <cell r="S1143" t="str">
            <v>AT</v>
          </cell>
          <cell r="U1143" t="str">
            <v>E.BOQUILLON</v>
          </cell>
          <cell r="AA1143" t="str">
            <v>E</v>
          </cell>
          <cell r="AB1143" t="str">
            <v>Projet</v>
          </cell>
          <cell r="AC1143" t="str">
            <v>ETS</v>
          </cell>
          <cell r="AD1143" t="str">
            <v>SM ET.4-10639</v>
          </cell>
          <cell r="AE1143" t="str">
            <v>Spécification de management MF19</v>
          </cell>
          <cell r="AF1143" t="str">
            <v>13.4</v>
          </cell>
          <cell r="AI1143">
            <v>1</v>
          </cell>
          <cell r="AT1143" t="str">
            <v>FD</v>
          </cell>
          <cell r="CH1143" t="e">
            <v>#N/A</v>
          </cell>
          <cell r="CI1143" t="e">
            <v>#N/A</v>
          </cell>
          <cell r="CJ1143" t="e">
            <v>#N/A</v>
          </cell>
        </row>
        <row r="1144">
          <cell r="B1144" t="str">
            <v>Ligne_299_PPD</v>
          </cell>
          <cell r="C1144">
            <v>299</v>
          </cell>
          <cell r="E1144" t="str">
            <v>Procédures d’installation de la sureté informatique (MCS)</v>
          </cell>
          <cell r="G1144" t="str">
            <v/>
          </cell>
          <cell r="R1144" t="str">
            <v>CYB</v>
          </cell>
          <cell r="S1144" t="str">
            <v>AT</v>
          </cell>
          <cell r="U1144" t="str">
            <v>E.BOQUILLON</v>
          </cell>
          <cell r="AA1144" t="str">
            <v>E</v>
          </cell>
          <cell r="AB1144" t="str">
            <v>Projet</v>
          </cell>
          <cell r="AC1144" t="str">
            <v>ETS</v>
          </cell>
          <cell r="AD1144" t="str">
            <v>SM ET.4-10639</v>
          </cell>
          <cell r="AE1144" t="str">
            <v>Spécification de management MF19</v>
          </cell>
          <cell r="AF1144" t="str">
            <v>13.4</v>
          </cell>
          <cell r="AI1144">
            <v>1</v>
          </cell>
          <cell r="AT1144" t="str">
            <v>FD</v>
          </cell>
          <cell r="CH1144" t="e">
            <v>#N/A</v>
          </cell>
          <cell r="CI1144" t="e">
            <v>#N/A</v>
          </cell>
          <cell r="CJ1144" t="e">
            <v>#N/A</v>
          </cell>
        </row>
        <row r="1145">
          <cell r="B1145" t="str">
            <v>Ligne_300_PPD</v>
          </cell>
          <cell r="C1145">
            <v>300</v>
          </cell>
          <cell r="E1145" t="str">
            <v>Analyse du cycle de vie (ACV)</v>
          </cell>
          <cell r="G1145" t="str">
            <v/>
          </cell>
          <cell r="R1145" t="str">
            <v>BT</v>
          </cell>
          <cell r="S1145" t="str">
            <v>BT</v>
          </cell>
          <cell r="V1145" t="str">
            <v>BOMBARDIER</v>
          </cell>
          <cell r="AA1145" t="str">
            <v>E</v>
          </cell>
          <cell r="AB1145" t="str">
            <v>Projet</v>
          </cell>
          <cell r="AC1145" t="str">
            <v>SID</v>
          </cell>
          <cell r="AD1145" t="str">
            <v>SM ET.4-10639</v>
          </cell>
          <cell r="AE1145" t="str">
            <v>Spécification de management MF19</v>
          </cell>
          <cell r="AF1145">
            <v>12</v>
          </cell>
          <cell r="AI1145">
            <v>1</v>
          </cell>
          <cell r="AP1145" t="str">
            <v>FP</v>
          </cell>
          <cell r="AV1145" t="str">
            <v>FD</v>
          </cell>
          <cell r="CH1145" t="e">
            <v>#N/A</v>
          </cell>
          <cell r="CI1145" t="e">
            <v>#N/A</v>
          </cell>
          <cell r="CJ1145" t="e">
            <v>#N/A</v>
          </cell>
        </row>
        <row r="1146">
          <cell r="B1146" t="str">
            <v>Ligne_301_PPD</v>
          </cell>
          <cell r="C1146">
            <v>301</v>
          </cell>
          <cell r="E1146" t="str">
            <v>Quantification des émissions de gaz à effets de serre du train (GES)</v>
          </cell>
          <cell r="R1146" t="str">
            <v>BT</v>
          </cell>
          <cell r="S1146" t="str">
            <v>BT</v>
          </cell>
          <cell r="T1146" t="str">
            <v>AT</v>
          </cell>
          <cell r="V1146" t="str">
            <v>BOMBARDIER</v>
          </cell>
          <cell r="Z1146" t="str">
            <v>RTS 193 JS2 EMC 07/09/2020</v>
          </cell>
          <cell r="AA1146" t="str">
            <v>E</v>
          </cell>
          <cell r="AB1146" t="str">
            <v>Projet</v>
          </cell>
          <cell r="AC1146" t="str">
            <v>SID</v>
          </cell>
          <cell r="AD1146" t="str">
            <v>SM ET.4-10639</v>
          </cell>
          <cell r="AE1146" t="str">
            <v>Spécification de management MF19</v>
          </cell>
          <cell r="AF1146">
            <v>12</v>
          </cell>
          <cell r="AI1146">
            <v>1</v>
          </cell>
          <cell r="AO1146" t="str">
            <v>FP</v>
          </cell>
          <cell r="AR1146" t="str">
            <v>FP</v>
          </cell>
          <cell r="AV1146" t="str">
            <v>FD</v>
          </cell>
          <cell r="CG1146" t="str">
            <v>11/10/2020 : enlevé le barré de la FD de "JU2.Ti" pour import dans la base arbo</v>
          </cell>
          <cell r="CH1146" t="e">
            <v>#N/A</v>
          </cell>
          <cell r="CI1146" t="e">
            <v>#N/A</v>
          </cell>
          <cell r="CJ1146" t="e">
            <v>#N/A</v>
          </cell>
        </row>
        <row r="1147">
          <cell r="B1147" t="str">
            <v>Ligne_302_PPD</v>
          </cell>
          <cell r="C1147">
            <v>302</v>
          </cell>
          <cell r="E1147" t="str">
            <v>Tableau de suivi des indices des tiroirs et cartes électroniques  (Annexe 4 de la SM ET.4-10639)</v>
          </cell>
          <cell r="G1147" t="str">
            <v/>
          </cell>
          <cell r="S1147" t="str">
            <v>AT</v>
          </cell>
          <cell r="T1147" t="str">
            <v>BT</v>
          </cell>
          <cell r="AA1147" t="str">
            <v>E</v>
          </cell>
          <cell r="AB1147" t="str">
            <v>Projet</v>
          </cell>
          <cell r="AC1147" t="str">
            <v>M2I</v>
          </cell>
          <cell r="AD1147" t="str">
            <v>SM ET.4-10639</v>
          </cell>
          <cell r="AE1147" t="str">
            <v>Spécification de management MF19</v>
          </cell>
          <cell r="AF1147" t="str">
            <v>8.3.2</v>
          </cell>
          <cell r="AI1147">
            <v>1</v>
          </cell>
          <cell r="AZ1147" t="str">
            <v>FD</v>
          </cell>
          <cell r="CH1147" t="e">
            <v>#N/A</v>
          </cell>
          <cell r="CI1147" t="e">
            <v>#N/A</v>
          </cell>
          <cell r="CJ1147" t="e">
            <v>#N/A</v>
          </cell>
        </row>
        <row r="1148">
          <cell r="B1148" t="str">
            <v>Ligne_303_PPD</v>
          </cell>
          <cell r="C1148">
            <v>303</v>
          </cell>
          <cell r="E1148" t="str">
            <v>Registre de Contrôle Train du train "i" (comportant notamment les PV des essais de série des produits constituant le train "i" et les PV des essais de série du train "i" selon les dossiers de contrôle préalablement validés)</v>
          </cell>
          <cell r="G1148" t="str">
            <v>LIVRABLE</v>
          </cell>
          <cell r="R1148" t="str">
            <v>NA</v>
          </cell>
          <cell r="S1148" t="str">
            <v>AT</v>
          </cell>
          <cell r="T1148" t="str">
            <v>NA</v>
          </cell>
          <cell r="U1148" t="str">
            <v>NA</v>
          </cell>
          <cell r="AA1148" t="str">
            <v>E</v>
          </cell>
          <cell r="AB1148" t="str">
            <v>Projet</v>
          </cell>
          <cell r="AC1148" t="str">
            <v>M2I</v>
          </cell>
          <cell r="AD1148" t="str">
            <v>SM ET.4-10639</v>
          </cell>
          <cell r="AE1148" t="str">
            <v>Spécification de management MF19</v>
          </cell>
          <cell r="AF1148" t="str">
            <v>9.8.2</v>
          </cell>
          <cell r="AI1148">
            <v>1</v>
          </cell>
          <cell r="AZ1148" t="str">
            <v>FD</v>
          </cell>
          <cell r="CH1148" t="e">
            <v>#N/A</v>
          </cell>
          <cell r="CI1148" t="e">
            <v>#N/A</v>
          </cell>
          <cell r="CJ1148" t="e">
            <v>#N/A</v>
          </cell>
        </row>
        <row r="1149">
          <cell r="B1149" t="str">
            <v>Ligne_303.1_PPD</v>
          </cell>
          <cell r="C1149" t="str">
            <v>303.1</v>
          </cell>
          <cell r="E1149" t="str">
            <v>Registre de Contrôle Train du train "i" (comportant notamment les PV des essais de série des produits constituant le train "i" et les PV des essais de série du train "i" selon les dossiers de contrôle préalablement validés)</v>
          </cell>
          <cell r="G1149" t="str">
            <v>Registre de Contrôle Train du train "i" (comportant notamment les PV des essais de série des produits constituant le train "i" et les PV des essais de série du train "i" selon les dossiers de contrôle préalablement validés)</v>
          </cell>
          <cell r="S1149" t="str">
            <v>AT</v>
          </cell>
          <cell r="T1149" t="str">
            <v>BT</v>
          </cell>
          <cell r="U1149" t="str">
            <v>L.FREMY</v>
          </cell>
          <cell r="AA1149" t="str">
            <v>E</v>
          </cell>
          <cell r="AB1149" t="str">
            <v>Projet</v>
          </cell>
          <cell r="AC1149" t="str">
            <v>M2I</v>
          </cell>
          <cell r="AD1149" t="str">
            <v>SM ET.4-10639</v>
          </cell>
          <cell r="AE1149" t="str">
            <v>Spécification de management MF19</v>
          </cell>
          <cell r="AF1149" t="str">
            <v>9.8.2</v>
          </cell>
          <cell r="AI1149">
            <v>1</v>
          </cell>
          <cell r="AZ1149" t="str">
            <v>FD</v>
          </cell>
          <cell r="CH1149" t="e">
            <v>#N/A</v>
          </cell>
          <cell r="CI1149" t="e">
            <v>#N/A</v>
          </cell>
          <cell r="CJ1149" t="e">
            <v>#N/A</v>
          </cell>
        </row>
        <row r="1150">
          <cell r="B1150" t="str">
            <v>Ligne_303.2_PPD</v>
          </cell>
          <cell r="C1150" t="str">
            <v>303.2</v>
          </cell>
          <cell r="E1150" t="str">
            <v>Registre de Contrôle Train du train "i" (comportant notamment les PV des essais de série des produits constituant le train "i" et les PV des essais de série du train "i" selon les dossiers de contrôle préalablement validés)</v>
          </cell>
          <cell r="G1150" t="str">
            <v>PV des essais de série du train "i" + Commissionning</v>
          </cell>
          <cell r="S1150" t="str">
            <v>AT</v>
          </cell>
          <cell r="T1150" t="str">
            <v>BT</v>
          </cell>
          <cell r="U1150" t="str">
            <v>B.LEFEBVRE</v>
          </cell>
          <cell r="AA1150" t="str">
            <v>E</v>
          </cell>
          <cell r="AB1150" t="str">
            <v>Projet</v>
          </cell>
          <cell r="AC1150" t="str">
            <v>M2I</v>
          </cell>
          <cell r="AD1150" t="str">
            <v>SM ET.4-10639</v>
          </cell>
          <cell r="AE1150" t="str">
            <v>Spécification de management MF19</v>
          </cell>
          <cell r="AF1150" t="str">
            <v>9.8.2</v>
          </cell>
          <cell r="AI1150">
            <v>1</v>
          </cell>
          <cell r="AZ1150" t="str">
            <v>FD</v>
          </cell>
          <cell r="CH1150" t="e">
            <v>#N/A</v>
          </cell>
          <cell r="CI1150" t="e">
            <v>#N/A</v>
          </cell>
          <cell r="CJ1150" t="e">
            <v>#N/A</v>
          </cell>
        </row>
        <row r="1151">
          <cell r="B1151" t="str">
            <v>Ligne_304_PPD</v>
          </cell>
          <cell r="C1151">
            <v>304</v>
          </cell>
          <cell r="E1151" t="str">
            <v>Mise à jour du programme des essais de type (produits + système train) - RENVOI à la ligne 240</v>
          </cell>
          <cell r="G1151" t="str">
            <v/>
          </cell>
          <cell r="S1151" t="str">
            <v>AT</v>
          </cell>
          <cell r="T1151" t="str">
            <v>BT</v>
          </cell>
          <cell r="AA1151" t="str">
            <v>E</v>
          </cell>
          <cell r="AB1151" t="str">
            <v>Projet</v>
          </cell>
          <cell r="AC1151" t="str">
            <v>RP11/CA</v>
          </cell>
          <cell r="AD1151" t="str">
            <v>SM ET.4-10639</v>
          </cell>
          <cell r="AE1151" t="str">
            <v>Spécification de management MF19</v>
          </cell>
          <cell r="AF1151" t="str">
            <v>2.2.3.2.2</v>
          </cell>
          <cell r="AI1151">
            <v>1</v>
          </cell>
          <cell r="BA1151" t="str">
            <v xml:space="preserve">FD </v>
          </cell>
          <cell r="CH1151" t="e">
            <v>#N/A</v>
          </cell>
          <cell r="CI1151" t="e">
            <v>#N/A</v>
          </cell>
          <cell r="CJ1151" t="e">
            <v>#N/A</v>
          </cell>
        </row>
        <row r="1152">
          <cell r="B1152" t="str">
            <v>Ligne_305_PPD</v>
          </cell>
          <cell r="C1152">
            <v>305</v>
          </cell>
          <cell r="E1152" t="str">
            <v>PV des essais de type (produits + système train)</v>
          </cell>
          <cell r="G1152" t="str">
            <v/>
          </cell>
          <cell r="S1152" t="str">
            <v>AT</v>
          </cell>
          <cell r="T1152" t="str">
            <v>BT</v>
          </cell>
          <cell r="U1152" t="str">
            <v>C.DUGIMONT</v>
          </cell>
          <cell r="AA1152" t="str">
            <v>E</v>
          </cell>
          <cell r="AB1152" t="str">
            <v>Projet</v>
          </cell>
          <cell r="AC1152" t="str">
            <v>RP11/CA</v>
          </cell>
          <cell r="AD1152" t="str">
            <v>SM ET.4-10639</v>
          </cell>
          <cell r="AE1152" t="str">
            <v>Spécification de management MF19</v>
          </cell>
          <cell r="AF1152" t="str">
            <v>2.2.3.2.2</v>
          </cell>
          <cell r="AI1152">
            <v>30</v>
          </cell>
          <cell r="BA1152" t="str">
            <v>FD</v>
          </cell>
          <cell r="CH1152" t="e">
            <v>#N/A</v>
          </cell>
          <cell r="CI1152" t="e">
            <v>#N/A</v>
          </cell>
          <cell r="CJ1152" t="e">
            <v>#N/A</v>
          </cell>
        </row>
        <row r="1153">
          <cell r="B1153" t="str">
            <v>Ligne_306_PPD</v>
          </cell>
          <cell r="C1153">
            <v>306</v>
          </cell>
          <cell r="E1153" t="str">
            <v>Fourniture du simulateur CBTC, du manuel décrivant les étapes d'installation et d'utilisation du simulateur sur train, des codes sources et licences utilisateurs</v>
          </cell>
          <cell r="G1153" t="str">
            <v/>
          </cell>
          <cell r="S1153" t="str">
            <v>AT</v>
          </cell>
          <cell r="AA1153" t="str">
            <v>E</v>
          </cell>
          <cell r="AB1153" t="str">
            <v>Interface</v>
          </cell>
          <cell r="AC1153" t="str">
            <v>ING</v>
          </cell>
          <cell r="AD1153" t="str">
            <v>STF-17-6128</v>
          </cell>
          <cell r="AE1153" t="str">
            <v>Spécification d'interfaces MF19 / CBTC</v>
          </cell>
          <cell r="AF1153" t="str">
            <v>5.1</v>
          </cell>
          <cell r="AI1153">
            <v>1</v>
          </cell>
          <cell r="AQ1153" t="str">
            <v>FD</v>
          </cell>
          <cell r="AU1153" t="str">
            <v>FD</v>
          </cell>
          <cell r="AX1153" t="str">
            <v>Maj</v>
          </cell>
          <cell r="CH1153" t="e">
            <v>#N/A</v>
          </cell>
          <cell r="CI1153" t="e">
            <v>#N/A</v>
          </cell>
          <cell r="CJ1153" t="e">
            <v>#N/A</v>
          </cell>
        </row>
        <row r="1154">
          <cell r="A1154" t="str">
            <v>ADD0003308435</v>
          </cell>
          <cell r="B1154" t="str">
            <v>Ligne_307_PPD</v>
          </cell>
          <cell r="C1154">
            <v>307</v>
          </cell>
          <cell r="E1154" t="str">
            <v xml:space="preserve">Optimisation du CCVO </v>
          </cell>
          <cell r="F1154" t="str">
            <v>A</v>
          </cell>
          <cell r="G1154" t="str">
            <v>OPTIMISATION DU CCVO</v>
          </cell>
          <cell r="M1154" t="str">
            <v>M-00-70-SOUTIEN_LOGISTIQUE</v>
          </cell>
          <cell r="N1154" t="str">
            <v>DJD</v>
          </cell>
          <cell r="O1154" t="str">
            <v>ASL_ANALYSE SOUTIEN LOGISTIQUE</v>
          </cell>
          <cell r="Q1154">
            <v>0</v>
          </cell>
          <cell r="R1154" t="str">
            <v>VPF</v>
          </cell>
          <cell r="S1154" t="str">
            <v>AT</v>
          </cell>
          <cell r="T1154" t="str">
            <v>BT</v>
          </cell>
          <cell r="U1154" t="str">
            <v>M.THOREL</v>
          </cell>
          <cell r="V1154" t="str">
            <v>ALSTOM</v>
          </cell>
          <cell r="W1154" t="str">
            <v>N</v>
          </cell>
          <cell r="X1154" t="str">
            <v>Contractuel Management</v>
          </cell>
          <cell r="Z1154" t="str">
            <v>RTS 161 JS2 AME/M2I/MRB 03/07/2020</v>
          </cell>
          <cell r="AA1154" t="str">
            <v>SL</v>
          </cell>
          <cell r="AB1154" t="str">
            <v>Soutien Logistique</v>
          </cell>
          <cell r="AC1154" t="str">
            <v>M2I</v>
          </cell>
          <cell r="AD1154" t="str">
            <v>IPM-MT-MF19-SSL</v>
          </cell>
          <cell r="AE1154" t="str">
            <v xml:space="preserve">Spécification de Soutien Logistique Intégré </v>
          </cell>
          <cell r="AF1154" t="str">
            <v>4.1</v>
          </cell>
          <cell r="AI1154">
            <v>1</v>
          </cell>
          <cell r="AJ1154" t="str">
            <v>FP</v>
          </cell>
          <cell r="AN1154" t="str">
            <v>FP</v>
          </cell>
          <cell r="AP1154" t="str">
            <v>FP</v>
          </cell>
          <cell r="AX1154" t="str">
            <v>FP</v>
          </cell>
          <cell r="BF1154" t="str">
            <v>FD</v>
          </cell>
          <cell r="CH1154" t="str">
            <v>MF19_BORD_AT_00001</v>
          </cell>
          <cell r="CI1154" t="str">
            <v>AR</v>
          </cell>
          <cell r="CJ1154" t="str">
            <v>FP</v>
          </cell>
        </row>
        <row r="1155">
          <cell r="B1155" t="str">
            <v>Ligne_308_PPD</v>
          </cell>
          <cell r="C1155">
            <v>308</v>
          </cell>
          <cell r="E1155" t="str">
            <v xml:space="preserve">Démonstrations d'utilisation des outillages spécifiques (avec le programme) </v>
          </cell>
          <cell r="G1155" t="str">
            <v/>
          </cell>
          <cell r="R1155" t="str">
            <v>VPF</v>
          </cell>
          <cell r="S1155" t="str">
            <v>AT</v>
          </cell>
          <cell r="T1155" t="str">
            <v>BT</v>
          </cell>
          <cell r="U1155" t="str">
            <v>M.THOREL</v>
          </cell>
          <cell r="AA1155" t="str">
            <v>SL</v>
          </cell>
          <cell r="AB1155" t="str">
            <v>Soutien Logistique</v>
          </cell>
          <cell r="AC1155" t="str">
            <v>M2I</v>
          </cell>
          <cell r="AD1155" t="str">
            <v>IPM-MT-MF19-SSL</v>
          </cell>
          <cell r="AE1155" t="str">
            <v xml:space="preserve">Spécification de Soutien Logistique Intégré </v>
          </cell>
          <cell r="AF1155" t="str">
            <v>8.4.2</v>
          </cell>
          <cell r="AI1155">
            <v>1</v>
          </cell>
          <cell r="AU1155" t="str">
            <v>FP</v>
          </cell>
          <cell r="AX1155" t="str">
            <v>FD</v>
          </cell>
          <cell r="BB1155" t="str">
            <v>Maj</v>
          </cell>
          <cell r="CG1155" t="str">
            <v>30/09/2020 : la FD de JP2.2 était barré, j'ai enlevé le barré pour l'import dans la base arbo</v>
          </cell>
          <cell r="CH1155" t="e">
            <v>#N/A</v>
          </cell>
          <cell r="CI1155" t="e">
            <v>#N/A</v>
          </cell>
          <cell r="CJ1155" t="e">
            <v>#N/A</v>
          </cell>
        </row>
        <row r="1156">
          <cell r="B1156" t="str">
            <v>Ligne_309_PPD</v>
          </cell>
          <cell r="C1156">
            <v>309</v>
          </cell>
          <cell r="E1156" t="str">
            <v xml:space="preserve">Documentation Fournisseurs et supports </v>
          </cell>
          <cell r="G1156" t="str">
            <v/>
          </cell>
          <cell r="R1156" t="str">
            <v>VPF</v>
          </cell>
          <cell r="S1156" t="str">
            <v>AT</v>
          </cell>
          <cell r="T1156" t="str">
            <v>BT</v>
          </cell>
          <cell r="U1156" t="str">
            <v>M.THOREL</v>
          </cell>
          <cell r="AA1156" t="str">
            <v>SL</v>
          </cell>
          <cell r="AB1156" t="str">
            <v>Soutien Logistique</v>
          </cell>
          <cell r="AC1156" t="str">
            <v>M2I</v>
          </cell>
          <cell r="AD1156" t="str">
            <v>IPM-MT-MF19-SSL</v>
          </cell>
          <cell r="AE1156" t="str">
            <v xml:space="preserve">Spécification de Soutien Logistique Intégré </v>
          </cell>
          <cell r="AF1156" t="str">
            <v>8.6.3</v>
          </cell>
          <cell r="AI1156">
            <v>1</v>
          </cell>
          <cell r="AX1156" t="str">
            <v>FD</v>
          </cell>
          <cell r="BF1156" t="str">
            <v>Maj</v>
          </cell>
          <cell r="CH1156" t="e">
            <v>#N/A</v>
          </cell>
          <cell r="CI1156" t="e">
            <v>#N/A</v>
          </cell>
          <cell r="CJ1156" t="e">
            <v>#N/A</v>
          </cell>
        </row>
        <row r="1157">
          <cell r="B1157" t="str">
            <v>Ligne_310_PPD</v>
          </cell>
          <cell r="C1157">
            <v>310</v>
          </cell>
          <cell r="E1157" t="str">
            <v>Livraison Parc de rechanges « réparables et consommables » (livraison et échelonnement à voir selon le marché)</v>
          </cell>
          <cell r="G1157" t="str">
            <v/>
          </cell>
          <cell r="R1157" t="str">
            <v>VPF</v>
          </cell>
          <cell r="S1157" t="str">
            <v>AT</v>
          </cell>
          <cell r="T1157" t="str">
            <v>BT</v>
          </cell>
          <cell r="U1157" t="str">
            <v>M.THOREL</v>
          </cell>
          <cell r="AA1157" t="str">
            <v>SL</v>
          </cell>
          <cell r="AB1157" t="str">
            <v>Soutien Logistique</v>
          </cell>
          <cell r="AC1157" t="str">
            <v>M2I</v>
          </cell>
          <cell r="AD1157" t="str">
            <v>IPM-MT-MF19-SSL et SD09005</v>
          </cell>
          <cell r="AE1157" t="str">
            <v>Spécification de Soutien Logistique Intégré / Exigences de maintenabilité des équipements embarqués</v>
          </cell>
          <cell r="AF1157" t="str">
            <v>8.8.1 (IPM) / 2.1 (MRB)</v>
          </cell>
          <cell r="AI1157">
            <v>1</v>
          </cell>
          <cell r="AX1157" t="str">
            <v>FD</v>
          </cell>
          <cell r="BA1157" t="str">
            <v>FD</v>
          </cell>
          <cell r="BB1157" t="str">
            <v>FD</v>
          </cell>
          <cell r="BF1157" t="str">
            <v>FD</v>
          </cell>
          <cell r="CH1157" t="e">
            <v>#N/A</v>
          </cell>
          <cell r="CI1157" t="e">
            <v>#N/A</v>
          </cell>
          <cell r="CJ1157" t="e">
            <v>#N/A</v>
          </cell>
        </row>
        <row r="1158">
          <cell r="B1158" t="str">
            <v>Ligne_311_PPD</v>
          </cell>
          <cell r="C1158">
            <v>311</v>
          </cell>
          <cell r="E1158" t="str">
            <v>Formations : Sessions Formations selon spécification SL et marché</v>
          </cell>
          <cell r="G1158" t="str">
            <v/>
          </cell>
          <cell r="R1158" t="str">
            <v>VPF</v>
          </cell>
          <cell r="S1158" t="str">
            <v>AT</v>
          </cell>
          <cell r="T1158" t="str">
            <v>BT</v>
          </cell>
          <cell r="U1158" t="str">
            <v>M.THOREL</v>
          </cell>
          <cell r="AA1158" t="str">
            <v>SL</v>
          </cell>
          <cell r="AB1158" t="str">
            <v>Soutien Logistique</v>
          </cell>
          <cell r="AC1158" t="str">
            <v>M2I</v>
          </cell>
          <cell r="AD1158" t="str">
            <v>IPM-MT-MF19-SSL</v>
          </cell>
          <cell r="AE1158" t="str">
            <v xml:space="preserve">Spécification de Soutien Logistique Intégré </v>
          </cell>
          <cell r="AF1158">
            <v>8.6999999999999993</v>
          </cell>
          <cell r="AI1158">
            <v>1</v>
          </cell>
          <cell r="AX1158" t="str">
            <v xml:space="preserve">FD </v>
          </cell>
          <cell r="BB1158" t="str">
            <v>FD</v>
          </cell>
          <cell r="BF1158" t="str">
            <v>FD</v>
          </cell>
          <cell r="CH1158" t="e">
            <v>#N/A</v>
          </cell>
          <cell r="CI1158" t="e">
            <v>#N/A</v>
          </cell>
          <cell r="CJ1158" t="e">
            <v>#N/A</v>
          </cell>
        </row>
        <row r="1159">
          <cell r="B1159" t="str">
            <v>Ligne_312_PPD</v>
          </cell>
          <cell r="C1159">
            <v>312</v>
          </cell>
          <cell r="E1159" t="str">
            <v>Suivi et analyse d’intervention SAV</v>
          </cell>
          <cell r="G1159" t="str">
            <v/>
          </cell>
          <cell r="R1159" t="str">
            <v>VPF</v>
          </cell>
          <cell r="S1159" t="str">
            <v>AT</v>
          </cell>
          <cell r="T1159" t="str">
            <v>BT</v>
          </cell>
          <cell r="U1159" t="str">
            <v>M.THOREL</v>
          </cell>
          <cell r="AA1159" t="str">
            <v>SL</v>
          </cell>
          <cell r="AB1159" t="str">
            <v>Soutien Logistique</v>
          </cell>
          <cell r="AC1159" t="str">
            <v>M2I</v>
          </cell>
          <cell r="AD1159" t="str">
            <v>IPM-MT-MF19-SSL et SD09005</v>
          </cell>
          <cell r="AE1159" t="str">
            <v>Spécification de Soutien Logistique Intégré / Exigences de maintenabilité des équipements embarqués</v>
          </cell>
          <cell r="AF1159" t="str">
            <v>9.1 (IPM) / 3 (MRB)</v>
          </cell>
          <cell r="AI1159">
            <v>1</v>
          </cell>
          <cell r="AX1159" t="str">
            <v>FP</v>
          </cell>
          <cell r="BG1159" t="str">
            <v>FD</v>
          </cell>
          <cell r="CH1159" t="e">
            <v>#N/A</v>
          </cell>
          <cell r="CI1159" t="e">
            <v>#N/A</v>
          </cell>
          <cell r="CJ1159" t="e">
            <v>#N/A</v>
          </cell>
        </row>
        <row r="1160">
          <cell r="B1160" t="str">
            <v>Ligne_313_PPD</v>
          </cell>
          <cell r="C1160">
            <v>313</v>
          </cell>
          <cell r="E1160" t="str">
            <v xml:space="preserve">Etat de configuration de chaque matériel (traçabilité des URL et URA) et identification des URL/URA </v>
          </cell>
          <cell r="G1160" t="str">
            <v/>
          </cell>
          <cell r="R1160" t="str">
            <v>VPF</v>
          </cell>
          <cell r="S1160" t="str">
            <v>AT</v>
          </cell>
          <cell r="T1160" t="str">
            <v>BT</v>
          </cell>
          <cell r="U1160" t="str">
            <v>M.THOREL</v>
          </cell>
          <cell r="AA1160" t="str">
            <v>SL</v>
          </cell>
          <cell r="AB1160" t="str">
            <v>Soutien Logistique</v>
          </cell>
          <cell r="AC1160" t="str">
            <v>M2I</v>
          </cell>
          <cell r="AD1160" t="str">
            <v>IPM-MT-MF19-SSL et SD09005</v>
          </cell>
          <cell r="AE1160" t="str">
            <v>Spécification de Soutien Logistique Intégré / Exigences de maintenabilité des équipements embarqués</v>
          </cell>
          <cell r="AF1160" t="str">
            <v>4.2 (IPM) / 2.1 (MRB)</v>
          </cell>
          <cell r="AI1160">
            <v>1</v>
          </cell>
          <cell r="BA1160" t="str">
            <v>FP</v>
          </cell>
          <cell r="BB1160" t="str">
            <v>FD</v>
          </cell>
          <cell r="CH1160" t="e">
            <v>#N/A</v>
          </cell>
          <cell r="CI1160" t="e">
            <v>#N/A</v>
          </cell>
          <cell r="CJ1160" t="e">
            <v>#N/A</v>
          </cell>
        </row>
        <row r="1161">
          <cell r="B1161" t="str">
            <v>Ligne_314_PPD</v>
          </cell>
          <cell r="C1161">
            <v>314</v>
          </cell>
          <cell r="E1161" t="str">
            <v>Livraison du train "i" sur site RATP, en conformité avec les référentiel et les exigences fonctionnelles et techniques</v>
          </cell>
          <cell r="G1161" t="str">
            <v/>
          </cell>
          <cell r="S1161" t="str">
            <v>AT</v>
          </cell>
          <cell r="T1161" t="str">
            <v>BT</v>
          </cell>
          <cell r="AA1161" t="str">
            <v>E</v>
          </cell>
          <cell r="AB1161" t="str">
            <v>Projet</v>
          </cell>
          <cell r="AC1161" t="str">
            <v>RP11/CA</v>
          </cell>
          <cell r="AD1161" t="str">
            <v>SM ET.4-10639</v>
          </cell>
          <cell r="AE1161" t="str">
            <v>Spécification de management MF19</v>
          </cell>
          <cell r="AF1161" t="str">
            <v>2.2.3.3</v>
          </cell>
          <cell r="AI1161">
            <v>1</v>
          </cell>
          <cell r="BB1161" t="str">
            <v>FD</v>
          </cell>
          <cell r="CH1161" t="e">
            <v>#N/A</v>
          </cell>
          <cell r="CI1161" t="e">
            <v>#N/A</v>
          </cell>
          <cell r="CJ1161" t="e">
            <v>#N/A</v>
          </cell>
        </row>
        <row r="1162">
          <cell r="B1162" t="str">
            <v>Ligne_315_PPD</v>
          </cell>
          <cell r="C1162">
            <v>315</v>
          </cell>
          <cell r="E1162" t="str">
            <v>Avis de présentation en réception du train "i"</v>
          </cell>
          <cell r="G1162" t="str">
            <v/>
          </cell>
          <cell r="S1162" t="str">
            <v>AT</v>
          </cell>
          <cell r="T1162" t="str">
            <v>BT</v>
          </cell>
          <cell r="AA1162" t="str">
            <v>E</v>
          </cell>
          <cell r="AB1162" t="str">
            <v>Projet</v>
          </cell>
          <cell r="AC1162" t="str">
            <v>RP11/CA</v>
          </cell>
          <cell r="AD1162" t="str">
            <v>SM ET.4-10639</v>
          </cell>
          <cell r="AE1162" t="str">
            <v>Spécification de management MF19</v>
          </cell>
          <cell r="AF1162" t="str">
            <v>2.2.3.3</v>
          </cell>
          <cell r="AI1162">
            <v>1</v>
          </cell>
          <cell r="BB1162" t="str">
            <v>FD</v>
          </cell>
          <cell r="CH1162" t="e">
            <v>#N/A</v>
          </cell>
          <cell r="CI1162" t="e">
            <v>#N/A</v>
          </cell>
          <cell r="CJ1162" t="e">
            <v>#N/A</v>
          </cell>
        </row>
        <row r="1163">
          <cell r="A1163" t="str">
            <v>ADD0003308420</v>
          </cell>
          <cell r="B1163" t="str">
            <v>Ligne_317_PPD</v>
          </cell>
          <cell r="C1163">
            <v>317</v>
          </cell>
          <cell r="E1163" t="str">
            <v>Plan de démonstration opérationnelle de fiabilité/disponibilité</v>
          </cell>
          <cell r="G1163" t="str">
            <v/>
          </cell>
          <cell r="S1163" t="str">
            <v>AT</v>
          </cell>
          <cell r="T1163" t="str">
            <v>BT</v>
          </cell>
          <cell r="U1163" t="str">
            <v>D.CHANAL</v>
          </cell>
          <cell r="AA1163" t="str">
            <v>E</v>
          </cell>
          <cell r="AB1163" t="str">
            <v>Projet</v>
          </cell>
          <cell r="AC1163" t="str">
            <v>ESF</v>
          </cell>
          <cell r="AD1163" t="str">
            <v>SM ET.4-10639</v>
          </cell>
          <cell r="AE1163" t="str">
            <v>Spécification de management MF19</v>
          </cell>
          <cell r="AF1163" t="str">
            <v>7.5.7.3</v>
          </cell>
          <cell r="AI1163">
            <v>1</v>
          </cell>
          <cell r="AX1163" t="str">
            <v>FD</v>
          </cell>
          <cell r="CH1163" t="e">
            <v>#N/A</v>
          </cell>
          <cell r="CI1163" t="e">
            <v>#N/A</v>
          </cell>
          <cell r="CJ1163" t="e">
            <v>#N/A</v>
          </cell>
        </row>
        <row r="1164">
          <cell r="B1164" t="str">
            <v>Ligne_318_PPD</v>
          </cell>
          <cell r="C1164">
            <v>318</v>
          </cell>
          <cell r="E1164" t="str">
            <v>Maquette numérique 3D au format visualisable</v>
          </cell>
          <cell r="G1164" t="str">
            <v/>
          </cell>
          <cell r="S1164" t="str">
            <v>AT</v>
          </cell>
          <cell r="T1164" t="str">
            <v>BT</v>
          </cell>
          <cell r="U1164" t="str">
            <v>B.VIDAL</v>
          </cell>
          <cell r="AA1164" t="str">
            <v>E</v>
          </cell>
          <cell r="AB1164" t="str">
            <v>Référentiel</v>
          </cell>
          <cell r="AC1164" t="str">
            <v>EIT/EMR</v>
          </cell>
          <cell r="AD1164" t="str">
            <v xml:space="preserve">SM ET.4-10639
ST ET.4-10546
</v>
          </cell>
          <cell r="AE1164" t="str">
            <v>Spécification de management MF19
Documentation relative à l’étude et à la réalisation de systèmes mécaniques, électrotechniques, pneumatiques et hydrauliques</v>
          </cell>
          <cell r="AF1164" t="str">
            <v xml:space="preserve">2.2.3.1.2; 2.2.5.1.1
3.4.2.1
</v>
          </cell>
          <cell r="AI1164">
            <v>1</v>
          </cell>
          <cell r="AP1164" t="str">
            <v>FP</v>
          </cell>
          <cell r="AU1164" t="str">
            <v>Maj</v>
          </cell>
          <cell r="AX1164" t="str">
            <v>Maj</v>
          </cell>
          <cell r="AY1164" t="str">
            <v>Maj</v>
          </cell>
          <cell r="BC1164" t="str">
            <v>FD</v>
          </cell>
          <cell r="BG1164" t="str">
            <v>Maj</v>
          </cell>
          <cell r="CH1164" t="e">
            <v>#N/A</v>
          </cell>
          <cell r="CI1164" t="e">
            <v>#N/A</v>
          </cell>
          <cell r="CJ1164" t="e">
            <v>#N/A</v>
          </cell>
        </row>
        <row r="1165">
          <cell r="B1165" t="str">
            <v>Ligne_319_PPD</v>
          </cell>
          <cell r="C1165">
            <v>319</v>
          </cell>
          <cell r="E1165" t="str">
            <v>Code source du logiciel passerelle-sol</v>
          </cell>
          <cell r="G1165" t="str">
            <v/>
          </cell>
          <cell r="R1165" t="str">
            <v>VBN</v>
          </cell>
          <cell r="S1165" t="str">
            <v>AT</v>
          </cell>
          <cell r="U1165" t="str">
            <v>S.MUDRY</v>
          </cell>
          <cell r="AA1165" t="str">
            <v>E</v>
          </cell>
          <cell r="AB1165" t="str">
            <v>Electronique</v>
          </cell>
          <cell r="AC1165" t="str">
            <v>SIT</v>
          </cell>
          <cell r="AD1165" t="str">
            <v>SF ET.4-10644</v>
          </cell>
          <cell r="AE1165" t="str">
            <v>Passerelle-Sol</v>
          </cell>
          <cell r="AF1165">
            <v>4</v>
          </cell>
          <cell r="AI1165">
            <v>1</v>
          </cell>
          <cell r="BE1165" t="str">
            <v>FD</v>
          </cell>
          <cell r="CH1165" t="e">
            <v>#N/A</v>
          </cell>
          <cell r="CI1165" t="e">
            <v>#N/A</v>
          </cell>
          <cell r="CJ1165" t="e">
            <v>#N/A</v>
          </cell>
        </row>
        <row r="1166">
          <cell r="B1166" t="str">
            <v>Ligne_320_PPD</v>
          </cell>
          <cell r="C1166">
            <v>320</v>
          </cell>
          <cell r="E1166" t="str">
            <v>Formation N2</v>
          </cell>
          <cell r="G1166" t="str">
            <v/>
          </cell>
          <cell r="R1166" t="str">
            <v>VPF</v>
          </cell>
          <cell r="S1166" t="str">
            <v>AT</v>
          </cell>
          <cell r="T1166" t="str">
            <v>BT</v>
          </cell>
          <cell r="U1166" t="str">
            <v>M.THOREL</v>
          </cell>
          <cell r="AA1166" t="str">
            <v>SL</v>
          </cell>
          <cell r="AB1166" t="str">
            <v>Maintenabilité</v>
          </cell>
          <cell r="AC1166" t="str">
            <v>MRB</v>
          </cell>
          <cell r="AD1166" t="str">
            <v>SD09005</v>
          </cell>
          <cell r="AE1166" t="str">
            <v>Exigences de maintenabilité des équipements embarqués</v>
          </cell>
          <cell r="AF1166" t="str">
            <v>4.2</v>
          </cell>
          <cell r="AI1166">
            <v>1</v>
          </cell>
          <cell r="BD1166" t="str">
            <v>FD</v>
          </cell>
          <cell r="BE1166" t="str">
            <v>FD</v>
          </cell>
          <cell r="CH1166" t="e">
            <v>#N/A</v>
          </cell>
          <cell r="CI1166" t="e">
            <v>#N/A</v>
          </cell>
          <cell r="CJ1166" t="e">
            <v>#N/A</v>
          </cell>
        </row>
        <row r="1167">
          <cell r="B1167" t="str">
            <v>Ligne_321_PPD</v>
          </cell>
          <cell r="C1167">
            <v>321</v>
          </cell>
          <cell r="E1167" t="str">
            <v>Fournitures outillages de tests électroniques N2 (video protection et information voyageur)</v>
          </cell>
          <cell r="G1167" t="str">
            <v/>
          </cell>
          <cell r="R1167" t="str">
            <v>VPF</v>
          </cell>
          <cell r="S1167" t="str">
            <v>AT</v>
          </cell>
          <cell r="T1167" t="str">
            <v>EX</v>
          </cell>
          <cell r="U1167" t="str">
            <v>M.THOREL</v>
          </cell>
          <cell r="AA1167" t="str">
            <v>SL</v>
          </cell>
          <cell r="AB1167" t="str">
            <v>Maintenabilité</v>
          </cell>
          <cell r="AC1167" t="str">
            <v>MRB</v>
          </cell>
          <cell r="AD1167" t="str">
            <v>SD09005</v>
          </cell>
          <cell r="AE1167" t="str">
            <v>Exigences de maintenabilité des équipements embarqués</v>
          </cell>
          <cell r="AF1167">
            <v>4</v>
          </cell>
          <cell r="AI1167">
            <v>1</v>
          </cell>
          <cell r="BD1167" t="str">
            <v>FD</v>
          </cell>
          <cell r="BF1167" t="str">
            <v>FD</v>
          </cell>
          <cell r="CH1167" t="e">
            <v>#N/A</v>
          </cell>
          <cell r="CI1167" t="e">
            <v>#N/A</v>
          </cell>
          <cell r="CJ1167" t="e">
            <v>#N/A</v>
          </cell>
        </row>
        <row r="1168">
          <cell r="B1168" t="str">
            <v>Ligne_322_PPD</v>
          </cell>
          <cell r="C1168">
            <v>322</v>
          </cell>
          <cell r="E1168" t="str">
            <v>Registre de Contrôle Train (RCT) du train "i"</v>
          </cell>
          <cell r="G1168" t="str">
            <v>renvoi au livrable 303</v>
          </cell>
          <cell r="S1168" t="str">
            <v>AT</v>
          </cell>
          <cell r="T1168" t="str">
            <v>BT</v>
          </cell>
          <cell r="AA1168" t="str">
            <v>E</v>
          </cell>
          <cell r="AB1168" t="str">
            <v>Projet</v>
          </cell>
          <cell r="AC1168" t="str">
            <v>RP11/CA</v>
          </cell>
          <cell r="AD1168" t="str">
            <v>SM ET.4-10639</v>
          </cell>
          <cell r="AE1168" t="str">
            <v>Spécification de management MF19</v>
          </cell>
          <cell r="AF1168" t="str">
            <v>2.2.5.2 ; 9.8.2</v>
          </cell>
          <cell r="AI1168">
            <v>1</v>
          </cell>
          <cell r="BG1168" t="str">
            <v>Maj</v>
          </cell>
          <cell r="CH1168" t="e">
            <v>#N/A</v>
          </cell>
          <cell r="CI1168" t="e">
            <v>#N/A</v>
          </cell>
          <cell r="CJ1168" t="e">
            <v>#N/A</v>
          </cell>
        </row>
        <row r="1169">
          <cell r="A1169">
            <v>100435139</v>
          </cell>
          <cell r="B1169" t="str">
            <v>Ligne_323_PPD</v>
          </cell>
          <cell r="C1169">
            <v>323</v>
          </cell>
          <cell r="E1169" t="str">
            <v>Présentation à la RATP de l’entreprise d’ergonomie retenue par l’industriel (Date : T0)</v>
          </cell>
          <cell r="F1169" t="str">
            <v>A</v>
          </cell>
          <cell r="G1169" t="str">
            <v>PRESENTATION DE L ENTREPRISE D ERGONOMIE</v>
          </cell>
          <cell r="M1169" t="str">
            <v>F-03_CONDUITE</v>
          </cell>
          <cell r="N1169" t="str">
            <v>DS</v>
          </cell>
          <cell r="O1169" t="str">
            <v>SP_SPECIF</v>
          </cell>
          <cell r="Q1169">
            <v>0</v>
          </cell>
          <cell r="R1169" t="str">
            <v>BT</v>
          </cell>
          <cell r="S1169" t="str">
            <v>BT</v>
          </cell>
          <cell r="T1169" t="str">
            <v>AT</v>
          </cell>
          <cell r="U1169" t="str">
            <v>PISCART Quentin</v>
          </cell>
          <cell r="V1169" t="str">
            <v>BOMBARDIER</v>
          </cell>
          <cell r="W1169" t="str">
            <v>N</v>
          </cell>
          <cell r="X1169" t="str">
            <v>Document contractuel FD</v>
          </cell>
          <cell r="AA1169" t="str">
            <v>E</v>
          </cell>
          <cell r="AB1169" t="str">
            <v>Transversal</v>
          </cell>
          <cell r="AC1169" t="str">
            <v>MOP</v>
          </cell>
          <cell r="AD1169" t="str">
            <v>SPF 324</v>
          </cell>
          <cell r="AE1169" t="str">
            <v>Spécification d’ergonomie de la cabine de conduite du MF19</v>
          </cell>
          <cell r="AF1169" t="str">
            <v>§24.1</v>
          </cell>
          <cell r="AI1169">
            <v>1</v>
          </cell>
          <cell r="AJ1169" t="str">
            <v>FD</v>
          </cell>
          <cell r="CH1169" t="str">
            <v>MF19_BORD_BT_00001</v>
          </cell>
          <cell r="CI1169" t="str">
            <v>A</v>
          </cell>
          <cell r="CJ1169" t="str">
            <v>FD</v>
          </cell>
        </row>
        <row r="1170">
          <cell r="A1170">
            <v>100447839</v>
          </cell>
          <cell r="B1170" t="str">
            <v>Ligne_324_PPD</v>
          </cell>
          <cell r="C1170">
            <v>324</v>
          </cell>
          <cell r="E1170" t="str">
            <v>Etude préliminaire : solutions d’aménagement de la cabine de conduite. Les propositions devront répondre aux exigences des documents d’entrée du marché. (Date : T1)</v>
          </cell>
          <cell r="F1170" t="str">
            <v>B</v>
          </cell>
          <cell r="G1170" t="str">
            <v>SPECIFICATION D ERGONOMIE DE LA CABINE DE CONDUITE DU MF19</v>
          </cell>
          <cell r="M1170" t="str">
            <v>600_CABINE</v>
          </cell>
          <cell r="N1170" t="str">
            <v>DS</v>
          </cell>
          <cell r="O1170" t="str">
            <v>SP_SPECIF</v>
          </cell>
          <cell r="Q1170">
            <v>0</v>
          </cell>
          <cell r="R1170" t="str">
            <v>BT</v>
          </cell>
          <cell r="S1170" t="str">
            <v>BT</v>
          </cell>
          <cell r="T1170" t="str">
            <v>AT</v>
          </cell>
          <cell r="U1170" t="str">
            <v>Stephen Henocq</v>
          </cell>
          <cell r="V1170" t="str">
            <v>BOMBARDIER</v>
          </cell>
          <cell r="W1170" t="str">
            <v>N</v>
          </cell>
          <cell r="X1170" t="str">
            <v>Document contractuel FD</v>
          </cell>
          <cell r="AA1170" t="str">
            <v>E</v>
          </cell>
          <cell r="AB1170" t="str">
            <v>Transversal</v>
          </cell>
          <cell r="AC1170" t="str">
            <v>MOP</v>
          </cell>
          <cell r="AD1170" t="str">
            <v>SPF 324</v>
          </cell>
          <cell r="AE1170" t="str">
            <v>Spécification d’ergonomie de la cabine de conduite du MF19</v>
          </cell>
          <cell r="AF1170" t="str">
            <v>§24.2</v>
          </cell>
          <cell r="AI1170">
            <v>1</v>
          </cell>
          <cell r="AL1170" t="str">
            <v>FD</v>
          </cell>
          <cell r="BJ1170">
            <v>44029</v>
          </cell>
          <cell r="CH1170" t="str">
            <v>MF19_BORD_BT_00027</v>
          </cell>
          <cell r="CI1170" t="str">
            <v>-</v>
          </cell>
          <cell r="CJ1170" t="str">
            <v>FD</v>
          </cell>
        </row>
        <row r="1171">
          <cell r="B1171" t="str">
            <v>Ligne_325_PPD</v>
          </cell>
          <cell r="C1171">
            <v>325</v>
          </cell>
          <cell r="E1171" t="str">
            <v>Production par l’industriel d’un avant-projet (plans 2D) sur la base de la solution priorisée. (Date : T2)</v>
          </cell>
          <cell r="G1171" t="str">
            <v/>
          </cell>
          <cell r="R1171" t="str">
            <v>BT</v>
          </cell>
          <cell r="S1171" t="str">
            <v>BT</v>
          </cell>
          <cell r="T1171" t="str">
            <v>AT</v>
          </cell>
          <cell r="Z1171" t="str">
            <v>RTS JS2 à programmer</v>
          </cell>
          <cell r="AA1171" t="str">
            <v>E</v>
          </cell>
          <cell r="AB1171" t="str">
            <v>Transversal</v>
          </cell>
          <cell r="AC1171" t="str">
            <v>MOP</v>
          </cell>
          <cell r="AD1171" t="str">
            <v>SPF 324</v>
          </cell>
          <cell r="AE1171" t="str">
            <v>Spécification d’ergonomie de la cabine de conduite du MF19</v>
          </cell>
          <cell r="AF1171" t="str">
            <v>§24.3</v>
          </cell>
          <cell r="AI1171">
            <v>1</v>
          </cell>
          <cell r="AN1171" t="str">
            <v>FD</v>
          </cell>
          <cell r="CH1171" t="e">
            <v>#N/A</v>
          </cell>
          <cell r="CI1171" t="e">
            <v>#N/A</v>
          </cell>
          <cell r="CJ1171" t="e">
            <v>#N/A</v>
          </cell>
        </row>
        <row r="1172">
          <cell r="B1172" t="str">
            <v>Ligne_326_PPD</v>
          </cell>
          <cell r="C1172">
            <v>326</v>
          </cell>
          <cell r="E1172" t="str">
            <v>Production par l’industriel du projet définitif contenant (Date : T5) :
- une présentation 3D de la solution :
- les vues de synthèse capturées dans la maquette virtuelle permettant d’objectiver l’ergonomie du projet ;
- vue de dessus de la cabine de conduite ;
- champ de vision de l’opérateur en position assise et debout (vue centrée sur l’oeil de l’opérateur) ;
- vue d’ensemble présentant l’implantation des équipements de travail de l’opérateur.
- une visite virtuelle de la cabine de conduite avec une vue depuis la position assise et la position debout. Le type d’éclairage préconisé et son implantation : l’éclairage proposé doit être compatible avec le travail des opérateurs sur écrans et avec l’utilisation de documents papier reposant sur le pupitre et la lecture d’information sur les écrans.
- des préconisations acoustiques : la solution proposée doit tenir compte des communications entre les opérateurs du PCC et les conducteurs mais elle doit favoriser l’intelligibilité de la voix des conducteurs lors des annonces vers les voyageurs.
- des recommandations concernant les considérations thermiques (ventilation, climatisation).</v>
          </cell>
          <cell r="G1172" t="str">
            <v/>
          </cell>
          <cell r="R1172" t="str">
            <v>BT</v>
          </cell>
          <cell r="S1172" t="str">
            <v>BT</v>
          </cell>
          <cell r="T1172" t="str">
            <v>AT</v>
          </cell>
          <cell r="AA1172" t="str">
            <v>E</v>
          </cell>
          <cell r="AB1172" t="str">
            <v>Transversal</v>
          </cell>
          <cell r="AC1172" t="str">
            <v>MOP</v>
          </cell>
          <cell r="AD1172" t="str">
            <v>SPF 324</v>
          </cell>
          <cell r="AE1172" t="str">
            <v>Spécification d’ergonomie de la cabine de conduite du MF19</v>
          </cell>
          <cell r="AF1172" t="str">
            <v>§24.4</v>
          </cell>
          <cell r="AI1172">
            <v>1</v>
          </cell>
          <cell r="AP1172" t="str">
            <v>FD</v>
          </cell>
          <cell r="CH1172" t="e">
            <v>#N/A</v>
          </cell>
          <cell r="CI1172" t="e">
            <v>#N/A</v>
          </cell>
          <cell r="CJ1172" t="e">
            <v>#N/A</v>
          </cell>
        </row>
        <row r="1173">
          <cell r="B1173" t="str">
            <v>Ligne_327_PPD</v>
          </cell>
          <cell r="C1173">
            <v>327</v>
          </cell>
          <cell r="E1173" t="str">
            <v>Maquettage à l'échelle 1 de la cabine de conduite - Au plus tard 1 an avant la livraison du 1ier train  (Date : T4)</v>
          </cell>
          <cell r="G1173" t="str">
            <v/>
          </cell>
          <cell r="R1173" t="str">
            <v>BT</v>
          </cell>
          <cell r="S1173" t="str">
            <v>BT</v>
          </cell>
          <cell r="T1173" t="str">
            <v>AT</v>
          </cell>
          <cell r="AA1173" t="str">
            <v>E</v>
          </cell>
          <cell r="AB1173" t="str">
            <v>Transversal</v>
          </cell>
          <cell r="AC1173" t="str">
            <v>MOP</v>
          </cell>
          <cell r="AD1173" t="str">
            <v>SPF 324</v>
          </cell>
          <cell r="AE1173" t="str">
            <v>Spécification d’ergonomie de la cabine de conduite du MF19</v>
          </cell>
          <cell r="AF1173" t="str">
            <v>§24.5</v>
          </cell>
          <cell r="AI1173">
            <v>1</v>
          </cell>
          <cell r="AU1173" t="str">
            <v>FD</v>
          </cell>
          <cell r="CH1173" t="e">
            <v>#N/A</v>
          </cell>
          <cell r="CI1173" t="e">
            <v>#N/A</v>
          </cell>
          <cell r="CJ1173" t="e">
            <v>#N/A</v>
          </cell>
        </row>
        <row r="1174">
          <cell r="B1174" t="str">
            <v>Ligne_328_PPD</v>
          </cell>
          <cell r="C1174">
            <v>328</v>
          </cell>
          <cell r="E1174" t="str">
            <v>Validation des matériaux, équipements et des tests utilisateurs (Date : T5)</v>
          </cell>
          <cell r="G1174" t="str">
            <v/>
          </cell>
          <cell r="R1174" t="str">
            <v>BT</v>
          </cell>
          <cell r="S1174" t="str">
            <v>BT</v>
          </cell>
          <cell r="T1174" t="str">
            <v>NA</v>
          </cell>
          <cell r="AA1174" t="str">
            <v>E</v>
          </cell>
          <cell r="AB1174" t="str">
            <v>Transversal</v>
          </cell>
          <cell r="AC1174" t="str">
            <v>MOP</v>
          </cell>
          <cell r="AD1174" t="str">
            <v>SPF 324</v>
          </cell>
          <cell r="AE1174" t="str">
            <v>Spécification d’ergonomie de la cabine de conduite du MF19</v>
          </cell>
          <cell r="AF1174" t="str">
            <v>§24.5</v>
          </cell>
          <cell r="AI1174">
            <v>1</v>
          </cell>
          <cell r="AU1174" t="str">
            <v>FD</v>
          </cell>
          <cell r="CH1174" t="e">
            <v>#N/A</v>
          </cell>
          <cell r="CI1174" t="e">
            <v>#N/A</v>
          </cell>
          <cell r="CJ1174" t="e">
            <v>#N/A</v>
          </cell>
        </row>
        <row r="1175">
          <cell r="B1175" t="str">
            <v>Ligne_329_PPD</v>
          </cell>
          <cell r="C1175">
            <v>329</v>
          </cell>
          <cell r="E1175" t="str">
            <v>Recette finale (vérification du respect des exigences par l'industriel et ultime plan de correction des anomalies) avec la mise à jour des livrables. (Date : T6)</v>
          </cell>
          <cell r="G1175" t="str">
            <v/>
          </cell>
          <cell r="R1175" t="str">
            <v>BT</v>
          </cell>
          <cell r="S1175" t="str">
            <v>BT</v>
          </cell>
          <cell r="T1175" t="str">
            <v>AT</v>
          </cell>
          <cell r="AA1175" t="str">
            <v>E</v>
          </cell>
          <cell r="AB1175" t="str">
            <v>Transversal</v>
          </cell>
          <cell r="AC1175" t="str">
            <v>MOP</v>
          </cell>
          <cell r="AD1175" t="str">
            <v>SPF 324</v>
          </cell>
          <cell r="AE1175" t="str">
            <v>Spécification d’ergonomie de la cabine de conduite du MF19</v>
          </cell>
          <cell r="AF1175" t="str">
            <v>§24.5</v>
          </cell>
          <cell r="AI1175">
            <v>1</v>
          </cell>
          <cell r="AU1175" t="str">
            <v>FD</v>
          </cell>
          <cell r="CH1175" t="e">
            <v>#N/A</v>
          </cell>
          <cell r="CI1175" t="e">
            <v>#N/A</v>
          </cell>
          <cell r="CJ1175" t="e">
            <v>#N/A</v>
          </cell>
        </row>
        <row r="1176">
          <cell r="B1176" t="str">
            <v>Ligne_331_PPD</v>
          </cell>
          <cell r="C1176">
            <v>331</v>
          </cell>
          <cell r="E1176" t="str">
            <v>Maquette numérique 3D au format CAO natif</v>
          </cell>
          <cell r="G1176" t="str">
            <v/>
          </cell>
          <cell r="S1176" t="str">
            <v>AT</v>
          </cell>
          <cell r="T1176" t="str">
            <v>BT</v>
          </cell>
          <cell r="AA1176" t="str">
            <v>E</v>
          </cell>
          <cell r="AB1176" t="str">
            <v>Référentiel</v>
          </cell>
          <cell r="AC1176" t="str">
            <v>EIT</v>
          </cell>
          <cell r="AD1176" t="str">
            <v xml:space="preserve">SM ET.4-10639
ST ET.4-10546
</v>
          </cell>
          <cell r="AE1176" t="str">
            <v>Spécification de management MF19
Documentation relative à l’étude et à la réalisation de systèmes mécaniques, électrotechniques, pneumatiques et hydrauliques</v>
          </cell>
          <cell r="AF1176" t="str">
            <v>2.2.3.1.2; 2.2.5.1.1
3.4.2.1</v>
          </cell>
          <cell r="AI1176">
            <v>1</v>
          </cell>
          <cell r="BC1176" t="str">
            <v>FD</v>
          </cell>
          <cell r="BG1176" t="str">
            <v>Maj</v>
          </cell>
          <cell r="CH1176" t="e">
            <v>#N/A</v>
          </cell>
          <cell r="CI1176" t="e">
            <v>#N/A</v>
          </cell>
          <cell r="CJ1176" t="e">
            <v>#N/A</v>
          </cell>
        </row>
        <row r="1177">
          <cell r="B1177" t="str">
            <v>Ligne_332_PPD</v>
          </cell>
          <cell r="C1177">
            <v>332</v>
          </cell>
          <cell r="E1177" t="str">
            <v>Tous les plans en format CAO natif 2D et notamment ceux liés à la maquette numérique 3D</v>
          </cell>
          <cell r="G1177" t="str">
            <v/>
          </cell>
          <cell r="S1177" t="str">
            <v>AT</v>
          </cell>
          <cell r="T1177" t="str">
            <v>BT</v>
          </cell>
          <cell r="AA1177" t="str">
            <v>E</v>
          </cell>
          <cell r="AB1177" t="str">
            <v>Référentiel</v>
          </cell>
          <cell r="AC1177" t="str">
            <v>EIT</v>
          </cell>
          <cell r="AD1177" t="str">
            <v>ST ET.4-10546</v>
          </cell>
          <cell r="AE1177" t="str">
            <v>Documentation relative à l’étude et à la réalisation de systèmes mécaniques, électrotechniques, pneumatiques et hydrauliques</v>
          </cell>
          <cell r="AF1177" t="str">
            <v>3.4.2.1</v>
          </cell>
          <cell r="AI1177" t="str">
            <v>à décomposer</v>
          </cell>
          <cell r="BC1177" t="str">
            <v>FD</v>
          </cell>
          <cell r="BG1177" t="str">
            <v>Maj</v>
          </cell>
          <cell r="CH1177" t="e">
            <v>#N/A</v>
          </cell>
          <cell r="CI1177" t="e">
            <v>#N/A</v>
          </cell>
          <cell r="CJ1177" t="e">
            <v>#N/A</v>
          </cell>
        </row>
        <row r="1178">
          <cell r="B1178" t="str">
            <v>Ligne_333_PPD</v>
          </cell>
          <cell r="C1178">
            <v>333</v>
          </cell>
          <cell r="E1178" t="str">
            <v>Le fichier CAO natif de la collection de câblage « A » complète (Schémas de Principe)</v>
          </cell>
          <cell r="G1178" t="str">
            <v/>
          </cell>
          <cell r="R1178" t="str">
            <v>VPF</v>
          </cell>
          <cell r="S1178" t="str">
            <v>AT</v>
          </cell>
          <cell r="T1178" t="str">
            <v>EX</v>
          </cell>
          <cell r="U1178" t="str">
            <v>W.BOSQUILLON</v>
          </cell>
          <cell r="AA1178" t="str">
            <v>E</v>
          </cell>
          <cell r="AB1178" t="str">
            <v>Référentiel</v>
          </cell>
          <cell r="AC1178" t="str">
            <v>EIT</v>
          </cell>
          <cell r="AD1178" t="str">
            <v>ST ET.4-10546</v>
          </cell>
          <cell r="AE1178" t="str">
            <v>Documentation relative à l’étude et à la réalisation de systèmes mécaniques, électrotechniques, pneumatiques et hydrauliques</v>
          </cell>
          <cell r="AF1178" t="str">
            <v>3.4.2.1</v>
          </cell>
          <cell r="AI1178" t="str">
            <v>à décomposer</v>
          </cell>
          <cell r="AP1178" t="str">
            <v>FP</v>
          </cell>
          <cell r="BC1178" t="str">
            <v>FD</v>
          </cell>
          <cell r="CH1178" t="e">
            <v>#N/A</v>
          </cell>
          <cell r="CI1178" t="e">
            <v>#N/A</v>
          </cell>
          <cell r="CJ1178" t="e">
            <v>#N/A</v>
          </cell>
        </row>
        <row r="1179">
          <cell r="B1179" t="str">
            <v>Ligne_334_PPD</v>
          </cell>
          <cell r="C1179">
            <v>334</v>
          </cell>
          <cell r="E1179" t="str">
            <v>Le fichier CAO natif de la collection de câblage « F » complète (Schémas de Dépannage) et son listing de câblage complet utilisable par la RATP</v>
          </cell>
          <cell r="G1179" t="str">
            <v/>
          </cell>
          <cell r="R1179" t="str">
            <v>VPF</v>
          </cell>
          <cell r="S1179" t="str">
            <v>AT</v>
          </cell>
          <cell r="T1179" t="str">
            <v>EX</v>
          </cell>
          <cell r="U1179" t="str">
            <v>W.BOSQUILLON</v>
          </cell>
          <cell r="AA1179" t="str">
            <v>E</v>
          </cell>
          <cell r="AB1179" t="str">
            <v>Référentiel</v>
          </cell>
          <cell r="AC1179" t="str">
            <v>EIT</v>
          </cell>
          <cell r="AD1179" t="str">
            <v>ST ET.4-10546</v>
          </cell>
          <cell r="AE1179" t="str">
            <v>Documentation relative à l’étude et à la réalisation de systèmes mécaniques, électrotechniques, pneumatiques et hydrauliques</v>
          </cell>
          <cell r="AF1179" t="str">
            <v>3.4.2.1</v>
          </cell>
          <cell r="AI1179" t="str">
            <v>à décomposer</v>
          </cell>
          <cell r="AP1179" t="str">
            <v>FP</v>
          </cell>
          <cell r="BC1179" t="str">
            <v>FD</v>
          </cell>
          <cell r="CH1179" t="e">
            <v>#N/A</v>
          </cell>
          <cell r="CI1179" t="e">
            <v>#N/A</v>
          </cell>
          <cell r="CJ1179" t="e">
            <v>#N/A</v>
          </cell>
        </row>
        <row r="1180">
          <cell r="A1180" t="str">
            <v>ADD0003308437</v>
          </cell>
          <cell r="B1180" t="str">
            <v>Ligne_335_PPD</v>
          </cell>
          <cell r="C1180">
            <v>335</v>
          </cell>
          <cell r="E1180" t="str">
            <v>Plan de Management de la Documentation</v>
          </cell>
          <cell r="F1180" t="str">
            <v>A</v>
          </cell>
          <cell r="G1180" t="str">
            <v>PLAN DE MANAGEMENT DE LA DOCUMENTATION</v>
          </cell>
          <cell r="M1180" t="str">
            <v>M-10_GESTION_DE_LA_DOCUMENTATION</v>
          </cell>
          <cell r="N1180" t="str">
            <v>DM</v>
          </cell>
          <cell r="O1180" t="str">
            <v>PMN_PLAN MANAGMT</v>
          </cell>
          <cell r="Q1180">
            <v>0</v>
          </cell>
          <cell r="R1180" t="str">
            <v>VPF</v>
          </cell>
          <cell r="S1180" t="str">
            <v>AT</v>
          </cell>
          <cell r="T1180" t="str">
            <v>BT</v>
          </cell>
          <cell r="U1180" t="str">
            <v>O.DUQUESNOY</v>
          </cell>
          <cell r="V1180" t="str">
            <v>ALSTOM</v>
          </cell>
          <cell r="W1180" t="str">
            <v>N</v>
          </cell>
          <cell r="X1180" t="str">
            <v>Contractuel Management</v>
          </cell>
          <cell r="AA1180" t="str">
            <v>E</v>
          </cell>
          <cell r="AB1180" t="str">
            <v>Projet</v>
          </cell>
          <cell r="AC1180" t="str">
            <v>RP11/CA</v>
          </cell>
          <cell r="AD1180" t="str">
            <v>SM ET.4-10639</v>
          </cell>
          <cell r="AE1180" t="str">
            <v>Spécification de management MF19</v>
          </cell>
          <cell r="AF1180" t="str">
            <v>6.1.2.2</v>
          </cell>
          <cell r="AI1180">
            <v>1</v>
          </cell>
          <cell r="AL1180" t="str">
            <v>FP</v>
          </cell>
          <cell r="AN1180" t="str">
            <v>FD</v>
          </cell>
          <cell r="BJ1180">
            <v>44012</v>
          </cell>
          <cell r="CH1180" t="str">
            <v>MF19_BORD_AT_00027</v>
          </cell>
          <cell r="CI1180" t="str">
            <v>A</v>
          </cell>
          <cell r="CJ1180" t="str">
            <v>FP</v>
          </cell>
        </row>
        <row r="1181">
          <cell r="B1181" t="str">
            <v>Ligne_339_PPD</v>
          </cell>
          <cell r="C1181">
            <v>339</v>
          </cell>
          <cell r="E1181" t="str">
            <v>Plan de progrès de la quantification des émissions de gaz à effets de serre du train (Bilan GES)</v>
          </cell>
          <cell r="R1181" t="str">
            <v>BT</v>
          </cell>
          <cell r="S1181" t="str">
            <v>BT</v>
          </cell>
          <cell r="T1181" t="str">
            <v>AT</v>
          </cell>
          <cell r="V1181" t="str">
            <v>BOMBARDIER</v>
          </cell>
          <cell r="Z1181" t="str">
            <v>RTS 193 JS2 EMC 07/09/2020</v>
          </cell>
          <cell r="AA1181" t="str">
            <v>E</v>
          </cell>
          <cell r="AB1181" t="str">
            <v>Projet</v>
          </cell>
          <cell r="AC1181" t="str">
            <v>SID</v>
          </cell>
          <cell r="AD1181" t="str">
            <v>SM ET.4-10639</v>
          </cell>
          <cell r="AE1181" t="str">
            <v>Spécification de management MF19</v>
          </cell>
          <cell r="AF1181">
            <v>12</v>
          </cell>
          <cell r="AI1181">
            <v>1</v>
          </cell>
          <cell r="AN1181" t="str">
            <v>FD</v>
          </cell>
          <cell r="BG1181" t="str">
            <v>FD</v>
          </cell>
          <cell r="CH1181" t="e">
            <v>#N/A</v>
          </cell>
          <cell r="CI1181" t="e">
            <v>#N/A</v>
          </cell>
          <cell r="CJ1181" t="e">
            <v>#N/A</v>
          </cell>
        </row>
        <row r="1182">
          <cell r="B1182" t="str">
            <v>Ligne_340_PPD</v>
          </cell>
          <cell r="C1182">
            <v>340</v>
          </cell>
          <cell r="E1182" t="str">
            <v xml:space="preserve">PV de validation de chaque essai de qualification de conception (produit) de la transformations des trains courts/longs </v>
          </cell>
          <cell r="G1182" t="str">
            <v/>
          </cell>
          <cell r="S1182" t="str">
            <v>ABT</v>
          </cell>
          <cell r="T1182" t="str">
            <v>BT</v>
          </cell>
          <cell r="U1182" t="str">
            <v>C.DUGIMONT</v>
          </cell>
          <cell r="AA1182" t="str">
            <v>E</v>
          </cell>
          <cell r="AB1182" t="str">
            <v>Projet</v>
          </cell>
          <cell r="AC1182" t="str">
            <v>RP11/CA</v>
          </cell>
          <cell r="AD1182" t="str">
            <v>SM ET.4-10639</v>
          </cell>
          <cell r="AE1182" t="str">
            <v>Spécification de management MF19</v>
          </cell>
          <cell r="AF1182" t="str">
            <v>2.2.2.2.3</v>
          </cell>
          <cell r="AI1182">
            <v>50</v>
          </cell>
          <cell r="BD1182" t="str">
            <v>FD</v>
          </cell>
          <cell r="CH1182" t="e">
            <v>#N/A</v>
          </cell>
          <cell r="CI1182" t="e">
            <v>#N/A</v>
          </cell>
          <cell r="CJ1182" t="e">
            <v>#N/A</v>
          </cell>
        </row>
        <row r="1183">
          <cell r="B1183" t="str">
            <v>Ligne_341_PPD</v>
          </cell>
          <cell r="C1183">
            <v>341</v>
          </cell>
          <cell r="E1183" t="str">
            <v>PLAN DE MANAGEMENT DE LA TESTABILITE</v>
          </cell>
          <cell r="G1183" t="str">
            <v>PLAN DE MANAGEMENT DE LA TESTABILITE</v>
          </cell>
          <cell r="R1183" t="str">
            <v>VPF</v>
          </cell>
          <cell r="S1183" t="str">
            <v>AT</v>
          </cell>
          <cell r="T1183" t="str">
            <v>BT</v>
          </cell>
          <cell r="U1183" t="str">
            <v>D.CHANAL</v>
          </cell>
          <cell r="Z1183" t="str">
            <v>RTS 161 JS2 AME/M2I/MRB 03/07/2020
RTS 191 JS2 ESF 04/09/2020</v>
          </cell>
          <cell r="AA1183" t="str">
            <v>E</v>
          </cell>
          <cell r="AB1183" t="str">
            <v>Projet</v>
          </cell>
          <cell r="AC1183" t="str">
            <v>M2I</v>
          </cell>
          <cell r="AD1183" t="str">
            <v>IPM-MT-MF19-SSL/B</v>
          </cell>
          <cell r="AI1183">
            <v>1</v>
          </cell>
          <cell r="AN1183" t="str">
            <v>FP</v>
          </cell>
          <cell r="AU1183" t="str">
            <v>FD</v>
          </cell>
          <cell r="CH1183" t="e">
            <v>#N/A</v>
          </cell>
          <cell r="CI1183" t="e">
            <v>#N/A</v>
          </cell>
          <cell r="CJ1183" t="e">
            <v>#N/A</v>
          </cell>
        </row>
        <row r="1184">
          <cell r="A1184" t="str">
            <v>ADD0003308625</v>
          </cell>
          <cell r="B1184" t="str">
            <v>Ligne_342_PPD</v>
          </cell>
          <cell r="C1184">
            <v>342</v>
          </cell>
          <cell r="E1184" t="str">
            <v>Spécification
technique adaptée au type de roulement retenu sur le matériel roulant considéré, en respectant les
exigences de la spécification technique ST-MRF n° EZ.4-05025 ainsi que les principes de protection
fondamentaux énoncés dans la norme NF EN 50153</v>
          </cell>
          <cell r="G1184" t="str">
            <v>Justificatif de conformité à l'EN50153</v>
          </cell>
          <cell r="R1184" t="str">
            <v>VPF</v>
          </cell>
          <cell r="S1184" t="str">
            <v>AT</v>
          </cell>
          <cell r="T1184" t="str">
            <v>BT</v>
          </cell>
          <cell r="U1184" t="str">
            <v>T.LEROY</v>
          </cell>
          <cell r="Z1184" t="str">
            <v>RTS 186 JS2 SME 01/09/2020</v>
          </cell>
          <cell r="AA1184" t="str">
            <v>E</v>
          </cell>
          <cell r="AB1184" t="str">
            <v>Electrique</v>
          </cell>
          <cell r="AC1184" t="str">
            <v>SME</v>
          </cell>
          <cell r="AD1184" t="str">
            <v>SM EZ-4.5000
EZ.4-05025</v>
          </cell>
          <cell r="AE1184" t="str">
            <v>Prescriptions générales pour la construction et l'installation des appareils électriques sur le MRF</v>
          </cell>
          <cell r="AF1184" t="str">
            <v>6.6.1</v>
          </cell>
          <cell r="AI1184">
            <v>1</v>
          </cell>
          <cell r="AN1184" t="str">
            <v>FD</v>
          </cell>
          <cell r="CH1184" t="e">
            <v>#N/A</v>
          </cell>
          <cell r="CI1184" t="e">
            <v>#N/A</v>
          </cell>
          <cell r="CJ1184" t="e">
            <v>#N/A</v>
          </cell>
        </row>
        <row r="1185">
          <cell r="B1185" t="str">
            <v>AJOUT</v>
          </cell>
          <cell r="C1185">
            <v>343</v>
          </cell>
          <cell r="G1185" t="str">
            <v>Contraintes de pilotabilité exportées du MR vers le CBTC</v>
          </cell>
          <cell r="R1185" t="str">
            <v>VPF</v>
          </cell>
          <cell r="S1185" t="str">
            <v>AT</v>
          </cell>
          <cell r="T1185" t="str">
            <v>NA</v>
          </cell>
          <cell r="U1185" t="str">
            <v>J.MALENGE</v>
          </cell>
          <cell r="Z1185" t="str">
            <v>RTS JS2 à programmer</v>
          </cell>
          <cell r="AA1185" t="str">
            <v>E</v>
          </cell>
          <cell r="AB1185" t="str">
            <v>Interface</v>
          </cell>
          <cell r="AC1185" t="str">
            <v>ING</v>
          </cell>
          <cell r="AD1185" t="str">
            <v>STF-17-6128</v>
          </cell>
          <cell r="AE1185" t="str">
            <v>Spécification d'interfaces MF19 / CBTC</v>
          </cell>
          <cell r="AI1185">
            <v>1</v>
          </cell>
          <cell r="AN1185" t="str">
            <v>FP</v>
          </cell>
          <cell r="AU1185" t="str">
            <v>FD</v>
          </cell>
          <cell r="CH1185" t="e">
            <v>#N/A</v>
          </cell>
          <cell r="CI1185" t="e">
            <v>#N/A</v>
          </cell>
          <cell r="CJ1185" t="e">
            <v>#N/A</v>
          </cell>
        </row>
        <row r="1186">
          <cell r="B1186" t="str">
            <v>Ligne_344_PPD</v>
          </cell>
          <cell r="C1186">
            <v>344</v>
          </cell>
          <cell r="E1186" t="str">
            <v>ajout suite MF19_MRF-RP11_2020-00381 (intègre le livrable 141)</v>
          </cell>
          <cell r="G1186" t="str">
            <v>PLAN DE MANAGEMENT OBSOLESCENCE</v>
          </cell>
          <cell r="R1186" t="str">
            <v>VPF</v>
          </cell>
          <cell r="S1186" t="str">
            <v>AT</v>
          </cell>
          <cell r="T1186" t="str">
            <v>NA</v>
          </cell>
          <cell r="U1186" t="str">
            <v>M.THOREL</v>
          </cell>
          <cell r="Z1186" t="str">
            <v>RTS 161 JS2 AME/M2I/MRB 03/07/2020</v>
          </cell>
          <cell r="AE1186" t="str">
            <v>Spécification d'interfaces MF19 / CBTC</v>
          </cell>
          <cell r="AI1186">
            <v>1</v>
          </cell>
          <cell r="AN1186" t="str">
            <v>FP</v>
          </cell>
          <cell r="AP1186" t="str">
            <v>FD</v>
          </cell>
          <cell r="CH1186" t="e">
            <v>#N/A</v>
          </cell>
          <cell r="CI1186" t="e">
            <v>#N/A</v>
          </cell>
          <cell r="CJ1186" t="e">
            <v>#N/A</v>
          </cell>
        </row>
        <row r="1187">
          <cell r="B1187" t="str">
            <v>AJOUT</v>
          </cell>
          <cell r="C1187">
            <v>345</v>
          </cell>
          <cell r="E1187" t="str">
            <v>ajout suite MF19_MRF-RP11_2020-00381</v>
          </cell>
          <cell r="G1187" t="str">
            <v>TABLEAU DE BORD APN</v>
          </cell>
          <cell r="R1187" t="str">
            <v>VPF</v>
          </cell>
          <cell r="S1187" t="str">
            <v>AT</v>
          </cell>
          <cell r="T1187" t="str">
            <v>NA</v>
          </cell>
          <cell r="U1187" t="str">
            <v>M.THOREL</v>
          </cell>
          <cell r="AI1187">
            <v>1</v>
          </cell>
          <cell r="AN1187" t="str">
            <v>FP</v>
          </cell>
          <cell r="CH1187" t="e">
            <v>#N/A</v>
          </cell>
          <cell r="CI1187" t="e">
            <v>#N/A</v>
          </cell>
          <cell r="CJ1187" t="e">
            <v>#N/A</v>
          </cell>
        </row>
      </sheetData>
      <sheetData sheetId="2"/>
      <sheetData sheetId="3"/>
      <sheetData sheetId="4"/>
    </sheetDataSet>
  </externalBook>
</externalLink>
</file>

<file path=xl/persons/person.xml><?xml version="1.0" encoding="utf-8"?>
<personList xmlns="http://schemas.microsoft.com/office/spreadsheetml/2018/threadedcomments" xmlns:x="http://schemas.openxmlformats.org/spreadsheetml/2006/main">
  <person displayName="Fanny Roland" id="{91AF4576-347D-4CCE-88C5-2429ED0C2EE5}" userId="S::fanny.roland@rail.bombardier.com::59df0e07-c7b6-4686-b972-2da003bd7777"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1" dT="2020-09-14T15:13:19.91" personId="{91AF4576-347D-4CCE-88C5-2429ED0C2EE5}" id="{286D1803-426E-42D1-950E-295DD996E695}">
    <text>cases "vertes" signifie que la RATP a accusé réception du bordereau et donc son incorporation dans PJL. Donc à partir de cette date le délai de 30j (ou 60j) débute.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2955-B0DC-4155-A442-B0A496632D3A}">
  <dimension ref="A1:AM1017"/>
  <sheetViews>
    <sheetView tabSelected="1" zoomScale="60" zoomScaleNormal="60" workbookViewId="0">
      <selection activeCell="A2" sqref="A2"/>
    </sheetView>
  </sheetViews>
  <sheetFormatPr baseColWidth="10" defaultRowHeight="15"/>
  <cols>
    <col min="3" max="3" width="15.7109375" customWidth="1"/>
    <col min="6" max="6" width="32.85546875" customWidth="1"/>
    <col min="7" max="7" width="9.28515625" customWidth="1"/>
    <col min="8" max="8" width="41.42578125" customWidth="1"/>
    <col min="10" max="10" width="10" customWidth="1"/>
    <col min="11" max="11" width="19.5703125" customWidth="1"/>
    <col min="14" max="14" width="11.42578125" style="4"/>
    <col min="15" max="15" width="27" style="1" customWidth="1"/>
    <col min="16" max="21" width="11.42578125" style="3"/>
    <col min="22" max="22" width="14.7109375" customWidth="1"/>
    <col min="23" max="23" width="15.7109375" style="2" customWidth="1"/>
    <col min="25" max="25" width="14.7109375" customWidth="1"/>
    <col min="26" max="26" width="15.28515625" customWidth="1"/>
    <col min="29" max="29" width="28.140625" customWidth="1"/>
    <col min="33" max="33" width="21.5703125" bestFit="1" customWidth="1"/>
  </cols>
  <sheetData>
    <row r="1" spans="1:39" s="19" customFormat="1" ht="90">
      <c r="A1" s="5" t="s">
        <v>25</v>
      </c>
      <c r="B1" s="5" t="s">
        <v>17</v>
      </c>
      <c r="C1" s="5" t="s">
        <v>0</v>
      </c>
      <c r="D1" s="5" t="s">
        <v>12</v>
      </c>
      <c r="E1" s="5" t="s">
        <v>13</v>
      </c>
      <c r="F1" s="5" t="s">
        <v>14</v>
      </c>
      <c r="G1" s="7" t="s">
        <v>18</v>
      </c>
      <c r="H1" s="5" t="s">
        <v>1</v>
      </c>
      <c r="I1" s="5" t="s">
        <v>2</v>
      </c>
      <c r="J1" s="6" t="s">
        <v>3</v>
      </c>
      <c r="K1" s="5" t="s">
        <v>4</v>
      </c>
      <c r="L1" s="5" t="s">
        <v>5</v>
      </c>
      <c r="M1" s="5" t="s">
        <v>15</v>
      </c>
      <c r="N1" s="5" t="s">
        <v>6</v>
      </c>
      <c r="O1" s="8" t="s">
        <v>16</v>
      </c>
      <c r="P1" s="5" t="s">
        <v>7</v>
      </c>
      <c r="Q1" s="9" t="s">
        <v>19</v>
      </c>
      <c r="R1" s="5" t="s">
        <v>9</v>
      </c>
      <c r="S1" s="10" t="s">
        <v>8</v>
      </c>
      <c r="T1" s="7" t="s">
        <v>20</v>
      </c>
      <c r="U1" s="5" t="s">
        <v>21</v>
      </c>
      <c r="V1" s="11" t="s">
        <v>22</v>
      </c>
      <c r="W1" s="5" t="s">
        <v>11</v>
      </c>
      <c r="X1" s="12" t="s">
        <v>10</v>
      </c>
      <c r="Y1" s="13" t="s">
        <v>31</v>
      </c>
      <c r="Z1" s="14" t="s">
        <v>32</v>
      </c>
      <c r="AA1" s="14" t="s">
        <v>33</v>
      </c>
      <c r="AB1" s="14" t="s">
        <v>34</v>
      </c>
      <c r="AC1" s="15" t="s">
        <v>35</v>
      </c>
      <c r="AD1" s="13" t="s">
        <v>26</v>
      </c>
      <c r="AE1" s="14" t="s">
        <v>27</v>
      </c>
      <c r="AF1" s="15" t="s">
        <v>28</v>
      </c>
      <c r="AG1" s="16" t="s">
        <v>36</v>
      </c>
      <c r="AH1" s="13" t="s">
        <v>23</v>
      </c>
      <c r="AI1" s="14" t="s">
        <v>24</v>
      </c>
      <c r="AJ1" s="17" t="s">
        <v>29</v>
      </c>
      <c r="AK1" s="17" t="s">
        <v>30</v>
      </c>
      <c r="AL1" s="18"/>
      <c r="AM1" s="18"/>
    </row>
    <row r="2" spans="1:39">
      <c r="AH2" s="20">
        <f>IF($B2="oui",IF($R2="R",IF($Q2&gt;30,1,0),0),0)</f>
        <v>0</v>
      </c>
      <c r="AI2" s="20">
        <f>IF($B2="oui",IF($R2="AR",IF($Q2&gt;30,1,0),0),0)</f>
        <v>0</v>
      </c>
      <c r="AJ2" s="21">
        <f>IF($B2="oui",IF($R2="EC",1,0),0)</f>
        <v>0</v>
      </c>
      <c r="AK2" s="21">
        <f>IF(M2&lt;&gt;"",IF(ISBLANK(P2),1,0),0)</f>
        <v>0</v>
      </c>
    </row>
    <row r="3" spans="1:39">
      <c r="AH3" s="20">
        <f t="shared" ref="AH3:AH66" si="0">IF($B3="oui",IF($R3="R",IF($Q3&gt;30,1,0),0),0)</f>
        <v>0</v>
      </c>
      <c r="AI3" s="20">
        <f t="shared" ref="AI3:AI66" si="1">IF($B3="oui",IF($R3="AR",IF($Q3&gt;30,1,0),0),0)</f>
        <v>0</v>
      </c>
      <c r="AJ3" s="21">
        <f t="shared" ref="AJ3:AJ66" si="2">IF($B3="oui",IF($R3="EC",1,0),0)</f>
        <v>0</v>
      </c>
      <c r="AK3" s="21">
        <f t="shared" ref="AK3:AK66" si="3">IF(M3&lt;&gt;"",IF(ISBLANK(P3),1,0),0)</f>
        <v>0</v>
      </c>
    </row>
    <row r="4" spans="1:39">
      <c r="AH4" s="20">
        <f t="shared" si="0"/>
        <v>0</v>
      </c>
      <c r="AI4" s="20">
        <f t="shared" si="1"/>
        <v>0</v>
      </c>
      <c r="AJ4" s="21">
        <f t="shared" si="2"/>
        <v>0</v>
      </c>
      <c r="AK4" s="21">
        <f t="shared" si="3"/>
        <v>0</v>
      </c>
    </row>
    <row r="5" spans="1:39">
      <c r="AH5" s="20">
        <f t="shared" si="0"/>
        <v>0</v>
      </c>
      <c r="AI5" s="20">
        <f t="shared" si="1"/>
        <v>0</v>
      </c>
      <c r="AJ5" s="21">
        <f t="shared" si="2"/>
        <v>0</v>
      </c>
      <c r="AK5" s="21">
        <f t="shared" si="3"/>
        <v>0</v>
      </c>
    </row>
    <row r="6" spans="1:39">
      <c r="AH6" s="20">
        <f t="shared" si="0"/>
        <v>0</v>
      </c>
      <c r="AI6" s="20">
        <f t="shared" si="1"/>
        <v>0</v>
      </c>
      <c r="AJ6" s="21">
        <f t="shared" si="2"/>
        <v>0</v>
      </c>
      <c r="AK6" s="21">
        <f t="shared" si="3"/>
        <v>0</v>
      </c>
    </row>
    <row r="7" spans="1:39">
      <c r="AH7" s="20">
        <f t="shared" si="0"/>
        <v>0</v>
      </c>
      <c r="AI7" s="20">
        <f t="shared" si="1"/>
        <v>0</v>
      </c>
      <c r="AJ7" s="21">
        <f t="shared" si="2"/>
        <v>0</v>
      </c>
      <c r="AK7" s="21">
        <f t="shared" si="3"/>
        <v>0</v>
      </c>
    </row>
    <row r="8" spans="1:39">
      <c r="AH8" s="20">
        <f t="shared" si="0"/>
        <v>0</v>
      </c>
      <c r="AI8" s="20">
        <f t="shared" si="1"/>
        <v>0</v>
      </c>
      <c r="AJ8" s="21">
        <f t="shared" si="2"/>
        <v>0</v>
      </c>
      <c r="AK8" s="21">
        <f t="shared" si="3"/>
        <v>0</v>
      </c>
    </row>
    <row r="9" spans="1:39">
      <c r="AH9" s="20">
        <f t="shared" si="0"/>
        <v>0</v>
      </c>
      <c r="AI9" s="20">
        <f t="shared" si="1"/>
        <v>0</v>
      </c>
      <c r="AJ9" s="21">
        <f t="shared" si="2"/>
        <v>0</v>
      </c>
      <c r="AK9" s="21">
        <f t="shared" si="3"/>
        <v>0</v>
      </c>
    </row>
    <row r="10" spans="1:39">
      <c r="AH10" s="20">
        <f t="shared" si="0"/>
        <v>0</v>
      </c>
      <c r="AI10" s="20">
        <f t="shared" si="1"/>
        <v>0</v>
      </c>
      <c r="AJ10" s="21">
        <f t="shared" si="2"/>
        <v>0</v>
      </c>
      <c r="AK10" s="21">
        <f t="shared" si="3"/>
        <v>0</v>
      </c>
    </row>
    <row r="11" spans="1:39">
      <c r="AH11" s="20">
        <f t="shared" si="0"/>
        <v>0</v>
      </c>
      <c r="AI11" s="20">
        <f t="shared" si="1"/>
        <v>0</v>
      </c>
      <c r="AJ11" s="21">
        <f t="shared" si="2"/>
        <v>0</v>
      </c>
      <c r="AK11" s="21">
        <f t="shared" si="3"/>
        <v>0</v>
      </c>
    </row>
    <row r="12" spans="1:39">
      <c r="AH12" s="20">
        <f t="shared" si="0"/>
        <v>0</v>
      </c>
      <c r="AI12" s="20">
        <f t="shared" si="1"/>
        <v>0</v>
      </c>
      <c r="AJ12" s="21">
        <f t="shared" si="2"/>
        <v>0</v>
      </c>
      <c r="AK12" s="21">
        <f t="shared" si="3"/>
        <v>0</v>
      </c>
    </row>
    <row r="13" spans="1:39">
      <c r="AE13" t="s">
        <v>37</v>
      </c>
      <c r="AH13" s="20">
        <f t="shared" si="0"/>
        <v>0</v>
      </c>
      <c r="AI13" s="20">
        <f t="shared" si="1"/>
        <v>0</v>
      </c>
      <c r="AJ13" s="21">
        <f t="shared" si="2"/>
        <v>0</v>
      </c>
      <c r="AK13" s="21">
        <f t="shared" si="3"/>
        <v>0</v>
      </c>
    </row>
    <row r="14" spans="1:39">
      <c r="AH14" s="20">
        <f t="shared" si="0"/>
        <v>0</v>
      </c>
      <c r="AI14" s="20">
        <f t="shared" si="1"/>
        <v>0</v>
      </c>
      <c r="AJ14" s="21">
        <f t="shared" si="2"/>
        <v>0</v>
      </c>
      <c r="AK14" s="21">
        <f t="shared" si="3"/>
        <v>0</v>
      </c>
    </row>
    <row r="15" spans="1:39">
      <c r="AH15" s="20">
        <f t="shared" si="0"/>
        <v>0</v>
      </c>
      <c r="AI15" s="20">
        <f t="shared" si="1"/>
        <v>0</v>
      </c>
      <c r="AJ15" s="21">
        <f t="shared" si="2"/>
        <v>0</v>
      </c>
      <c r="AK15" s="21">
        <f t="shared" si="3"/>
        <v>0</v>
      </c>
    </row>
    <row r="16" spans="1:39">
      <c r="AH16" s="20">
        <f t="shared" si="0"/>
        <v>0</v>
      </c>
      <c r="AI16" s="20">
        <f t="shared" si="1"/>
        <v>0</v>
      </c>
      <c r="AJ16" s="21">
        <f t="shared" si="2"/>
        <v>0</v>
      </c>
      <c r="AK16" s="21">
        <f t="shared" si="3"/>
        <v>0</v>
      </c>
    </row>
    <row r="17" spans="34:37">
      <c r="AH17" s="20">
        <f t="shared" si="0"/>
        <v>0</v>
      </c>
      <c r="AI17" s="20">
        <f t="shared" si="1"/>
        <v>0</v>
      </c>
      <c r="AJ17" s="21">
        <f t="shared" si="2"/>
        <v>0</v>
      </c>
      <c r="AK17" s="21">
        <f t="shared" si="3"/>
        <v>0</v>
      </c>
    </row>
    <row r="18" spans="34:37">
      <c r="AH18" s="20">
        <f t="shared" si="0"/>
        <v>0</v>
      </c>
      <c r="AI18" s="20">
        <f t="shared" si="1"/>
        <v>0</v>
      </c>
      <c r="AJ18" s="21">
        <f t="shared" si="2"/>
        <v>0</v>
      </c>
      <c r="AK18" s="21">
        <f t="shared" si="3"/>
        <v>0</v>
      </c>
    </row>
    <row r="19" spans="34:37">
      <c r="AH19" s="20">
        <f t="shared" si="0"/>
        <v>0</v>
      </c>
      <c r="AI19" s="20">
        <f t="shared" si="1"/>
        <v>0</v>
      </c>
      <c r="AJ19" s="21">
        <f t="shared" si="2"/>
        <v>0</v>
      </c>
      <c r="AK19" s="21">
        <f t="shared" si="3"/>
        <v>0</v>
      </c>
    </row>
    <row r="20" spans="34:37">
      <c r="AH20" s="20">
        <f t="shared" si="0"/>
        <v>0</v>
      </c>
      <c r="AI20" s="20">
        <f t="shared" si="1"/>
        <v>0</v>
      </c>
      <c r="AJ20" s="21">
        <f t="shared" si="2"/>
        <v>0</v>
      </c>
      <c r="AK20" s="21">
        <f t="shared" si="3"/>
        <v>0</v>
      </c>
    </row>
    <row r="21" spans="34:37">
      <c r="AH21" s="20">
        <f t="shared" si="0"/>
        <v>0</v>
      </c>
      <c r="AI21" s="20">
        <f t="shared" si="1"/>
        <v>0</v>
      </c>
      <c r="AJ21" s="21">
        <f t="shared" si="2"/>
        <v>0</v>
      </c>
      <c r="AK21" s="21">
        <f t="shared" si="3"/>
        <v>0</v>
      </c>
    </row>
    <row r="22" spans="34:37">
      <c r="AH22" s="20">
        <f t="shared" si="0"/>
        <v>0</v>
      </c>
      <c r="AI22" s="20">
        <f t="shared" si="1"/>
        <v>0</v>
      </c>
      <c r="AJ22" s="21">
        <f t="shared" si="2"/>
        <v>0</v>
      </c>
      <c r="AK22" s="21">
        <f t="shared" si="3"/>
        <v>0</v>
      </c>
    </row>
    <row r="23" spans="34:37">
      <c r="AH23" s="20">
        <f t="shared" si="0"/>
        <v>0</v>
      </c>
      <c r="AI23" s="20">
        <f t="shared" si="1"/>
        <v>0</v>
      </c>
      <c r="AJ23" s="21">
        <f t="shared" si="2"/>
        <v>0</v>
      </c>
      <c r="AK23" s="21">
        <f t="shared" si="3"/>
        <v>0</v>
      </c>
    </row>
    <row r="24" spans="34:37">
      <c r="AH24" s="20">
        <f t="shared" si="0"/>
        <v>0</v>
      </c>
      <c r="AI24" s="20">
        <f t="shared" si="1"/>
        <v>0</v>
      </c>
      <c r="AJ24" s="21">
        <f t="shared" si="2"/>
        <v>0</v>
      </c>
      <c r="AK24" s="21">
        <f t="shared" si="3"/>
        <v>0</v>
      </c>
    </row>
    <row r="25" spans="34:37">
      <c r="AH25" s="20">
        <f t="shared" si="0"/>
        <v>0</v>
      </c>
      <c r="AI25" s="20">
        <f t="shared" si="1"/>
        <v>0</v>
      </c>
      <c r="AJ25" s="21">
        <f t="shared" si="2"/>
        <v>0</v>
      </c>
      <c r="AK25" s="21">
        <f t="shared" si="3"/>
        <v>0</v>
      </c>
    </row>
    <row r="26" spans="34:37">
      <c r="AH26" s="20">
        <f t="shared" si="0"/>
        <v>0</v>
      </c>
      <c r="AI26" s="20">
        <f t="shared" si="1"/>
        <v>0</v>
      </c>
      <c r="AJ26" s="21">
        <f t="shared" si="2"/>
        <v>0</v>
      </c>
      <c r="AK26" s="21">
        <f t="shared" si="3"/>
        <v>0</v>
      </c>
    </row>
    <row r="27" spans="34:37">
      <c r="AH27" s="20">
        <f t="shared" si="0"/>
        <v>0</v>
      </c>
      <c r="AI27" s="20">
        <f t="shared" si="1"/>
        <v>0</v>
      </c>
      <c r="AJ27" s="21">
        <f t="shared" si="2"/>
        <v>0</v>
      </c>
      <c r="AK27" s="21">
        <f t="shared" si="3"/>
        <v>0</v>
      </c>
    </row>
    <row r="28" spans="34:37">
      <c r="AH28" s="20">
        <f t="shared" si="0"/>
        <v>0</v>
      </c>
      <c r="AI28" s="20">
        <f t="shared" si="1"/>
        <v>0</v>
      </c>
      <c r="AJ28" s="21">
        <f t="shared" si="2"/>
        <v>0</v>
      </c>
      <c r="AK28" s="21">
        <f t="shared" si="3"/>
        <v>0</v>
      </c>
    </row>
    <row r="29" spans="34:37">
      <c r="AH29" s="20">
        <f t="shared" si="0"/>
        <v>0</v>
      </c>
      <c r="AI29" s="20">
        <f t="shared" si="1"/>
        <v>0</v>
      </c>
      <c r="AJ29" s="21">
        <f t="shared" si="2"/>
        <v>0</v>
      </c>
      <c r="AK29" s="21">
        <f t="shared" si="3"/>
        <v>0</v>
      </c>
    </row>
    <row r="30" spans="34:37">
      <c r="AH30" s="20">
        <f t="shared" si="0"/>
        <v>0</v>
      </c>
      <c r="AI30" s="20">
        <f t="shared" si="1"/>
        <v>0</v>
      </c>
      <c r="AJ30" s="21">
        <f t="shared" si="2"/>
        <v>0</v>
      </c>
      <c r="AK30" s="21">
        <f t="shared" si="3"/>
        <v>0</v>
      </c>
    </row>
    <row r="31" spans="34:37">
      <c r="AH31" s="20">
        <f t="shared" si="0"/>
        <v>0</v>
      </c>
      <c r="AI31" s="20">
        <f t="shared" si="1"/>
        <v>0</v>
      </c>
      <c r="AJ31" s="21">
        <f t="shared" si="2"/>
        <v>0</v>
      </c>
      <c r="AK31" s="21">
        <f t="shared" si="3"/>
        <v>0</v>
      </c>
    </row>
    <row r="32" spans="34:37">
      <c r="AH32" s="20">
        <f t="shared" si="0"/>
        <v>0</v>
      </c>
      <c r="AI32" s="20">
        <f t="shared" si="1"/>
        <v>0</v>
      </c>
      <c r="AJ32" s="21">
        <f t="shared" si="2"/>
        <v>0</v>
      </c>
      <c r="AK32" s="21">
        <f t="shared" si="3"/>
        <v>0</v>
      </c>
    </row>
    <row r="33" spans="34:37">
      <c r="AH33" s="20">
        <f t="shared" si="0"/>
        <v>0</v>
      </c>
      <c r="AI33" s="20">
        <f t="shared" si="1"/>
        <v>0</v>
      </c>
      <c r="AJ33" s="21">
        <f t="shared" si="2"/>
        <v>0</v>
      </c>
      <c r="AK33" s="21">
        <f t="shared" si="3"/>
        <v>0</v>
      </c>
    </row>
    <row r="34" spans="34:37">
      <c r="AH34" s="20">
        <f t="shared" si="0"/>
        <v>0</v>
      </c>
      <c r="AI34" s="20">
        <f t="shared" si="1"/>
        <v>0</v>
      </c>
      <c r="AJ34" s="21">
        <f t="shared" si="2"/>
        <v>0</v>
      </c>
      <c r="AK34" s="21">
        <f t="shared" si="3"/>
        <v>0</v>
      </c>
    </row>
    <row r="35" spans="34:37">
      <c r="AH35" s="20">
        <f t="shared" si="0"/>
        <v>0</v>
      </c>
      <c r="AI35" s="20">
        <f t="shared" si="1"/>
        <v>0</v>
      </c>
      <c r="AJ35" s="21">
        <f t="shared" si="2"/>
        <v>0</v>
      </c>
      <c r="AK35" s="21">
        <f t="shared" si="3"/>
        <v>0</v>
      </c>
    </row>
    <row r="36" spans="34:37">
      <c r="AH36" s="20">
        <f t="shared" si="0"/>
        <v>0</v>
      </c>
      <c r="AI36" s="20">
        <f t="shared" si="1"/>
        <v>0</v>
      </c>
      <c r="AJ36" s="21">
        <f t="shared" si="2"/>
        <v>0</v>
      </c>
      <c r="AK36" s="21">
        <f t="shared" si="3"/>
        <v>0</v>
      </c>
    </row>
    <row r="37" spans="34:37">
      <c r="AH37" s="20">
        <f t="shared" si="0"/>
        <v>0</v>
      </c>
      <c r="AI37" s="20">
        <f t="shared" si="1"/>
        <v>0</v>
      </c>
      <c r="AJ37" s="21">
        <f t="shared" si="2"/>
        <v>0</v>
      </c>
      <c r="AK37" s="21">
        <f t="shared" si="3"/>
        <v>0</v>
      </c>
    </row>
    <row r="38" spans="34:37">
      <c r="AH38" s="20">
        <f t="shared" si="0"/>
        <v>0</v>
      </c>
      <c r="AI38" s="20">
        <f t="shared" si="1"/>
        <v>0</v>
      </c>
      <c r="AJ38" s="21">
        <f t="shared" si="2"/>
        <v>0</v>
      </c>
      <c r="AK38" s="21">
        <f t="shared" si="3"/>
        <v>0</v>
      </c>
    </row>
    <row r="39" spans="34:37">
      <c r="AH39" s="20">
        <f t="shared" si="0"/>
        <v>0</v>
      </c>
      <c r="AI39" s="20">
        <f t="shared" si="1"/>
        <v>0</v>
      </c>
      <c r="AJ39" s="21">
        <f t="shared" si="2"/>
        <v>0</v>
      </c>
      <c r="AK39" s="21">
        <f t="shared" si="3"/>
        <v>0</v>
      </c>
    </row>
    <row r="40" spans="34:37">
      <c r="AH40" s="20">
        <f t="shared" si="0"/>
        <v>0</v>
      </c>
      <c r="AI40" s="20">
        <f t="shared" si="1"/>
        <v>0</v>
      </c>
      <c r="AJ40" s="21">
        <f t="shared" si="2"/>
        <v>0</v>
      </c>
      <c r="AK40" s="21">
        <f t="shared" si="3"/>
        <v>0</v>
      </c>
    </row>
    <row r="41" spans="34:37">
      <c r="AH41" s="20">
        <f t="shared" si="0"/>
        <v>0</v>
      </c>
      <c r="AI41" s="20">
        <f t="shared" si="1"/>
        <v>0</v>
      </c>
      <c r="AJ41" s="21">
        <f t="shared" si="2"/>
        <v>0</v>
      </c>
      <c r="AK41" s="21">
        <f t="shared" si="3"/>
        <v>0</v>
      </c>
    </row>
    <row r="42" spans="34:37">
      <c r="AH42" s="20">
        <f t="shared" si="0"/>
        <v>0</v>
      </c>
      <c r="AI42" s="20">
        <f t="shared" si="1"/>
        <v>0</v>
      </c>
      <c r="AJ42" s="21">
        <f t="shared" si="2"/>
        <v>0</v>
      </c>
      <c r="AK42" s="21">
        <f t="shared" si="3"/>
        <v>0</v>
      </c>
    </row>
    <row r="43" spans="34:37">
      <c r="AH43" s="20">
        <f t="shared" si="0"/>
        <v>0</v>
      </c>
      <c r="AI43" s="20">
        <f t="shared" si="1"/>
        <v>0</v>
      </c>
      <c r="AJ43" s="21">
        <f t="shared" si="2"/>
        <v>0</v>
      </c>
      <c r="AK43" s="21">
        <f t="shared" si="3"/>
        <v>0</v>
      </c>
    </row>
    <row r="44" spans="34:37">
      <c r="AH44" s="20">
        <f t="shared" si="0"/>
        <v>0</v>
      </c>
      <c r="AI44" s="20">
        <f t="shared" si="1"/>
        <v>0</v>
      </c>
      <c r="AJ44" s="21">
        <f t="shared" si="2"/>
        <v>0</v>
      </c>
      <c r="AK44" s="21">
        <f t="shared" si="3"/>
        <v>0</v>
      </c>
    </row>
    <row r="45" spans="34:37">
      <c r="AH45" s="20">
        <f t="shared" si="0"/>
        <v>0</v>
      </c>
      <c r="AI45" s="20">
        <f t="shared" si="1"/>
        <v>0</v>
      </c>
      <c r="AJ45" s="21">
        <f t="shared" si="2"/>
        <v>0</v>
      </c>
      <c r="AK45" s="21">
        <f t="shared" si="3"/>
        <v>0</v>
      </c>
    </row>
    <row r="46" spans="34:37">
      <c r="AH46" s="20">
        <f t="shared" si="0"/>
        <v>0</v>
      </c>
      <c r="AI46" s="20">
        <f t="shared" si="1"/>
        <v>0</v>
      </c>
      <c r="AJ46" s="21">
        <f t="shared" si="2"/>
        <v>0</v>
      </c>
      <c r="AK46" s="21">
        <f t="shared" si="3"/>
        <v>0</v>
      </c>
    </row>
    <row r="47" spans="34:37">
      <c r="AH47" s="20">
        <f t="shared" si="0"/>
        <v>0</v>
      </c>
      <c r="AI47" s="20">
        <f t="shared" si="1"/>
        <v>0</v>
      </c>
      <c r="AJ47" s="21">
        <f t="shared" si="2"/>
        <v>0</v>
      </c>
      <c r="AK47" s="21">
        <f t="shared" si="3"/>
        <v>0</v>
      </c>
    </row>
    <row r="48" spans="34:37">
      <c r="AH48" s="20">
        <f t="shared" si="0"/>
        <v>0</v>
      </c>
      <c r="AI48" s="20">
        <f t="shared" si="1"/>
        <v>0</v>
      </c>
      <c r="AJ48" s="21">
        <f t="shared" si="2"/>
        <v>0</v>
      </c>
      <c r="AK48" s="21">
        <f t="shared" si="3"/>
        <v>0</v>
      </c>
    </row>
    <row r="49" spans="34:37">
      <c r="AH49" s="20">
        <f t="shared" si="0"/>
        <v>0</v>
      </c>
      <c r="AI49" s="20">
        <f t="shared" si="1"/>
        <v>0</v>
      </c>
      <c r="AJ49" s="21">
        <f t="shared" si="2"/>
        <v>0</v>
      </c>
      <c r="AK49" s="21">
        <f t="shared" si="3"/>
        <v>0</v>
      </c>
    </row>
    <row r="50" spans="34:37">
      <c r="AH50" s="20">
        <f t="shared" si="0"/>
        <v>0</v>
      </c>
      <c r="AI50" s="20">
        <f t="shared" si="1"/>
        <v>0</v>
      </c>
      <c r="AJ50" s="21">
        <f t="shared" si="2"/>
        <v>0</v>
      </c>
      <c r="AK50" s="21">
        <f t="shared" si="3"/>
        <v>0</v>
      </c>
    </row>
    <row r="51" spans="34:37">
      <c r="AH51" s="20">
        <f t="shared" si="0"/>
        <v>0</v>
      </c>
      <c r="AI51" s="20">
        <f t="shared" si="1"/>
        <v>0</v>
      </c>
      <c r="AJ51" s="21">
        <f t="shared" si="2"/>
        <v>0</v>
      </c>
      <c r="AK51" s="21">
        <f t="shared" si="3"/>
        <v>0</v>
      </c>
    </row>
    <row r="52" spans="34:37">
      <c r="AH52" s="20">
        <f t="shared" si="0"/>
        <v>0</v>
      </c>
      <c r="AI52" s="20">
        <f t="shared" si="1"/>
        <v>0</v>
      </c>
      <c r="AJ52" s="21">
        <f t="shared" si="2"/>
        <v>0</v>
      </c>
      <c r="AK52" s="21">
        <f t="shared" si="3"/>
        <v>0</v>
      </c>
    </row>
    <row r="53" spans="34:37">
      <c r="AH53" s="20">
        <f t="shared" si="0"/>
        <v>0</v>
      </c>
      <c r="AI53" s="20">
        <f t="shared" si="1"/>
        <v>0</v>
      </c>
      <c r="AJ53" s="21">
        <f t="shared" si="2"/>
        <v>0</v>
      </c>
      <c r="AK53" s="21">
        <f t="shared" si="3"/>
        <v>0</v>
      </c>
    </row>
    <row r="54" spans="34:37">
      <c r="AH54" s="20">
        <f t="shared" si="0"/>
        <v>0</v>
      </c>
      <c r="AI54" s="20">
        <f t="shared" si="1"/>
        <v>0</v>
      </c>
      <c r="AJ54" s="21">
        <f t="shared" si="2"/>
        <v>0</v>
      </c>
      <c r="AK54" s="21">
        <f t="shared" si="3"/>
        <v>0</v>
      </c>
    </row>
    <row r="55" spans="34:37">
      <c r="AH55" s="20">
        <f t="shared" si="0"/>
        <v>0</v>
      </c>
      <c r="AI55" s="20">
        <f t="shared" si="1"/>
        <v>0</v>
      </c>
      <c r="AJ55" s="21">
        <f t="shared" si="2"/>
        <v>0</v>
      </c>
      <c r="AK55" s="21">
        <f t="shared" si="3"/>
        <v>0</v>
      </c>
    </row>
    <row r="56" spans="34:37">
      <c r="AH56" s="20">
        <f t="shared" si="0"/>
        <v>0</v>
      </c>
      <c r="AI56" s="20">
        <f t="shared" si="1"/>
        <v>0</v>
      </c>
      <c r="AJ56" s="21">
        <f t="shared" si="2"/>
        <v>0</v>
      </c>
      <c r="AK56" s="21">
        <f t="shared" si="3"/>
        <v>0</v>
      </c>
    </row>
    <row r="57" spans="34:37">
      <c r="AH57" s="20">
        <f t="shared" si="0"/>
        <v>0</v>
      </c>
      <c r="AI57" s="20">
        <f t="shared" si="1"/>
        <v>0</v>
      </c>
      <c r="AJ57" s="21">
        <f t="shared" si="2"/>
        <v>0</v>
      </c>
      <c r="AK57" s="21">
        <f t="shared" si="3"/>
        <v>0</v>
      </c>
    </row>
    <row r="58" spans="34:37">
      <c r="AH58" s="20">
        <f t="shared" si="0"/>
        <v>0</v>
      </c>
      <c r="AI58" s="20">
        <f t="shared" si="1"/>
        <v>0</v>
      </c>
      <c r="AJ58" s="21">
        <f t="shared" si="2"/>
        <v>0</v>
      </c>
      <c r="AK58" s="21">
        <f t="shared" si="3"/>
        <v>0</v>
      </c>
    </row>
    <row r="59" spans="34:37">
      <c r="AH59" s="20">
        <f t="shared" si="0"/>
        <v>0</v>
      </c>
      <c r="AI59" s="20">
        <f t="shared" si="1"/>
        <v>0</v>
      </c>
      <c r="AJ59" s="21">
        <f t="shared" si="2"/>
        <v>0</v>
      </c>
      <c r="AK59" s="21">
        <f t="shared" si="3"/>
        <v>0</v>
      </c>
    </row>
    <row r="60" spans="34:37">
      <c r="AH60" s="20">
        <f t="shared" si="0"/>
        <v>0</v>
      </c>
      <c r="AI60" s="20">
        <f t="shared" si="1"/>
        <v>0</v>
      </c>
      <c r="AJ60" s="21">
        <f t="shared" si="2"/>
        <v>0</v>
      </c>
      <c r="AK60" s="21">
        <f t="shared" si="3"/>
        <v>0</v>
      </c>
    </row>
    <row r="61" spans="34:37">
      <c r="AH61" s="20">
        <f t="shared" si="0"/>
        <v>0</v>
      </c>
      <c r="AI61" s="20">
        <f t="shared" si="1"/>
        <v>0</v>
      </c>
      <c r="AJ61" s="21">
        <f t="shared" si="2"/>
        <v>0</v>
      </c>
      <c r="AK61" s="21">
        <f t="shared" si="3"/>
        <v>0</v>
      </c>
    </row>
    <row r="62" spans="34:37">
      <c r="AH62" s="20">
        <f t="shared" si="0"/>
        <v>0</v>
      </c>
      <c r="AI62" s="20">
        <f t="shared" si="1"/>
        <v>0</v>
      </c>
      <c r="AJ62" s="21">
        <f t="shared" si="2"/>
        <v>0</v>
      </c>
      <c r="AK62" s="21">
        <f t="shared" si="3"/>
        <v>0</v>
      </c>
    </row>
    <row r="63" spans="34:37">
      <c r="AH63" s="20">
        <f t="shared" si="0"/>
        <v>0</v>
      </c>
      <c r="AI63" s="20">
        <f t="shared" si="1"/>
        <v>0</v>
      </c>
      <c r="AJ63" s="21">
        <f t="shared" si="2"/>
        <v>0</v>
      </c>
      <c r="AK63" s="21">
        <f t="shared" si="3"/>
        <v>0</v>
      </c>
    </row>
    <row r="64" spans="34:37">
      <c r="AH64" s="20">
        <f t="shared" si="0"/>
        <v>0</v>
      </c>
      <c r="AI64" s="20">
        <f t="shared" si="1"/>
        <v>0</v>
      </c>
      <c r="AJ64" s="21">
        <f t="shared" si="2"/>
        <v>0</v>
      </c>
      <c r="AK64" s="21">
        <f t="shared" si="3"/>
        <v>0</v>
      </c>
    </row>
    <row r="65" spans="34:37">
      <c r="AH65" s="20">
        <f t="shared" si="0"/>
        <v>0</v>
      </c>
      <c r="AI65" s="20">
        <f t="shared" si="1"/>
        <v>0</v>
      </c>
      <c r="AJ65" s="21">
        <f t="shared" si="2"/>
        <v>0</v>
      </c>
      <c r="AK65" s="21">
        <f t="shared" si="3"/>
        <v>0</v>
      </c>
    </row>
    <row r="66" spans="34:37">
      <c r="AH66" s="20">
        <f t="shared" si="0"/>
        <v>0</v>
      </c>
      <c r="AI66" s="20">
        <f t="shared" si="1"/>
        <v>0</v>
      </c>
      <c r="AJ66" s="21">
        <f t="shared" si="2"/>
        <v>0</v>
      </c>
      <c r="AK66" s="21">
        <f t="shared" si="3"/>
        <v>0</v>
      </c>
    </row>
    <row r="67" spans="34:37">
      <c r="AH67" s="20">
        <f t="shared" ref="AH67:AH130" si="4">IF($B67="oui",IF($R67="R",IF($Q67&gt;30,1,0),0),0)</f>
        <v>0</v>
      </c>
      <c r="AI67" s="20">
        <f t="shared" ref="AI67:AI130" si="5">IF($B67="oui",IF($R67="AR",IF($Q67&gt;30,1,0),0),0)</f>
        <v>0</v>
      </c>
      <c r="AJ67" s="21">
        <f t="shared" ref="AJ67:AJ130" si="6">IF($B67="oui",IF($R67="EC",1,0),0)</f>
        <v>0</v>
      </c>
      <c r="AK67" s="21">
        <f t="shared" ref="AK67:AK130" si="7">IF(M67&lt;&gt;"",IF(ISBLANK(P67),1,0),0)</f>
        <v>0</v>
      </c>
    </row>
    <row r="68" spans="34:37">
      <c r="AH68" s="20">
        <f t="shared" si="4"/>
        <v>0</v>
      </c>
      <c r="AI68" s="20">
        <f t="shared" si="5"/>
        <v>0</v>
      </c>
      <c r="AJ68" s="21">
        <f t="shared" si="6"/>
        <v>0</v>
      </c>
      <c r="AK68" s="21">
        <f t="shared" si="7"/>
        <v>0</v>
      </c>
    </row>
    <row r="69" spans="34:37">
      <c r="AH69" s="20">
        <f t="shared" si="4"/>
        <v>0</v>
      </c>
      <c r="AI69" s="20">
        <f t="shared" si="5"/>
        <v>0</v>
      </c>
      <c r="AJ69" s="21">
        <f t="shared" si="6"/>
        <v>0</v>
      </c>
      <c r="AK69" s="21">
        <f t="shared" si="7"/>
        <v>0</v>
      </c>
    </row>
    <row r="70" spans="34:37">
      <c r="AH70" s="20">
        <f t="shared" si="4"/>
        <v>0</v>
      </c>
      <c r="AI70" s="20">
        <f t="shared" si="5"/>
        <v>0</v>
      </c>
      <c r="AJ70" s="21">
        <f t="shared" si="6"/>
        <v>0</v>
      </c>
      <c r="AK70" s="21">
        <f t="shared" si="7"/>
        <v>0</v>
      </c>
    </row>
    <row r="71" spans="34:37">
      <c r="AH71" s="20">
        <f t="shared" si="4"/>
        <v>0</v>
      </c>
      <c r="AI71" s="20">
        <f t="shared" si="5"/>
        <v>0</v>
      </c>
      <c r="AJ71" s="21">
        <f t="shared" si="6"/>
        <v>0</v>
      </c>
      <c r="AK71" s="21">
        <f t="shared" si="7"/>
        <v>0</v>
      </c>
    </row>
    <row r="72" spans="34:37">
      <c r="AH72" s="20">
        <f t="shared" si="4"/>
        <v>0</v>
      </c>
      <c r="AI72" s="20">
        <f t="shared" si="5"/>
        <v>0</v>
      </c>
      <c r="AJ72" s="21">
        <f t="shared" si="6"/>
        <v>0</v>
      </c>
      <c r="AK72" s="21">
        <f t="shared" si="7"/>
        <v>0</v>
      </c>
    </row>
    <row r="73" spans="34:37">
      <c r="AH73" s="20">
        <f t="shared" si="4"/>
        <v>0</v>
      </c>
      <c r="AI73" s="20">
        <f t="shared" si="5"/>
        <v>0</v>
      </c>
      <c r="AJ73" s="21">
        <f t="shared" si="6"/>
        <v>0</v>
      </c>
      <c r="AK73" s="21">
        <f t="shared" si="7"/>
        <v>0</v>
      </c>
    </row>
    <row r="74" spans="34:37">
      <c r="AH74" s="20">
        <f t="shared" si="4"/>
        <v>0</v>
      </c>
      <c r="AI74" s="20">
        <f t="shared" si="5"/>
        <v>0</v>
      </c>
      <c r="AJ74" s="21">
        <f t="shared" si="6"/>
        <v>0</v>
      </c>
      <c r="AK74" s="21">
        <f t="shared" si="7"/>
        <v>0</v>
      </c>
    </row>
    <row r="75" spans="34:37">
      <c r="AH75" s="20">
        <f t="shared" si="4"/>
        <v>0</v>
      </c>
      <c r="AI75" s="20">
        <f t="shared" si="5"/>
        <v>0</v>
      </c>
      <c r="AJ75" s="21">
        <f t="shared" si="6"/>
        <v>0</v>
      </c>
      <c r="AK75" s="21">
        <f t="shared" si="7"/>
        <v>0</v>
      </c>
    </row>
    <row r="76" spans="34:37">
      <c r="AH76" s="20">
        <f t="shared" si="4"/>
        <v>0</v>
      </c>
      <c r="AI76" s="20">
        <f t="shared" si="5"/>
        <v>0</v>
      </c>
      <c r="AJ76" s="21">
        <f t="shared" si="6"/>
        <v>0</v>
      </c>
      <c r="AK76" s="21">
        <f t="shared" si="7"/>
        <v>0</v>
      </c>
    </row>
    <row r="77" spans="34:37">
      <c r="AH77" s="20">
        <f t="shared" si="4"/>
        <v>0</v>
      </c>
      <c r="AI77" s="20">
        <f t="shared" si="5"/>
        <v>0</v>
      </c>
      <c r="AJ77" s="21">
        <f t="shared" si="6"/>
        <v>0</v>
      </c>
      <c r="AK77" s="21">
        <f t="shared" si="7"/>
        <v>0</v>
      </c>
    </row>
    <row r="78" spans="34:37">
      <c r="AH78" s="20">
        <f t="shared" si="4"/>
        <v>0</v>
      </c>
      <c r="AI78" s="20">
        <f t="shared" si="5"/>
        <v>0</v>
      </c>
      <c r="AJ78" s="21">
        <f t="shared" si="6"/>
        <v>0</v>
      </c>
      <c r="AK78" s="21">
        <f t="shared" si="7"/>
        <v>0</v>
      </c>
    </row>
    <row r="79" spans="34:37">
      <c r="AH79" s="20">
        <f t="shared" si="4"/>
        <v>0</v>
      </c>
      <c r="AI79" s="20">
        <f t="shared" si="5"/>
        <v>0</v>
      </c>
      <c r="AJ79" s="21">
        <f t="shared" si="6"/>
        <v>0</v>
      </c>
      <c r="AK79" s="21">
        <f t="shared" si="7"/>
        <v>0</v>
      </c>
    </row>
    <row r="80" spans="34:37">
      <c r="AH80" s="20">
        <f t="shared" si="4"/>
        <v>0</v>
      </c>
      <c r="AI80" s="20">
        <f t="shared" si="5"/>
        <v>0</v>
      </c>
      <c r="AJ80" s="21">
        <f t="shared" si="6"/>
        <v>0</v>
      </c>
      <c r="AK80" s="21">
        <f t="shared" si="7"/>
        <v>0</v>
      </c>
    </row>
    <row r="81" spans="34:37">
      <c r="AH81" s="20">
        <f t="shared" si="4"/>
        <v>0</v>
      </c>
      <c r="AI81" s="20">
        <f t="shared" si="5"/>
        <v>0</v>
      </c>
      <c r="AJ81" s="21">
        <f t="shared" si="6"/>
        <v>0</v>
      </c>
      <c r="AK81" s="21">
        <f t="shared" si="7"/>
        <v>0</v>
      </c>
    </row>
    <row r="82" spans="34:37">
      <c r="AH82" s="20">
        <f t="shared" si="4"/>
        <v>0</v>
      </c>
      <c r="AI82" s="20">
        <f t="shared" si="5"/>
        <v>0</v>
      </c>
      <c r="AJ82" s="21">
        <f t="shared" si="6"/>
        <v>0</v>
      </c>
      <c r="AK82" s="21">
        <f t="shared" si="7"/>
        <v>0</v>
      </c>
    </row>
    <row r="83" spans="34:37">
      <c r="AH83" s="20">
        <f t="shared" si="4"/>
        <v>0</v>
      </c>
      <c r="AI83" s="20">
        <f t="shared" si="5"/>
        <v>0</v>
      </c>
      <c r="AJ83" s="21">
        <f t="shared" si="6"/>
        <v>0</v>
      </c>
      <c r="AK83" s="21">
        <f t="shared" si="7"/>
        <v>0</v>
      </c>
    </row>
    <row r="84" spans="34:37">
      <c r="AH84" s="20">
        <f t="shared" si="4"/>
        <v>0</v>
      </c>
      <c r="AI84" s="20">
        <f t="shared" si="5"/>
        <v>0</v>
      </c>
      <c r="AJ84" s="21">
        <f t="shared" si="6"/>
        <v>0</v>
      </c>
      <c r="AK84" s="21">
        <f t="shared" si="7"/>
        <v>0</v>
      </c>
    </row>
    <row r="85" spans="34:37">
      <c r="AH85" s="20">
        <f t="shared" si="4"/>
        <v>0</v>
      </c>
      <c r="AI85" s="20">
        <f t="shared" si="5"/>
        <v>0</v>
      </c>
      <c r="AJ85" s="21">
        <f t="shared" si="6"/>
        <v>0</v>
      </c>
      <c r="AK85" s="21">
        <f t="shared" si="7"/>
        <v>0</v>
      </c>
    </row>
    <row r="86" spans="34:37">
      <c r="AH86" s="20">
        <f t="shared" si="4"/>
        <v>0</v>
      </c>
      <c r="AI86" s="20">
        <f t="shared" si="5"/>
        <v>0</v>
      </c>
      <c r="AJ86" s="21">
        <f t="shared" si="6"/>
        <v>0</v>
      </c>
      <c r="AK86" s="21">
        <f t="shared" si="7"/>
        <v>0</v>
      </c>
    </row>
    <row r="87" spans="34:37">
      <c r="AH87" s="20">
        <f t="shared" si="4"/>
        <v>0</v>
      </c>
      <c r="AI87" s="20">
        <f t="shared" si="5"/>
        <v>0</v>
      </c>
      <c r="AJ87" s="21">
        <f t="shared" si="6"/>
        <v>0</v>
      </c>
      <c r="AK87" s="21">
        <f t="shared" si="7"/>
        <v>0</v>
      </c>
    </row>
    <row r="88" spans="34:37">
      <c r="AH88" s="20">
        <f t="shared" si="4"/>
        <v>0</v>
      </c>
      <c r="AI88" s="20">
        <f t="shared" si="5"/>
        <v>0</v>
      </c>
      <c r="AJ88" s="21">
        <f t="shared" si="6"/>
        <v>0</v>
      </c>
      <c r="AK88" s="21">
        <f t="shared" si="7"/>
        <v>0</v>
      </c>
    </row>
    <row r="89" spans="34:37">
      <c r="AH89" s="20">
        <f t="shared" si="4"/>
        <v>0</v>
      </c>
      <c r="AI89" s="20">
        <f t="shared" si="5"/>
        <v>0</v>
      </c>
      <c r="AJ89" s="21">
        <f t="shared" si="6"/>
        <v>0</v>
      </c>
      <c r="AK89" s="21">
        <f t="shared" si="7"/>
        <v>0</v>
      </c>
    </row>
    <row r="90" spans="34:37">
      <c r="AH90" s="20">
        <f t="shared" si="4"/>
        <v>0</v>
      </c>
      <c r="AI90" s="20">
        <f t="shared" si="5"/>
        <v>0</v>
      </c>
      <c r="AJ90" s="21">
        <f t="shared" si="6"/>
        <v>0</v>
      </c>
      <c r="AK90" s="21">
        <f t="shared" si="7"/>
        <v>0</v>
      </c>
    </row>
    <row r="91" spans="34:37">
      <c r="AH91" s="20">
        <f t="shared" si="4"/>
        <v>0</v>
      </c>
      <c r="AI91" s="20">
        <f t="shared" si="5"/>
        <v>0</v>
      </c>
      <c r="AJ91" s="21">
        <f t="shared" si="6"/>
        <v>0</v>
      </c>
      <c r="AK91" s="21">
        <f t="shared" si="7"/>
        <v>0</v>
      </c>
    </row>
    <row r="92" spans="34:37">
      <c r="AH92" s="20">
        <f t="shared" si="4"/>
        <v>0</v>
      </c>
      <c r="AI92" s="20">
        <f t="shared" si="5"/>
        <v>0</v>
      </c>
      <c r="AJ92" s="21">
        <f t="shared" si="6"/>
        <v>0</v>
      </c>
      <c r="AK92" s="21">
        <f t="shared" si="7"/>
        <v>0</v>
      </c>
    </row>
    <row r="93" spans="34:37">
      <c r="AH93" s="20">
        <f t="shared" si="4"/>
        <v>0</v>
      </c>
      <c r="AI93" s="20">
        <f t="shared" si="5"/>
        <v>0</v>
      </c>
      <c r="AJ93" s="21">
        <f t="shared" si="6"/>
        <v>0</v>
      </c>
      <c r="AK93" s="21">
        <f t="shared" si="7"/>
        <v>0</v>
      </c>
    </row>
    <row r="94" spans="34:37">
      <c r="AH94" s="20">
        <f t="shared" si="4"/>
        <v>0</v>
      </c>
      <c r="AI94" s="20">
        <f t="shared" si="5"/>
        <v>0</v>
      </c>
      <c r="AJ94" s="21">
        <f t="shared" si="6"/>
        <v>0</v>
      </c>
      <c r="AK94" s="21">
        <f t="shared" si="7"/>
        <v>0</v>
      </c>
    </row>
    <row r="95" spans="34:37">
      <c r="AH95" s="20">
        <f t="shared" si="4"/>
        <v>0</v>
      </c>
      <c r="AI95" s="20">
        <f t="shared" si="5"/>
        <v>0</v>
      </c>
      <c r="AJ95" s="21">
        <f t="shared" si="6"/>
        <v>0</v>
      </c>
      <c r="AK95" s="21">
        <f t="shared" si="7"/>
        <v>0</v>
      </c>
    </row>
    <row r="96" spans="34:37">
      <c r="AH96" s="20">
        <f t="shared" si="4"/>
        <v>0</v>
      </c>
      <c r="AI96" s="20">
        <f t="shared" si="5"/>
        <v>0</v>
      </c>
      <c r="AJ96" s="21">
        <f t="shared" si="6"/>
        <v>0</v>
      </c>
      <c r="AK96" s="21">
        <f t="shared" si="7"/>
        <v>0</v>
      </c>
    </row>
    <row r="97" spans="34:37">
      <c r="AH97" s="20">
        <f t="shared" si="4"/>
        <v>0</v>
      </c>
      <c r="AI97" s="20">
        <f t="shared" si="5"/>
        <v>0</v>
      </c>
      <c r="AJ97" s="21">
        <f t="shared" si="6"/>
        <v>0</v>
      </c>
      <c r="AK97" s="21">
        <f t="shared" si="7"/>
        <v>0</v>
      </c>
    </row>
    <row r="98" spans="34:37">
      <c r="AH98" s="20">
        <f t="shared" si="4"/>
        <v>0</v>
      </c>
      <c r="AI98" s="20">
        <f t="shared" si="5"/>
        <v>0</v>
      </c>
      <c r="AJ98" s="21">
        <f t="shared" si="6"/>
        <v>0</v>
      </c>
      <c r="AK98" s="21">
        <f t="shared" si="7"/>
        <v>0</v>
      </c>
    </row>
    <row r="99" spans="34:37">
      <c r="AH99" s="20">
        <f t="shared" si="4"/>
        <v>0</v>
      </c>
      <c r="AI99" s="20">
        <f t="shared" si="5"/>
        <v>0</v>
      </c>
      <c r="AJ99" s="21">
        <f t="shared" si="6"/>
        <v>0</v>
      </c>
      <c r="AK99" s="21">
        <f t="shared" si="7"/>
        <v>0</v>
      </c>
    </row>
    <row r="100" spans="34:37">
      <c r="AH100" s="20">
        <f t="shared" si="4"/>
        <v>0</v>
      </c>
      <c r="AI100" s="20">
        <f t="shared" si="5"/>
        <v>0</v>
      </c>
      <c r="AJ100" s="21">
        <f t="shared" si="6"/>
        <v>0</v>
      </c>
      <c r="AK100" s="21">
        <f t="shared" si="7"/>
        <v>0</v>
      </c>
    </row>
    <row r="101" spans="34:37">
      <c r="AH101" s="20">
        <f t="shared" si="4"/>
        <v>0</v>
      </c>
      <c r="AI101" s="20">
        <f t="shared" si="5"/>
        <v>0</v>
      </c>
      <c r="AJ101" s="21">
        <f t="shared" si="6"/>
        <v>0</v>
      </c>
      <c r="AK101" s="21">
        <f t="shared" si="7"/>
        <v>0</v>
      </c>
    </row>
    <row r="102" spans="34:37">
      <c r="AH102" s="20">
        <f t="shared" si="4"/>
        <v>0</v>
      </c>
      <c r="AI102" s="20">
        <f t="shared" si="5"/>
        <v>0</v>
      </c>
      <c r="AJ102" s="21">
        <f t="shared" si="6"/>
        <v>0</v>
      </c>
      <c r="AK102" s="21">
        <f t="shared" si="7"/>
        <v>0</v>
      </c>
    </row>
    <row r="103" spans="34:37">
      <c r="AH103" s="20">
        <f t="shared" si="4"/>
        <v>0</v>
      </c>
      <c r="AI103" s="20">
        <f t="shared" si="5"/>
        <v>0</v>
      </c>
      <c r="AJ103" s="21">
        <f t="shared" si="6"/>
        <v>0</v>
      </c>
      <c r="AK103" s="21">
        <f t="shared" si="7"/>
        <v>0</v>
      </c>
    </row>
    <row r="104" spans="34:37">
      <c r="AH104" s="20">
        <f t="shared" si="4"/>
        <v>0</v>
      </c>
      <c r="AI104" s="20">
        <f t="shared" si="5"/>
        <v>0</v>
      </c>
      <c r="AJ104" s="21">
        <f t="shared" si="6"/>
        <v>0</v>
      </c>
      <c r="AK104" s="21">
        <f t="shared" si="7"/>
        <v>0</v>
      </c>
    </row>
    <row r="105" spans="34:37">
      <c r="AH105" s="20">
        <f t="shared" si="4"/>
        <v>0</v>
      </c>
      <c r="AI105" s="20">
        <f t="shared" si="5"/>
        <v>0</v>
      </c>
      <c r="AJ105" s="21">
        <f t="shared" si="6"/>
        <v>0</v>
      </c>
      <c r="AK105" s="21">
        <f t="shared" si="7"/>
        <v>0</v>
      </c>
    </row>
    <row r="106" spans="34:37">
      <c r="AH106" s="20">
        <f t="shared" si="4"/>
        <v>0</v>
      </c>
      <c r="AI106" s="20">
        <f t="shared" si="5"/>
        <v>0</v>
      </c>
      <c r="AJ106" s="21">
        <f t="shared" si="6"/>
        <v>0</v>
      </c>
      <c r="AK106" s="21">
        <f t="shared" si="7"/>
        <v>0</v>
      </c>
    </row>
    <row r="107" spans="34:37">
      <c r="AH107" s="20">
        <f t="shared" si="4"/>
        <v>0</v>
      </c>
      <c r="AI107" s="20">
        <f t="shared" si="5"/>
        <v>0</v>
      </c>
      <c r="AJ107" s="21">
        <f t="shared" si="6"/>
        <v>0</v>
      </c>
      <c r="AK107" s="21">
        <f t="shared" si="7"/>
        <v>0</v>
      </c>
    </row>
    <row r="108" spans="34:37">
      <c r="AH108" s="20">
        <f t="shared" si="4"/>
        <v>0</v>
      </c>
      <c r="AI108" s="20">
        <f t="shared" si="5"/>
        <v>0</v>
      </c>
      <c r="AJ108" s="21">
        <f t="shared" si="6"/>
        <v>0</v>
      </c>
      <c r="AK108" s="21">
        <f t="shared" si="7"/>
        <v>0</v>
      </c>
    </row>
    <row r="109" spans="34:37">
      <c r="AH109" s="20">
        <f t="shared" si="4"/>
        <v>0</v>
      </c>
      <c r="AI109" s="20">
        <f t="shared" si="5"/>
        <v>0</v>
      </c>
      <c r="AJ109" s="21">
        <f t="shared" si="6"/>
        <v>0</v>
      </c>
      <c r="AK109" s="21">
        <f t="shared" si="7"/>
        <v>0</v>
      </c>
    </row>
    <row r="110" spans="34:37">
      <c r="AH110" s="20">
        <f t="shared" si="4"/>
        <v>0</v>
      </c>
      <c r="AI110" s="20">
        <f t="shared" si="5"/>
        <v>0</v>
      </c>
      <c r="AJ110" s="21">
        <f t="shared" si="6"/>
        <v>0</v>
      </c>
      <c r="AK110" s="21">
        <f t="shared" si="7"/>
        <v>0</v>
      </c>
    </row>
    <row r="111" spans="34:37">
      <c r="AH111" s="20">
        <f t="shared" si="4"/>
        <v>0</v>
      </c>
      <c r="AI111" s="20">
        <f t="shared" si="5"/>
        <v>0</v>
      </c>
      <c r="AJ111" s="21">
        <f t="shared" si="6"/>
        <v>0</v>
      </c>
      <c r="AK111" s="21">
        <f t="shared" si="7"/>
        <v>0</v>
      </c>
    </row>
    <row r="112" spans="34:37">
      <c r="AH112" s="20">
        <f t="shared" si="4"/>
        <v>0</v>
      </c>
      <c r="AI112" s="20">
        <f t="shared" si="5"/>
        <v>0</v>
      </c>
      <c r="AJ112" s="21">
        <f t="shared" si="6"/>
        <v>0</v>
      </c>
      <c r="AK112" s="21">
        <f t="shared" si="7"/>
        <v>0</v>
      </c>
    </row>
    <row r="113" spans="34:37">
      <c r="AH113" s="20">
        <f t="shared" si="4"/>
        <v>0</v>
      </c>
      <c r="AI113" s="20">
        <f t="shared" si="5"/>
        <v>0</v>
      </c>
      <c r="AJ113" s="21">
        <f t="shared" si="6"/>
        <v>0</v>
      </c>
      <c r="AK113" s="21">
        <f t="shared" si="7"/>
        <v>0</v>
      </c>
    </row>
    <row r="114" spans="34:37">
      <c r="AH114" s="20">
        <f t="shared" si="4"/>
        <v>0</v>
      </c>
      <c r="AI114" s="20">
        <f t="shared" si="5"/>
        <v>0</v>
      </c>
      <c r="AJ114" s="21">
        <f t="shared" si="6"/>
        <v>0</v>
      </c>
      <c r="AK114" s="21">
        <f t="shared" si="7"/>
        <v>0</v>
      </c>
    </row>
    <row r="115" spans="34:37">
      <c r="AH115" s="20">
        <f t="shared" si="4"/>
        <v>0</v>
      </c>
      <c r="AI115" s="20">
        <f t="shared" si="5"/>
        <v>0</v>
      </c>
      <c r="AJ115" s="21">
        <f t="shared" si="6"/>
        <v>0</v>
      </c>
      <c r="AK115" s="21">
        <f t="shared" si="7"/>
        <v>0</v>
      </c>
    </row>
    <row r="116" spans="34:37">
      <c r="AH116" s="20">
        <f t="shared" si="4"/>
        <v>0</v>
      </c>
      <c r="AI116" s="20">
        <f t="shared" si="5"/>
        <v>0</v>
      </c>
      <c r="AJ116" s="21">
        <f t="shared" si="6"/>
        <v>0</v>
      </c>
      <c r="AK116" s="21">
        <f t="shared" si="7"/>
        <v>0</v>
      </c>
    </row>
    <row r="117" spans="34:37">
      <c r="AH117" s="20">
        <f t="shared" si="4"/>
        <v>0</v>
      </c>
      <c r="AI117" s="20">
        <f t="shared" si="5"/>
        <v>0</v>
      </c>
      <c r="AJ117" s="21">
        <f t="shared" si="6"/>
        <v>0</v>
      </c>
      <c r="AK117" s="21">
        <f t="shared" si="7"/>
        <v>0</v>
      </c>
    </row>
    <row r="118" spans="34:37">
      <c r="AH118" s="20">
        <f t="shared" si="4"/>
        <v>0</v>
      </c>
      <c r="AI118" s="20">
        <f t="shared" si="5"/>
        <v>0</v>
      </c>
      <c r="AJ118" s="21">
        <f t="shared" si="6"/>
        <v>0</v>
      </c>
      <c r="AK118" s="21">
        <f t="shared" si="7"/>
        <v>0</v>
      </c>
    </row>
    <row r="119" spans="34:37">
      <c r="AH119" s="20">
        <f t="shared" si="4"/>
        <v>0</v>
      </c>
      <c r="AI119" s="20">
        <f t="shared" si="5"/>
        <v>0</v>
      </c>
      <c r="AJ119" s="21">
        <f t="shared" si="6"/>
        <v>0</v>
      </c>
      <c r="AK119" s="21">
        <f t="shared" si="7"/>
        <v>0</v>
      </c>
    </row>
    <row r="120" spans="34:37">
      <c r="AH120" s="20">
        <f t="shared" si="4"/>
        <v>0</v>
      </c>
      <c r="AI120" s="20">
        <f t="shared" si="5"/>
        <v>0</v>
      </c>
      <c r="AJ120" s="21">
        <f t="shared" si="6"/>
        <v>0</v>
      </c>
      <c r="AK120" s="21">
        <f t="shared" si="7"/>
        <v>0</v>
      </c>
    </row>
    <row r="121" spans="34:37">
      <c r="AH121" s="20">
        <f t="shared" si="4"/>
        <v>0</v>
      </c>
      <c r="AI121" s="20">
        <f t="shared" si="5"/>
        <v>0</v>
      </c>
      <c r="AJ121" s="21">
        <f t="shared" si="6"/>
        <v>0</v>
      </c>
      <c r="AK121" s="21">
        <f t="shared" si="7"/>
        <v>0</v>
      </c>
    </row>
    <row r="122" spans="34:37">
      <c r="AH122" s="20">
        <f t="shared" si="4"/>
        <v>0</v>
      </c>
      <c r="AI122" s="20">
        <f t="shared" si="5"/>
        <v>0</v>
      </c>
      <c r="AJ122" s="21">
        <f t="shared" si="6"/>
        <v>0</v>
      </c>
      <c r="AK122" s="21">
        <f t="shared" si="7"/>
        <v>0</v>
      </c>
    </row>
    <row r="123" spans="34:37">
      <c r="AH123" s="20">
        <f t="shared" si="4"/>
        <v>0</v>
      </c>
      <c r="AI123" s="20">
        <f t="shared" si="5"/>
        <v>0</v>
      </c>
      <c r="AJ123" s="21">
        <f t="shared" si="6"/>
        <v>0</v>
      </c>
      <c r="AK123" s="21">
        <f t="shared" si="7"/>
        <v>0</v>
      </c>
    </row>
    <row r="124" spans="34:37">
      <c r="AH124" s="20">
        <f t="shared" si="4"/>
        <v>0</v>
      </c>
      <c r="AI124" s="20">
        <f t="shared" si="5"/>
        <v>0</v>
      </c>
      <c r="AJ124" s="21">
        <f t="shared" si="6"/>
        <v>0</v>
      </c>
      <c r="AK124" s="21">
        <f t="shared" si="7"/>
        <v>0</v>
      </c>
    </row>
    <row r="125" spans="34:37">
      <c r="AH125" s="20">
        <f t="shared" si="4"/>
        <v>0</v>
      </c>
      <c r="AI125" s="20">
        <f t="shared" si="5"/>
        <v>0</v>
      </c>
      <c r="AJ125" s="21">
        <f t="shared" si="6"/>
        <v>0</v>
      </c>
      <c r="AK125" s="21">
        <f t="shared" si="7"/>
        <v>0</v>
      </c>
    </row>
    <row r="126" spans="34:37">
      <c r="AH126" s="20">
        <f t="shared" si="4"/>
        <v>0</v>
      </c>
      <c r="AI126" s="20">
        <f t="shared" si="5"/>
        <v>0</v>
      </c>
      <c r="AJ126" s="21">
        <f t="shared" si="6"/>
        <v>0</v>
      </c>
      <c r="AK126" s="21">
        <f t="shared" si="7"/>
        <v>0</v>
      </c>
    </row>
    <row r="127" spans="34:37">
      <c r="AH127" s="20">
        <f t="shared" si="4"/>
        <v>0</v>
      </c>
      <c r="AI127" s="20">
        <f t="shared" si="5"/>
        <v>0</v>
      </c>
      <c r="AJ127" s="21">
        <f t="shared" si="6"/>
        <v>0</v>
      </c>
      <c r="AK127" s="21">
        <f t="shared" si="7"/>
        <v>0</v>
      </c>
    </row>
    <row r="128" spans="34:37">
      <c r="AH128" s="20">
        <f t="shared" si="4"/>
        <v>0</v>
      </c>
      <c r="AI128" s="20">
        <f t="shared" si="5"/>
        <v>0</v>
      </c>
      <c r="AJ128" s="21">
        <f t="shared" si="6"/>
        <v>0</v>
      </c>
      <c r="AK128" s="21">
        <f t="shared" si="7"/>
        <v>0</v>
      </c>
    </row>
    <row r="129" spans="34:37">
      <c r="AH129" s="20">
        <f t="shared" si="4"/>
        <v>0</v>
      </c>
      <c r="AI129" s="20">
        <f t="shared" si="5"/>
        <v>0</v>
      </c>
      <c r="AJ129" s="21">
        <f t="shared" si="6"/>
        <v>0</v>
      </c>
      <c r="AK129" s="21">
        <f t="shared" si="7"/>
        <v>0</v>
      </c>
    </row>
    <row r="130" spans="34:37">
      <c r="AH130" s="20">
        <f t="shared" si="4"/>
        <v>0</v>
      </c>
      <c r="AI130" s="20">
        <f t="shared" si="5"/>
        <v>0</v>
      </c>
      <c r="AJ130" s="21">
        <f t="shared" si="6"/>
        <v>0</v>
      </c>
      <c r="AK130" s="21">
        <f t="shared" si="7"/>
        <v>0</v>
      </c>
    </row>
    <row r="131" spans="34:37">
      <c r="AH131" s="20">
        <f t="shared" ref="AH131:AH194" si="8">IF($B131="oui",IF($R131="R",IF($Q131&gt;30,1,0),0),0)</f>
        <v>0</v>
      </c>
      <c r="AI131" s="20">
        <f t="shared" ref="AI131:AI194" si="9">IF($B131="oui",IF($R131="AR",IF($Q131&gt;30,1,0),0),0)</f>
        <v>0</v>
      </c>
      <c r="AJ131" s="21">
        <f t="shared" ref="AJ131:AJ194" si="10">IF($B131="oui",IF($R131="EC",1,0),0)</f>
        <v>0</v>
      </c>
      <c r="AK131" s="21">
        <f t="shared" ref="AK131:AK194" si="11">IF(M131&lt;&gt;"",IF(ISBLANK(P131),1,0),0)</f>
        <v>0</v>
      </c>
    </row>
    <row r="132" spans="34:37">
      <c r="AH132" s="20">
        <f t="shared" si="8"/>
        <v>0</v>
      </c>
      <c r="AI132" s="20">
        <f t="shared" si="9"/>
        <v>0</v>
      </c>
      <c r="AJ132" s="21">
        <f t="shared" si="10"/>
        <v>0</v>
      </c>
      <c r="AK132" s="21">
        <f t="shared" si="11"/>
        <v>0</v>
      </c>
    </row>
    <row r="133" spans="34:37">
      <c r="AH133" s="20">
        <f t="shared" si="8"/>
        <v>0</v>
      </c>
      <c r="AI133" s="20">
        <f t="shared" si="9"/>
        <v>0</v>
      </c>
      <c r="AJ133" s="21">
        <f t="shared" si="10"/>
        <v>0</v>
      </c>
      <c r="AK133" s="21">
        <f t="shared" si="11"/>
        <v>0</v>
      </c>
    </row>
    <row r="134" spans="34:37">
      <c r="AH134" s="20">
        <f t="shared" si="8"/>
        <v>0</v>
      </c>
      <c r="AI134" s="20">
        <f t="shared" si="9"/>
        <v>0</v>
      </c>
      <c r="AJ134" s="21">
        <f t="shared" si="10"/>
        <v>0</v>
      </c>
      <c r="AK134" s="21">
        <f t="shared" si="11"/>
        <v>0</v>
      </c>
    </row>
    <row r="135" spans="34:37">
      <c r="AH135" s="20">
        <f t="shared" si="8"/>
        <v>0</v>
      </c>
      <c r="AI135" s="20">
        <f t="shared" si="9"/>
        <v>0</v>
      </c>
      <c r="AJ135" s="21">
        <f t="shared" si="10"/>
        <v>0</v>
      </c>
      <c r="AK135" s="21">
        <f t="shared" si="11"/>
        <v>0</v>
      </c>
    </row>
    <row r="136" spans="34:37">
      <c r="AH136" s="20">
        <f t="shared" si="8"/>
        <v>0</v>
      </c>
      <c r="AI136" s="20">
        <f t="shared" si="9"/>
        <v>0</v>
      </c>
      <c r="AJ136" s="21">
        <f t="shared" si="10"/>
        <v>0</v>
      </c>
      <c r="AK136" s="21">
        <f t="shared" si="11"/>
        <v>0</v>
      </c>
    </row>
    <row r="137" spans="34:37">
      <c r="AH137" s="20">
        <f t="shared" si="8"/>
        <v>0</v>
      </c>
      <c r="AI137" s="20">
        <f t="shared" si="9"/>
        <v>0</v>
      </c>
      <c r="AJ137" s="21">
        <f t="shared" si="10"/>
        <v>0</v>
      </c>
      <c r="AK137" s="21">
        <f t="shared" si="11"/>
        <v>0</v>
      </c>
    </row>
    <row r="138" spans="34:37">
      <c r="AH138" s="20">
        <f t="shared" si="8"/>
        <v>0</v>
      </c>
      <c r="AI138" s="20">
        <f t="shared" si="9"/>
        <v>0</v>
      </c>
      <c r="AJ138" s="21">
        <f t="shared" si="10"/>
        <v>0</v>
      </c>
      <c r="AK138" s="21">
        <f t="shared" si="11"/>
        <v>0</v>
      </c>
    </row>
    <row r="139" spans="34:37">
      <c r="AH139" s="20">
        <f t="shared" si="8"/>
        <v>0</v>
      </c>
      <c r="AI139" s="20">
        <f t="shared" si="9"/>
        <v>0</v>
      </c>
      <c r="AJ139" s="21">
        <f t="shared" si="10"/>
        <v>0</v>
      </c>
      <c r="AK139" s="21">
        <f t="shared" si="11"/>
        <v>0</v>
      </c>
    </row>
    <row r="140" spans="34:37">
      <c r="AH140" s="20">
        <f t="shared" si="8"/>
        <v>0</v>
      </c>
      <c r="AI140" s="20">
        <f t="shared" si="9"/>
        <v>0</v>
      </c>
      <c r="AJ140" s="21">
        <f t="shared" si="10"/>
        <v>0</v>
      </c>
      <c r="AK140" s="21">
        <f t="shared" si="11"/>
        <v>0</v>
      </c>
    </row>
    <row r="141" spans="34:37">
      <c r="AH141" s="20">
        <f t="shared" si="8"/>
        <v>0</v>
      </c>
      <c r="AI141" s="20">
        <f t="shared" si="9"/>
        <v>0</v>
      </c>
      <c r="AJ141" s="21">
        <f t="shared" si="10"/>
        <v>0</v>
      </c>
      <c r="AK141" s="21">
        <f t="shared" si="11"/>
        <v>0</v>
      </c>
    </row>
    <row r="142" spans="34:37">
      <c r="AH142" s="20">
        <f t="shared" si="8"/>
        <v>0</v>
      </c>
      <c r="AI142" s="20">
        <f t="shared" si="9"/>
        <v>0</v>
      </c>
      <c r="AJ142" s="21">
        <f t="shared" si="10"/>
        <v>0</v>
      </c>
      <c r="AK142" s="21">
        <f t="shared" si="11"/>
        <v>0</v>
      </c>
    </row>
    <row r="143" spans="34:37">
      <c r="AH143" s="20">
        <f t="shared" si="8"/>
        <v>0</v>
      </c>
      <c r="AI143" s="20">
        <f t="shared" si="9"/>
        <v>0</v>
      </c>
      <c r="AJ143" s="21">
        <f t="shared" si="10"/>
        <v>0</v>
      </c>
      <c r="AK143" s="21">
        <f t="shared" si="11"/>
        <v>0</v>
      </c>
    </row>
    <row r="144" spans="34:37">
      <c r="AH144" s="20">
        <f t="shared" si="8"/>
        <v>0</v>
      </c>
      <c r="AI144" s="20">
        <f t="shared" si="9"/>
        <v>0</v>
      </c>
      <c r="AJ144" s="21">
        <f t="shared" si="10"/>
        <v>0</v>
      </c>
      <c r="AK144" s="21">
        <f t="shared" si="11"/>
        <v>0</v>
      </c>
    </row>
    <row r="145" spans="34:37">
      <c r="AH145" s="20">
        <f t="shared" si="8"/>
        <v>0</v>
      </c>
      <c r="AI145" s="20">
        <f t="shared" si="9"/>
        <v>0</v>
      </c>
      <c r="AJ145" s="21">
        <f t="shared" si="10"/>
        <v>0</v>
      </c>
      <c r="AK145" s="21">
        <f t="shared" si="11"/>
        <v>0</v>
      </c>
    </row>
    <row r="146" spans="34:37">
      <c r="AH146" s="20">
        <f t="shared" si="8"/>
        <v>0</v>
      </c>
      <c r="AI146" s="20">
        <f t="shared" si="9"/>
        <v>0</v>
      </c>
      <c r="AJ146" s="21">
        <f t="shared" si="10"/>
        <v>0</v>
      </c>
      <c r="AK146" s="21">
        <f t="shared" si="11"/>
        <v>0</v>
      </c>
    </row>
    <row r="147" spans="34:37">
      <c r="AH147" s="20">
        <f t="shared" si="8"/>
        <v>0</v>
      </c>
      <c r="AI147" s="20">
        <f t="shared" si="9"/>
        <v>0</v>
      </c>
      <c r="AJ147" s="21">
        <f t="shared" si="10"/>
        <v>0</v>
      </c>
      <c r="AK147" s="21">
        <f t="shared" si="11"/>
        <v>0</v>
      </c>
    </row>
    <row r="148" spans="34:37">
      <c r="AH148" s="20">
        <f t="shared" si="8"/>
        <v>0</v>
      </c>
      <c r="AI148" s="20">
        <f t="shared" si="9"/>
        <v>0</v>
      </c>
      <c r="AJ148" s="21">
        <f t="shared" si="10"/>
        <v>0</v>
      </c>
      <c r="AK148" s="21">
        <f t="shared" si="11"/>
        <v>0</v>
      </c>
    </row>
    <row r="149" spans="34:37">
      <c r="AH149" s="20">
        <f t="shared" si="8"/>
        <v>0</v>
      </c>
      <c r="AI149" s="20">
        <f t="shared" si="9"/>
        <v>0</v>
      </c>
      <c r="AJ149" s="21">
        <f t="shared" si="10"/>
        <v>0</v>
      </c>
      <c r="AK149" s="21">
        <f t="shared" si="11"/>
        <v>0</v>
      </c>
    </row>
    <row r="150" spans="34:37">
      <c r="AH150" s="20">
        <f t="shared" si="8"/>
        <v>0</v>
      </c>
      <c r="AI150" s="20">
        <f t="shared" si="9"/>
        <v>0</v>
      </c>
      <c r="AJ150" s="21">
        <f t="shared" si="10"/>
        <v>0</v>
      </c>
      <c r="AK150" s="21">
        <f t="shared" si="11"/>
        <v>0</v>
      </c>
    </row>
    <row r="151" spans="34:37">
      <c r="AH151" s="20">
        <f t="shared" si="8"/>
        <v>0</v>
      </c>
      <c r="AI151" s="20">
        <f t="shared" si="9"/>
        <v>0</v>
      </c>
      <c r="AJ151" s="21">
        <f t="shared" si="10"/>
        <v>0</v>
      </c>
      <c r="AK151" s="21">
        <f t="shared" si="11"/>
        <v>0</v>
      </c>
    </row>
    <row r="152" spans="34:37">
      <c r="AH152" s="20">
        <f t="shared" si="8"/>
        <v>0</v>
      </c>
      <c r="AI152" s="20">
        <f t="shared" si="9"/>
        <v>0</v>
      </c>
      <c r="AJ152" s="21">
        <f t="shared" si="10"/>
        <v>0</v>
      </c>
      <c r="AK152" s="21">
        <f t="shared" si="11"/>
        <v>0</v>
      </c>
    </row>
    <row r="153" spans="34:37">
      <c r="AH153" s="20">
        <f t="shared" si="8"/>
        <v>0</v>
      </c>
      <c r="AI153" s="20">
        <f t="shared" si="9"/>
        <v>0</v>
      </c>
      <c r="AJ153" s="21">
        <f t="shared" si="10"/>
        <v>0</v>
      </c>
      <c r="AK153" s="21">
        <f t="shared" si="11"/>
        <v>0</v>
      </c>
    </row>
    <row r="154" spans="34:37">
      <c r="AH154" s="20">
        <f t="shared" si="8"/>
        <v>0</v>
      </c>
      <c r="AI154" s="20">
        <f t="shared" si="9"/>
        <v>0</v>
      </c>
      <c r="AJ154" s="21">
        <f t="shared" si="10"/>
        <v>0</v>
      </c>
      <c r="AK154" s="21">
        <f t="shared" si="11"/>
        <v>0</v>
      </c>
    </row>
    <row r="155" spans="34:37">
      <c r="AH155" s="20">
        <f t="shared" si="8"/>
        <v>0</v>
      </c>
      <c r="AI155" s="20">
        <f t="shared" si="9"/>
        <v>0</v>
      </c>
      <c r="AJ155" s="21">
        <f t="shared" si="10"/>
        <v>0</v>
      </c>
      <c r="AK155" s="21">
        <f t="shared" si="11"/>
        <v>0</v>
      </c>
    </row>
    <row r="156" spans="34:37">
      <c r="AH156" s="20">
        <f t="shared" si="8"/>
        <v>0</v>
      </c>
      <c r="AI156" s="20">
        <f t="shared" si="9"/>
        <v>0</v>
      </c>
      <c r="AJ156" s="21">
        <f t="shared" si="10"/>
        <v>0</v>
      </c>
      <c r="AK156" s="21">
        <f t="shared" si="11"/>
        <v>0</v>
      </c>
    </row>
    <row r="157" spans="34:37">
      <c r="AH157" s="20">
        <f t="shared" si="8"/>
        <v>0</v>
      </c>
      <c r="AI157" s="20">
        <f t="shared" si="9"/>
        <v>0</v>
      </c>
      <c r="AJ157" s="21">
        <f t="shared" si="10"/>
        <v>0</v>
      </c>
      <c r="AK157" s="21">
        <f t="shared" si="11"/>
        <v>0</v>
      </c>
    </row>
    <row r="158" spans="34:37">
      <c r="AH158" s="20">
        <f t="shared" si="8"/>
        <v>0</v>
      </c>
      <c r="AI158" s="20">
        <f t="shared" si="9"/>
        <v>0</v>
      </c>
      <c r="AJ158" s="21">
        <f t="shared" si="10"/>
        <v>0</v>
      </c>
      <c r="AK158" s="21">
        <f t="shared" si="11"/>
        <v>0</v>
      </c>
    </row>
    <row r="159" spans="34:37">
      <c r="AH159" s="20">
        <f t="shared" si="8"/>
        <v>0</v>
      </c>
      <c r="AI159" s="20">
        <f t="shared" si="9"/>
        <v>0</v>
      </c>
      <c r="AJ159" s="21">
        <f t="shared" si="10"/>
        <v>0</v>
      </c>
      <c r="AK159" s="21">
        <f t="shared" si="11"/>
        <v>0</v>
      </c>
    </row>
    <row r="160" spans="34:37">
      <c r="AH160" s="20">
        <f t="shared" si="8"/>
        <v>0</v>
      </c>
      <c r="AI160" s="20">
        <f t="shared" si="9"/>
        <v>0</v>
      </c>
      <c r="AJ160" s="21">
        <f t="shared" si="10"/>
        <v>0</v>
      </c>
      <c r="AK160" s="21">
        <f t="shared" si="11"/>
        <v>0</v>
      </c>
    </row>
    <row r="161" spans="34:37">
      <c r="AH161" s="20">
        <f t="shared" si="8"/>
        <v>0</v>
      </c>
      <c r="AI161" s="20">
        <f t="shared" si="9"/>
        <v>0</v>
      </c>
      <c r="AJ161" s="21">
        <f t="shared" si="10"/>
        <v>0</v>
      </c>
      <c r="AK161" s="21">
        <f t="shared" si="11"/>
        <v>0</v>
      </c>
    </row>
    <row r="162" spans="34:37">
      <c r="AH162" s="20">
        <f t="shared" si="8"/>
        <v>0</v>
      </c>
      <c r="AI162" s="20">
        <f t="shared" si="9"/>
        <v>0</v>
      </c>
      <c r="AJ162" s="21">
        <f t="shared" si="10"/>
        <v>0</v>
      </c>
      <c r="AK162" s="21">
        <f t="shared" si="11"/>
        <v>0</v>
      </c>
    </row>
    <row r="163" spans="34:37">
      <c r="AH163" s="20">
        <f t="shared" si="8"/>
        <v>0</v>
      </c>
      <c r="AI163" s="20">
        <f t="shared" si="9"/>
        <v>0</v>
      </c>
      <c r="AJ163" s="21">
        <f t="shared" si="10"/>
        <v>0</v>
      </c>
      <c r="AK163" s="21">
        <f t="shared" si="11"/>
        <v>0</v>
      </c>
    </row>
    <row r="164" spans="34:37">
      <c r="AH164" s="20">
        <f t="shared" si="8"/>
        <v>0</v>
      </c>
      <c r="AI164" s="20">
        <f t="shared" si="9"/>
        <v>0</v>
      </c>
      <c r="AJ164" s="21">
        <f t="shared" si="10"/>
        <v>0</v>
      </c>
      <c r="AK164" s="21">
        <f t="shared" si="11"/>
        <v>0</v>
      </c>
    </row>
    <row r="165" spans="34:37">
      <c r="AH165" s="20">
        <f t="shared" si="8"/>
        <v>0</v>
      </c>
      <c r="AI165" s="20">
        <f t="shared" si="9"/>
        <v>0</v>
      </c>
      <c r="AJ165" s="21">
        <f t="shared" si="10"/>
        <v>0</v>
      </c>
      <c r="AK165" s="21">
        <f t="shared" si="11"/>
        <v>0</v>
      </c>
    </row>
    <row r="166" spans="34:37">
      <c r="AH166" s="20">
        <f t="shared" si="8"/>
        <v>0</v>
      </c>
      <c r="AI166" s="20">
        <f t="shared" si="9"/>
        <v>0</v>
      </c>
      <c r="AJ166" s="21">
        <f t="shared" si="10"/>
        <v>0</v>
      </c>
      <c r="AK166" s="21">
        <f t="shared" si="11"/>
        <v>0</v>
      </c>
    </row>
    <row r="167" spans="34:37">
      <c r="AH167" s="20">
        <f t="shared" si="8"/>
        <v>0</v>
      </c>
      <c r="AI167" s="20">
        <f t="shared" si="9"/>
        <v>0</v>
      </c>
      <c r="AJ167" s="21">
        <f t="shared" si="10"/>
        <v>0</v>
      </c>
      <c r="AK167" s="21">
        <f t="shared" si="11"/>
        <v>0</v>
      </c>
    </row>
    <row r="168" spans="34:37">
      <c r="AH168" s="20">
        <f t="shared" si="8"/>
        <v>0</v>
      </c>
      <c r="AI168" s="20">
        <f t="shared" si="9"/>
        <v>0</v>
      </c>
      <c r="AJ168" s="21">
        <f t="shared" si="10"/>
        <v>0</v>
      </c>
      <c r="AK168" s="21">
        <f t="shared" si="11"/>
        <v>0</v>
      </c>
    </row>
    <row r="169" spans="34:37">
      <c r="AH169" s="20">
        <f t="shared" si="8"/>
        <v>0</v>
      </c>
      <c r="AI169" s="20">
        <f t="shared" si="9"/>
        <v>0</v>
      </c>
      <c r="AJ169" s="21">
        <f t="shared" si="10"/>
        <v>0</v>
      </c>
      <c r="AK169" s="21">
        <f t="shared" si="11"/>
        <v>0</v>
      </c>
    </row>
    <row r="170" spans="34:37">
      <c r="AH170" s="20">
        <f t="shared" si="8"/>
        <v>0</v>
      </c>
      <c r="AI170" s="20">
        <f t="shared" si="9"/>
        <v>0</v>
      </c>
      <c r="AJ170" s="21">
        <f t="shared" si="10"/>
        <v>0</v>
      </c>
      <c r="AK170" s="21">
        <f t="shared" si="11"/>
        <v>0</v>
      </c>
    </row>
    <row r="171" spans="34:37">
      <c r="AH171" s="20">
        <f t="shared" si="8"/>
        <v>0</v>
      </c>
      <c r="AI171" s="20">
        <f t="shared" si="9"/>
        <v>0</v>
      </c>
      <c r="AJ171" s="21">
        <f t="shared" si="10"/>
        <v>0</v>
      </c>
      <c r="AK171" s="21">
        <f t="shared" si="11"/>
        <v>0</v>
      </c>
    </row>
    <row r="172" spans="34:37">
      <c r="AH172" s="20">
        <f t="shared" si="8"/>
        <v>0</v>
      </c>
      <c r="AI172" s="20">
        <f t="shared" si="9"/>
        <v>0</v>
      </c>
      <c r="AJ172" s="21">
        <f t="shared" si="10"/>
        <v>0</v>
      </c>
      <c r="AK172" s="21">
        <f t="shared" si="11"/>
        <v>0</v>
      </c>
    </row>
    <row r="173" spans="34:37">
      <c r="AH173" s="20">
        <f t="shared" si="8"/>
        <v>0</v>
      </c>
      <c r="AI173" s="20">
        <f t="shared" si="9"/>
        <v>0</v>
      </c>
      <c r="AJ173" s="21">
        <f t="shared" si="10"/>
        <v>0</v>
      </c>
      <c r="AK173" s="21">
        <f t="shared" si="11"/>
        <v>0</v>
      </c>
    </row>
    <row r="174" spans="34:37">
      <c r="AH174" s="20">
        <f t="shared" si="8"/>
        <v>0</v>
      </c>
      <c r="AI174" s="20">
        <f t="shared" si="9"/>
        <v>0</v>
      </c>
      <c r="AJ174" s="21">
        <f t="shared" si="10"/>
        <v>0</v>
      </c>
      <c r="AK174" s="21">
        <f t="shared" si="11"/>
        <v>0</v>
      </c>
    </row>
    <row r="175" spans="34:37">
      <c r="AH175" s="20">
        <f t="shared" si="8"/>
        <v>0</v>
      </c>
      <c r="AI175" s="20">
        <f t="shared" si="9"/>
        <v>0</v>
      </c>
      <c r="AJ175" s="21">
        <f t="shared" si="10"/>
        <v>0</v>
      </c>
      <c r="AK175" s="21">
        <f t="shared" si="11"/>
        <v>0</v>
      </c>
    </row>
    <row r="176" spans="34:37">
      <c r="AH176" s="20">
        <f t="shared" si="8"/>
        <v>0</v>
      </c>
      <c r="AI176" s="20">
        <f t="shared" si="9"/>
        <v>0</v>
      </c>
      <c r="AJ176" s="21">
        <f t="shared" si="10"/>
        <v>0</v>
      </c>
      <c r="AK176" s="21">
        <f t="shared" si="11"/>
        <v>0</v>
      </c>
    </row>
    <row r="177" spans="34:37">
      <c r="AH177" s="20">
        <f t="shared" si="8"/>
        <v>0</v>
      </c>
      <c r="AI177" s="20">
        <f t="shared" si="9"/>
        <v>0</v>
      </c>
      <c r="AJ177" s="21">
        <f t="shared" si="10"/>
        <v>0</v>
      </c>
      <c r="AK177" s="21">
        <f t="shared" si="11"/>
        <v>0</v>
      </c>
    </row>
    <row r="178" spans="34:37">
      <c r="AH178" s="20">
        <f t="shared" si="8"/>
        <v>0</v>
      </c>
      <c r="AI178" s="20">
        <f t="shared" si="9"/>
        <v>0</v>
      </c>
      <c r="AJ178" s="21">
        <f t="shared" si="10"/>
        <v>0</v>
      </c>
      <c r="AK178" s="21">
        <f t="shared" si="11"/>
        <v>0</v>
      </c>
    </row>
    <row r="179" spans="34:37">
      <c r="AH179" s="20">
        <f t="shared" si="8"/>
        <v>0</v>
      </c>
      <c r="AI179" s="20">
        <f t="shared" si="9"/>
        <v>0</v>
      </c>
      <c r="AJ179" s="21">
        <f t="shared" si="10"/>
        <v>0</v>
      </c>
      <c r="AK179" s="21">
        <f t="shared" si="11"/>
        <v>0</v>
      </c>
    </row>
    <row r="180" spans="34:37">
      <c r="AH180" s="20">
        <f t="shared" si="8"/>
        <v>0</v>
      </c>
      <c r="AI180" s="20">
        <f t="shared" si="9"/>
        <v>0</v>
      </c>
      <c r="AJ180" s="21">
        <f t="shared" si="10"/>
        <v>0</v>
      </c>
      <c r="AK180" s="21">
        <f t="shared" si="11"/>
        <v>0</v>
      </c>
    </row>
    <row r="181" spans="34:37">
      <c r="AH181" s="20">
        <f t="shared" si="8"/>
        <v>0</v>
      </c>
      <c r="AI181" s="20">
        <f t="shared" si="9"/>
        <v>0</v>
      </c>
      <c r="AJ181" s="21">
        <f t="shared" si="10"/>
        <v>0</v>
      </c>
      <c r="AK181" s="21">
        <f t="shared" si="11"/>
        <v>0</v>
      </c>
    </row>
    <row r="182" spans="34:37">
      <c r="AH182" s="20">
        <f t="shared" si="8"/>
        <v>0</v>
      </c>
      <c r="AI182" s="20">
        <f t="shared" si="9"/>
        <v>0</v>
      </c>
      <c r="AJ182" s="21">
        <f t="shared" si="10"/>
        <v>0</v>
      </c>
      <c r="AK182" s="21">
        <f t="shared" si="11"/>
        <v>0</v>
      </c>
    </row>
    <row r="183" spans="34:37">
      <c r="AH183" s="20">
        <f t="shared" si="8"/>
        <v>0</v>
      </c>
      <c r="AI183" s="20">
        <f t="shared" si="9"/>
        <v>0</v>
      </c>
      <c r="AJ183" s="21">
        <f t="shared" si="10"/>
        <v>0</v>
      </c>
      <c r="AK183" s="21">
        <f t="shared" si="11"/>
        <v>0</v>
      </c>
    </row>
    <row r="184" spans="34:37">
      <c r="AH184" s="20">
        <f t="shared" si="8"/>
        <v>0</v>
      </c>
      <c r="AI184" s="20">
        <f t="shared" si="9"/>
        <v>0</v>
      </c>
      <c r="AJ184" s="21">
        <f t="shared" si="10"/>
        <v>0</v>
      </c>
      <c r="AK184" s="21">
        <f t="shared" si="11"/>
        <v>0</v>
      </c>
    </row>
    <row r="185" spans="34:37">
      <c r="AH185" s="20">
        <f t="shared" si="8"/>
        <v>0</v>
      </c>
      <c r="AI185" s="20">
        <f t="shared" si="9"/>
        <v>0</v>
      </c>
      <c r="AJ185" s="21">
        <f t="shared" si="10"/>
        <v>0</v>
      </c>
      <c r="AK185" s="21">
        <f t="shared" si="11"/>
        <v>0</v>
      </c>
    </row>
    <row r="186" spans="34:37">
      <c r="AH186" s="20">
        <f t="shared" si="8"/>
        <v>0</v>
      </c>
      <c r="AI186" s="20">
        <f t="shared" si="9"/>
        <v>0</v>
      </c>
      <c r="AJ186" s="21">
        <f t="shared" si="10"/>
        <v>0</v>
      </c>
      <c r="AK186" s="21">
        <f t="shared" si="11"/>
        <v>0</v>
      </c>
    </row>
    <row r="187" spans="34:37">
      <c r="AH187" s="20">
        <f t="shared" si="8"/>
        <v>0</v>
      </c>
      <c r="AI187" s="20">
        <f t="shared" si="9"/>
        <v>0</v>
      </c>
      <c r="AJ187" s="21">
        <f t="shared" si="10"/>
        <v>0</v>
      </c>
      <c r="AK187" s="21">
        <f t="shared" si="11"/>
        <v>0</v>
      </c>
    </row>
    <row r="188" spans="34:37">
      <c r="AH188" s="20">
        <f t="shared" si="8"/>
        <v>0</v>
      </c>
      <c r="AI188" s="20">
        <f t="shared" si="9"/>
        <v>0</v>
      </c>
      <c r="AJ188" s="21">
        <f t="shared" si="10"/>
        <v>0</v>
      </c>
      <c r="AK188" s="21">
        <f t="shared" si="11"/>
        <v>0</v>
      </c>
    </row>
    <row r="189" spans="34:37">
      <c r="AH189" s="20">
        <f t="shared" si="8"/>
        <v>0</v>
      </c>
      <c r="AI189" s="20">
        <f t="shared" si="9"/>
        <v>0</v>
      </c>
      <c r="AJ189" s="21">
        <f t="shared" si="10"/>
        <v>0</v>
      </c>
      <c r="AK189" s="21">
        <f t="shared" si="11"/>
        <v>0</v>
      </c>
    </row>
    <row r="190" spans="34:37">
      <c r="AH190" s="20">
        <f t="shared" si="8"/>
        <v>0</v>
      </c>
      <c r="AI190" s="20">
        <f t="shared" si="9"/>
        <v>0</v>
      </c>
      <c r="AJ190" s="21">
        <f t="shared" si="10"/>
        <v>0</v>
      </c>
      <c r="AK190" s="21">
        <f t="shared" si="11"/>
        <v>0</v>
      </c>
    </row>
    <row r="191" spans="34:37">
      <c r="AH191" s="20">
        <f t="shared" si="8"/>
        <v>0</v>
      </c>
      <c r="AI191" s="20">
        <f t="shared" si="9"/>
        <v>0</v>
      </c>
      <c r="AJ191" s="21">
        <f t="shared" si="10"/>
        <v>0</v>
      </c>
      <c r="AK191" s="21">
        <f t="shared" si="11"/>
        <v>0</v>
      </c>
    </row>
    <row r="192" spans="34:37">
      <c r="AH192" s="20">
        <f t="shared" si="8"/>
        <v>0</v>
      </c>
      <c r="AI192" s="20">
        <f t="shared" si="9"/>
        <v>0</v>
      </c>
      <c r="AJ192" s="21">
        <f t="shared" si="10"/>
        <v>0</v>
      </c>
      <c r="AK192" s="21">
        <f t="shared" si="11"/>
        <v>0</v>
      </c>
    </row>
    <row r="193" spans="34:37">
      <c r="AH193" s="20">
        <f t="shared" si="8"/>
        <v>0</v>
      </c>
      <c r="AI193" s="20">
        <f t="shared" si="9"/>
        <v>0</v>
      </c>
      <c r="AJ193" s="21">
        <f t="shared" si="10"/>
        <v>0</v>
      </c>
      <c r="AK193" s="21">
        <f t="shared" si="11"/>
        <v>0</v>
      </c>
    </row>
    <row r="194" spans="34:37">
      <c r="AH194" s="20">
        <f t="shared" si="8"/>
        <v>0</v>
      </c>
      <c r="AI194" s="20">
        <f t="shared" si="9"/>
        <v>0</v>
      </c>
      <c r="AJ194" s="21">
        <f t="shared" si="10"/>
        <v>0</v>
      </c>
      <c r="AK194" s="21">
        <f t="shared" si="11"/>
        <v>0</v>
      </c>
    </row>
    <row r="195" spans="34:37">
      <c r="AH195" s="20">
        <f t="shared" ref="AH195:AH258" si="12">IF($B195="oui",IF($R195="R",IF($Q195&gt;30,1,0),0),0)</f>
        <v>0</v>
      </c>
      <c r="AI195" s="20">
        <f t="shared" ref="AI195:AI258" si="13">IF($B195="oui",IF($R195="AR",IF($Q195&gt;30,1,0),0),0)</f>
        <v>0</v>
      </c>
      <c r="AJ195" s="21">
        <f t="shared" ref="AJ195:AJ258" si="14">IF($B195="oui",IF($R195="EC",1,0),0)</f>
        <v>0</v>
      </c>
      <c r="AK195" s="21">
        <f t="shared" ref="AK195:AK258" si="15">IF(M195&lt;&gt;"",IF(ISBLANK(P195),1,0),0)</f>
        <v>0</v>
      </c>
    </row>
    <row r="196" spans="34:37">
      <c r="AH196" s="20">
        <f t="shared" si="12"/>
        <v>0</v>
      </c>
      <c r="AI196" s="20">
        <f t="shared" si="13"/>
        <v>0</v>
      </c>
      <c r="AJ196" s="21">
        <f t="shared" si="14"/>
        <v>0</v>
      </c>
      <c r="AK196" s="21">
        <f t="shared" si="15"/>
        <v>0</v>
      </c>
    </row>
    <row r="197" spans="34:37">
      <c r="AH197" s="20">
        <f t="shared" si="12"/>
        <v>0</v>
      </c>
      <c r="AI197" s="20">
        <f t="shared" si="13"/>
        <v>0</v>
      </c>
      <c r="AJ197" s="21">
        <f t="shared" si="14"/>
        <v>0</v>
      </c>
      <c r="AK197" s="21">
        <f t="shared" si="15"/>
        <v>0</v>
      </c>
    </row>
    <row r="198" spans="34:37">
      <c r="AH198" s="20">
        <f t="shared" si="12"/>
        <v>0</v>
      </c>
      <c r="AI198" s="20">
        <f t="shared" si="13"/>
        <v>0</v>
      </c>
      <c r="AJ198" s="21">
        <f t="shared" si="14"/>
        <v>0</v>
      </c>
      <c r="AK198" s="21">
        <f t="shared" si="15"/>
        <v>0</v>
      </c>
    </row>
    <row r="199" spans="34:37">
      <c r="AH199" s="20">
        <f t="shared" si="12"/>
        <v>0</v>
      </c>
      <c r="AI199" s="20">
        <f t="shared" si="13"/>
        <v>0</v>
      </c>
      <c r="AJ199" s="21">
        <f t="shared" si="14"/>
        <v>0</v>
      </c>
      <c r="AK199" s="21">
        <f t="shared" si="15"/>
        <v>0</v>
      </c>
    </row>
    <row r="200" spans="34:37">
      <c r="AH200" s="20">
        <f t="shared" si="12"/>
        <v>0</v>
      </c>
      <c r="AI200" s="20">
        <f t="shared" si="13"/>
        <v>0</v>
      </c>
      <c r="AJ200" s="21">
        <f t="shared" si="14"/>
        <v>0</v>
      </c>
      <c r="AK200" s="21">
        <f t="shared" si="15"/>
        <v>0</v>
      </c>
    </row>
    <row r="201" spans="34:37">
      <c r="AH201" s="20">
        <f t="shared" si="12"/>
        <v>0</v>
      </c>
      <c r="AI201" s="20">
        <f t="shared" si="13"/>
        <v>0</v>
      </c>
      <c r="AJ201" s="21">
        <f t="shared" si="14"/>
        <v>0</v>
      </c>
      <c r="AK201" s="21">
        <f t="shared" si="15"/>
        <v>0</v>
      </c>
    </row>
    <row r="202" spans="34:37">
      <c r="AH202" s="20">
        <f t="shared" si="12"/>
        <v>0</v>
      </c>
      <c r="AI202" s="20">
        <f t="shared" si="13"/>
        <v>0</v>
      </c>
      <c r="AJ202" s="21">
        <f t="shared" si="14"/>
        <v>0</v>
      </c>
      <c r="AK202" s="21">
        <f t="shared" si="15"/>
        <v>0</v>
      </c>
    </row>
    <row r="203" spans="34:37">
      <c r="AH203" s="20">
        <f t="shared" si="12"/>
        <v>0</v>
      </c>
      <c r="AI203" s="20">
        <f t="shared" si="13"/>
        <v>0</v>
      </c>
      <c r="AJ203" s="21">
        <f t="shared" si="14"/>
        <v>0</v>
      </c>
      <c r="AK203" s="21">
        <f t="shared" si="15"/>
        <v>0</v>
      </c>
    </row>
    <row r="204" spans="34:37">
      <c r="AH204" s="20">
        <f t="shared" si="12"/>
        <v>0</v>
      </c>
      <c r="AI204" s="20">
        <f t="shared" si="13"/>
        <v>0</v>
      </c>
      <c r="AJ204" s="21">
        <f t="shared" si="14"/>
        <v>0</v>
      </c>
      <c r="AK204" s="21">
        <f t="shared" si="15"/>
        <v>0</v>
      </c>
    </row>
    <row r="205" spans="34:37">
      <c r="AH205" s="20">
        <f t="shared" si="12"/>
        <v>0</v>
      </c>
      <c r="AI205" s="20">
        <f t="shared" si="13"/>
        <v>0</v>
      </c>
      <c r="AJ205" s="21">
        <f t="shared" si="14"/>
        <v>0</v>
      </c>
      <c r="AK205" s="21">
        <f t="shared" si="15"/>
        <v>0</v>
      </c>
    </row>
    <row r="206" spans="34:37">
      <c r="AH206" s="20">
        <f t="shared" si="12"/>
        <v>0</v>
      </c>
      <c r="AI206" s="20">
        <f t="shared" si="13"/>
        <v>0</v>
      </c>
      <c r="AJ206" s="21">
        <f t="shared" si="14"/>
        <v>0</v>
      </c>
      <c r="AK206" s="21">
        <f t="shared" si="15"/>
        <v>0</v>
      </c>
    </row>
    <row r="207" spans="34:37">
      <c r="AH207" s="20">
        <f t="shared" si="12"/>
        <v>0</v>
      </c>
      <c r="AI207" s="20">
        <f t="shared" si="13"/>
        <v>0</v>
      </c>
      <c r="AJ207" s="21">
        <f t="shared" si="14"/>
        <v>0</v>
      </c>
      <c r="AK207" s="21">
        <f t="shared" si="15"/>
        <v>0</v>
      </c>
    </row>
    <row r="208" spans="34:37">
      <c r="AH208" s="20">
        <f t="shared" si="12"/>
        <v>0</v>
      </c>
      <c r="AI208" s="20">
        <f t="shared" si="13"/>
        <v>0</v>
      </c>
      <c r="AJ208" s="21">
        <f t="shared" si="14"/>
        <v>0</v>
      </c>
      <c r="AK208" s="21">
        <f t="shared" si="15"/>
        <v>0</v>
      </c>
    </row>
    <row r="209" spans="34:37">
      <c r="AH209" s="20">
        <f t="shared" si="12"/>
        <v>0</v>
      </c>
      <c r="AI209" s="20">
        <f t="shared" si="13"/>
        <v>0</v>
      </c>
      <c r="AJ209" s="21">
        <f t="shared" si="14"/>
        <v>0</v>
      </c>
      <c r="AK209" s="21">
        <f t="shared" si="15"/>
        <v>0</v>
      </c>
    </row>
    <row r="210" spans="34:37">
      <c r="AH210" s="20">
        <f t="shared" si="12"/>
        <v>0</v>
      </c>
      <c r="AI210" s="20">
        <f t="shared" si="13"/>
        <v>0</v>
      </c>
      <c r="AJ210" s="21">
        <f t="shared" si="14"/>
        <v>0</v>
      </c>
      <c r="AK210" s="21">
        <f t="shared" si="15"/>
        <v>0</v>
      </c>
    </row>
    <row r="211" spans="34:37">
      <c r="AH211" s="20">
        <f t="shared" si="12"/>
        <v>0</v>
      </c>
      <c r="AI211" s="20">
        <f t="shared" si="13"/>
        <v>0</v>
      </c>
      <c r="AJ211" s="21">
        <f t="shared" si="14"/>
        <v>0</v>
      </c>
      <c r="AK211" s="21">
        <f t="shared" si="15"/>
        <v>0</v>
      </c>
    </row>
    <row r="212" spans="34:37">
      <c r="AH212" s="20">
        <f t="shared" si="12"/>
        <v>0</v>
      </c>
      <c r="AI212" s="20">
        <f t="shared" si="13"/>
        <v>0</v>
      </c>
      <c r="AJ212" s="21">
        <f t="shared" si="14"/>
        <v>0</v>
      </c>
      <c r="AK212" s="21">
        <f t="shared" si="15"/>
        <v>0</v>
      </c>
    </row>
    <row r="213" spans="34:37">
      <c r="AH213" s="20">
        <f t="shared" si="12"/>
        <v>0</v>
      </c>
      <c r="AI213" s="20">
        <f t="shared" si="13"/>
        <v>0</v>
      </c>
      <c r="AJ213" s="21">
        <f t="shared" si="14"/>
        <v>0</v>
      </c>
      <c r="AK213" s="21">
        <f t="shared" si="15"/>
        <v>0</v>
      </c>
    </row>
    <row r="214" spans="34:37">
      <c r="AH214" s="20">
        <f t="shared" si="12"/>
        <v>0</v>
      </c>
      <c r="AI214" s="20">
        <f t="shared" si="13"/>
        <v>0</v>
      </c>
      <c r="AJ214" s="21">
        <f t="shared" si="14"/>
        <v>0</v>
      </c>
      <c r="AK214" s="21">
        <f t="shared" si="15"/>
        <v>0</v>
      </c>
    </row>
    <row r="215" spans="34:37">
      <c r="AH215" s="20">
        <f t="shared" si="12"/>
        <v>0</v>
      </c>
      <c r="AI215" s="20">
        <f t="shared" si="13"/>
        <v>0</v>
      </c>
      <c r="AJ215" s="21">
        <f t="shared" si="14"/>
        <v>0</v>
      </c>
      <c r="AK215" s="21">
        <f t="shared" si="15"/>
        <v>0</v>
      </c>
    </row>
    <row r="216" spans="34:37">
      <c r="AH216" s="20">
        <f t="shared" si="12"/>
        <v>0</v>
      </c>
      <c r="AI216" s="20">
        <f t="shared" si="13"/>
        <v>0</v>
      </c>
      <c r="AJ216" s="21">
        <f t="shared" si="14"/>
        <v>0</v>
      </c>
      <c r="AK216" s="21">
        <f t="shared" si="15"/>
        <v>0</v>
      </c>
    </row>
    <row r="217" spans="34:37">
      <c r="AH217" s="20">
        <f t="shared" si="12"/>
        <v>0</v>
      </c>
      <c r="AI217" s="20">
        <f t="shared" si="13"/>
        <v>0</v>
      </c>
      <c r="AJ217" s="21">
        <f t="shared" si="14"/>
        <v>0</v>
      </c>
      <c r="AK217" s="21">
        <f t="shared" si="15"/>
        <v>0</v>
      </c>
    </row>
    <row r="218" spans="34:37">
      <c r="AH218" s="20">
        <f t="shared" si="12"/>
        <v>0</v>
      </c>
      <c r="AI218" s="20">
        <f t="shared" si="13"/>
        <v>0</v>
      </c>
      <c r="AJ218" s="21">
        <f t="shared" si="14"/>
        <v>0</v>
      </c>
      <c r="AK218" s="21">
        <f t="shared" si="15"/>
        <v>0</v>
      </c>
    </row>
    <row r="219" spans="34:37">
      <c r="AH219" s="20">
        <f t="shared" si="12"/>
        <v>0</v>
      </c>
      <c r="AI219" s="20">
        <f t="shared" si="13"/>
        <v>0</v>
      </c>
      <c r="AJ219" s="21">
        <f t="shared" si="14"/>
        <v>0</v>
      </c>
      <c r="AK219" s="21">
        <f t="shared" si="15"/>
        <v>0</v>
      </c>
    </row>
    <row r="220" spans="34:37">
      <c r="AH220" s="20">
        <f t="shared" si="12"/>
        <v>0</v>
      </c>
      <c r="AI220" s="20">
        <f t="shared" si="13"/>
        <v>0</v>
      </c>
      <c r="AJ220" s="21">
        <f t="shared" si="14"/>
        <v>0</v>
      </c>
      <c r="AK220" s="21">
        <f t="shared" si="15"/>
        <v>0</v>
      </c>
    </row>
    <row r="221" spans="34:37">
      <c r="AH221" s="20">
        <f t="shared" si="12"/>
        <v>0</v>
      </c>
      <c r="AI221" s="20">
        <f t="shared" si="13"/>
        <v>0</v>
      </c>
      <c r="AJ221" s="21">
        <f t="shared" si="14"/>
        <v>0</v>
      </c>
      <c r="AK221" s="21">
        <f t="shared" si="15"/>
        <v>0</v>
      </c>
    </row>
    <row r="222" spans="34:37">
      <c r="AH222" s="20">
        <f t="shared" si="12"/>
        <v>0</v>
      </c>
      <c r="AI222" s="20">
        <f t="shared" si="13"/>
        <v>0</v>
      </c>
      <c r="AJ222" s="21">
        <f t="shared" si="14"/>
        <v>0</v>
      </c>
      <c r="AK222" s="21">
        <f t="shared" si="15"/>
        <v>0</v>
      </c>
    </row>
    <row r="223" spans="34:37">
      <c r="AH223" s="20">
        <f t="shared" si="12"/>
        <v>0</v>
      </c>
      <c r="AI223" s="20">
        <f t="shared" si="13"/>
        <v>0</v>
      </c>
      <c r="AJ223" s="21">
        <f t="shared" si="14"/>
        <v>0</v>
      </c>
      <c r="AK223" s="21">
        <f t="shared" si="15"/>
        <v>0</v>
      </c>
    </row>
    <row r="224" spans="34:37">
      <c r="AH224" s="20">
        <f t="shared" si="12"/>
        <v>0</v>
      </c>
      <c r="AI224" s="20">
        <f t="shared" si="13"/>
        <v>0</v>
      </c>
      <c r="AJ224" s="21">
        <f t="shared" si="14"/>
        <v>0</v>
      </c>
      <c r="AK224" s="21">
        <f t="shared" si="15"/>
        <v>0</v>
      </c>
    </row>
    <row r="225" spans="34:37">
      <c r="AH225" s="20">
        <f t="shared" si="12"/>
        <v>0</v>
      </c>
      <c r="AI225" s="20">
        <f t="shared" si="13"/>
        <v>0</v>
      </c>
      <c r="AJ225" s="21">
        <f t="shared" si="14"/>
        <v>0</v>
      </c>
      <c r="AK225" s="21">
        <f t="shared" si="15"/>
        <v>0</v>
      </c>
    </row>
    <row r="226" spans="34:37">
      <c r="AH226" s="20">
        <f t="shared" si="12"/>
        <v>0</v>
      </c>
      <c r="AI226" s="20">
        <f t="shared" si="13"/>
        <v>0</v>
      </c>
      <c r="AJ226" s="21">
        <f t="shared" si="14"/>
        <v>0</v>
      </c>
      <c r="AK226" s="21">
        <f t="shared" si="15"/>
        <v>0</v>
      </c>
    </row>
    <row r="227" spans="34:37">
      <c r="AH227" s="20">
        <f t="shared" si="12"/>
        <v>0</v>
      </c>
      <c r="AI227" s="20">
        <f t="shared" si="13"/>
        <v>0</v>
      </c>
      <c r="AJ227" s="21">
        <f t="shared" si="14"/>
        <v>0</v>
      </c>
      <c r="AK227" s="21">
        <f t="shared" si="15"/>
        <v>0</v>
      </c>
    </row>
    <row r="228" spans="34:37">
      <c r="AH228" s="20">
        <f t="shared" si="12"/>
        <v>0</v>
      </c>
      <c r="AI228" s="20">
        <f t="shared" si="13"/>
        <v>0</v>
      </c>
      <c r="AJ228" s="21">
        <f t="shared" si="14"/>
        <v>0</v>
      </c>
      <c r="AK228" s="21">
        <f t="shared" si="15"/>
        <v>0</v>
      </c>
    </row>
    <row r="229" spans="34:37">
      <c r="AH229" s="20">
        <f t="shared" si="12"/>
        <v>0</v>
      </c>
      <c r="AI229" s="20">
        <f t="shared" si="13"/>
        <v>0</v>
      </c>
      <c r="AJ229" s="21">
        <f t="shared" si="14"/>
        <v>0</v>
      </c>
      <c r="AK229" s="21">
        <f t="shared" si="15"/>
        <v>0</v>
      </c>
    </row>
    <row r="230" spans="34:37">
      <c r="AH230" s="20">
        <f t="shared" si="12"/>
        <v>0</v>
      </c>
      <c r="AI230" s="20">
        <f t="shared" si="13"/>
        <v>0</v>
      </c>
      <c r="AJ230" s="21">
        <f t="shared" si="14"/>
        <v>0</v>
      </c>
      <c r="AK230" s="21">
        <f t="shared" si="15"/>
        <v>0</v>
      </c>
    </row>
    <row r="231" spans="34:37">
      <c r="AH231" s="20">
        <f t="shared" si="12"/>
        <v>0</v>
      </c>
      <c r="AI231" s="20">
        <f t="shared" si="13"/>
        <v>0</v>
      </c>
      <c r="AJ231" s="21">
        <f t="shared" si="14"/>
        <v>0</v>
      </c>
      <c r="AK231" s="21">
        <f t="shared" si="15"/>
        <v>0</v>
      </c>
    </row>
    <row r="232" spans="34:37">
      <c r="AH232" s="20">
        <f t="shared" si="12"/>
        <v>0</v>
      </c>
      <c r="AI232" s="20">
        <f t="shared" si="13"/>
        <v>0</v>
      </c>
      <c r="AJ232" s="21">
        <f t="shared" si="14"/>
        <v>0</v>
      </c>
      <c r="AK232" s="21">
        <f t="shared" si="15"/>
        <v>0</v>
      </c>
    </row>
    <row r="233" spans="34:37">
      <c r="AH233" s="20">
        <f t="shared" si="12"/>
        <v>0</v>
      </c>
      <c r="AI233" s="20">
        <f t="shared" si="13"/>
        <v>0</v>
      </c>
      <c r="AJ233" s="21">
        <f t="shared" si="14"/>
        <v>0</v>
      </c>
      <c r="AK233" s="21">
        <f t="shared" si="15"/>
        <v>0</v>
      </c>
    </row>
    <row r="234" spans="34:37">
      <c r="AH234" s="20">
        <f t="shared" si="12"/>
        <v>0</v>
      </c>
      <c r="AI234" s="20">
        <f t="shared" si="13"/>
        <v>0</v>
      </c>
      <c r="AJ234" s="21">
        <f t="shared" si="14"/>
        <v>0</v>
      </c>
      <c r="AK234" s="21">
        <f t="shared" si="15"/>
        <v>0</v>
      </c>
    </row>
    <row r="235" spans="34:37">
      <c r="AH235" s="20">
        <f t="shared" si="12"/>
        <v>0</v>
      </c>
      <c r="AI235" s="20">
        <f t="shared" si="13"/>
        <v>0</v>
      </c>
      <c r="AJ235" s="21">
        <f t="shared" si="14"/>
        <v>0</v>
      </c>
      <c r="AK235" s="21">
        <f t="shared" si="15"/>
        <v>0</v>
      </c>
    </row>
    <row r="236" spans="34:37">
      <c r="AH236" s="20">
        <f t="shared" si="12"/>
        <v>0</v>
      </c>
      <c r="AI236" s="20">
        <f t="shared" si="13"/>
        <v>0</v>
      </c>
      <c r="AJ236" s="21">
        <f t="shared" si="14"/>
        <v>0</v>
      </c>
      <c r="AK236" s="21">
        <f t="shared" si="15"/>
        <v>0</v>
      </c>
    </row>
    <row r="237" spans="34:37">
      <c r="AH237" s="20">
        <f t="shared" si="12"/>
        <v>0</v>
      </c>
      <c r="AI237" s="20">
        <f t="shared" si="13"/>
        <v>0</v>
      </c>
      <c r="AJ237" s="21">
        <f t="shared" si="14"/>
        <v>0</v>
      </c>
      <c r="AK237" s="21">
        <f t="shared" si="15"/>
        <v>0</v>
      </c>
    </row>
    <row r="238" spans="34:37">
      <c r="AH238" s="20">
        <f t="shared" si="12"/>
        <v>0</v>
      </c>
      <c r="AI238" s="20">
        <f t="shared" si="13"/>
        <v>0</v>
      </c>
      <c r="AJ238" s="21">
        <f t="shared" si="14"/>
        <v>0</v>
      </c>
      <c r="AK238" s="21">
        <f t="shared" si="15"/>
        <v>0</v>
      </c>
    </row>
    <row r="239" spans="34:37">
      <c r="AH239" s="20">
        <f t="shared" si="12"/>
        <v>0</v>
      </c>
      <c r="AI239" s="20">
        <f t="shared" si="13"/>
        <v>0</v>
      </c>
      <c r="AJ239" s="21">
        <f t="shared" si="14"/>
        <v>0</v>
      </c>
      <c r="AK239" s="21">
        <f t="shared" si="15"/>
        <v>0</v>
      </c>
    </row>
    <row r="240" spans="34:37">
      <c r="AH240" s="20">
        <f t="shared" si="12"/>
        <v>0</v>
      </c>
      <c r="AI240" s="20">
        <f t="shared" si="13"/>
        <v>0</v>
      </c>
      <c r="AJ240" s="21">
        <f t="shared" si="14"/>
        <v>0</v>
      </c>
      <c r="AK240" s="21">
        <f t="shared" si="15"/>
        <v>0</v>
      </c>
    </row>
    <row r="241" spans="34:37">
      <c r="AH241" s="20">
        <f t="shared" si="12"/>
        <v>0</v>
      </c>
      <c r="AI241" s="20">
        <f t="shared" si="13"/>
        <v>0</v>
      </c>
      <c r="AJ241" s="21">
        <f t="shared" si="14"/>
        <v>0</v>
      </c>
      <c r="AK241" s="21">
        <f t="shared" si="15"/>
        <v>0</v>
      </c>
    </row>
    <row r="242" spans="34:37">
      <c r="AH242" s="20">
        <f t="shared" si="12"/>
        <v>0</v>
      </c>
      <c r="AI242" s="20">
        <f t="shared" si="13"/>
        <v>0</v>
      </c>
      <c r="AJ242" s="21">
        <f t="shared" si="14"/>
        <v>0</v>
      </c>
      <c r="AK242" s="21">
        <f t="shared" si="15"/>
        <v>0</v>
      </c>
    </row>
    <row r="243" spans="34:37">
      <c r="AH243" s="20">
        <f t="shared" si="12"/>
        <v>0</v>
      </c>
      <c r="AI243" s="20">
        <f t="shared" si="13"/>
        <v>0</v>
      </c>
      <c r="AJ243" s="21">
        <f t="shared" si="14"/>
        <v>0</v>
      </c>
      <c r="AK243" s="21">
        <f t="shared" si="15"/>
        <v>0</v>
      </c>
    </row>
    <row r="244" spans="34:37">
      <c r="AH244" s="20">
        <f t="shared" si="12"/>
        <v>0</v>
      </c>
      <c r="AI244" s="20">
        <f t="shared" si="13"/>
        <v>0</v>
      </c>
      <c r="AJ244" s="21">
        <f t="shared" si="14"/>
        <v>0</v>
      </c>
      <c r="AK244" s="21">
        <f t="shared" si="15"/>
        <v>0</v>
      </c>
    </row>
    <row r="245" spans="34:37">
      <c r="AH245" s="20">
        <f t="shared" si="12"/>
        <v>0</v>
      </c>
      <c r="AI245" s="20">
        <f t="shared" si="13"/>
        <v>0</v>
      </c>
      <c r="AJ245" s="21">
        <f t="shared" si="14"/>
        <v>0</v>
      </c>
      <c r="AK245" s="21">
        <f t="shared" si="15"/>
        <v>0</v>
      </c>
    </row>
    <row r="246" spans="34:37">
      <c r="AH246" s="20">
        <f t="shared" si="12"/>
        <v>0</v>
      </c>
      <c r="AI246" s="20">
        <f t="shared" si="13"/>
        <v>0</v>
      </c>
      <c r="AJ246" s="21">
        <f t="shared" si="14"/>
        <v>0</v>
      </c>
      <c r="AK246" s="21">
        <f t="shared" si="15"/>
        <v>0</v>
      </c>
    </row>
    <row r="247" spans="34:37">
      <c r="AH247" s="20">
        <f t="shared" si="12"/>
        <v>0</v>
      </c>
      <c r="AI247" s="20">
        <f t="shared" si="13"/>
        <v>0</v>
      </c>
      <c r="AJ247" s="21">
        <f t="shared" si="14"/>
        <v>0</v>
      </c>
      <c r="AK247" s="21">
        <f t="shared" si="15"/>
        <v>0</v>
      </c>
    </row>
    <row r="248" spans="34:37">
      <c r="AH248" s="20">
        <f t="shared" si="12"/>
        <v>0</v>
      </c>
      <c r="AI248" s="20">
        <f t="shared" si="13"/>
        <v>0</v>
      </c>
      <c r="AJ248" s="21">
        <f t="shared" si="14"/>
        <v>0</v>
      </c>
      <c r="AK248" s="21">
        <f t="shared" si="15"/>
        <v>0</v>
      </c>
    </row>
    <row r="249" spans="34:37">
      <c r="AH249" s="20">
        <f t="shared" si="12"/>
        <v>0</v>
      </c>
      <c r="AI249" s="20">
        <f t="shared" si="13"/>
        <v>0</v>
      </c>
      <c r="AJ249" s="21">
        <f t="shared" si="14"/>
        <v>0</v>
      </c>
      <c r="AK249" s="21">
        <f t="shared" si="15"/>
        <v>0</v>
      </c>
    </row>
    <row r="250" spans="34:37">
      <c r="AH250" s="20">
        <f t="shared" si="12"/>
        <v>0</v>
      </c>
      <c r="AI250" s="20">
        <f t="shared" si="13"/>
        <v>0</v>
      </c>
      <c r="AJ250" s="21">
        <f t="shared" si="14"/>
        <v>0</v>
      </c>
      <c r="AK250" s="21">
        <f t="shared" si="15"/>
        <v>0</v>
      </c>
    </row>
    <row r="251" spans="34:37">
      <c r="AH251" s="20">
        <f t="shared" si="12"/>
        <v>0</v>
      </c>
      <c r="AI251" s="20">
        <f t="shared" si="13"/>
        <v>0</v>
      </c>
      <c r="AJ251" s="21">
        <f t="shared" si="14"/>
        <v>0</v>
      </c>
      <c r="AK251" s="21">
        <f t="shared" si="15"/>
        <v>0</v>
      </c>
    </row>
    <row r="252" spans="34:37">
      <c r="AH252" s="20">
        <f t="shared" si="12"/>
        <v>0</v>
      </c>
      <c r="AI252" s="20">
        <f t="shared" si="13"/>
        <v>0</v>
      </c>
      <c r="AJ252" s="21">
        <f t="shared" si="14"/>
        <v>0</v>
      </c>
      <c r="AK252" s="21">
        <f t="shared" si="15"/>
        <v>0</v>
      </c>
    </row>
    <row r="253" spans="34:37">
      <c r="AH253" s="20">
        <f t="shared" si="12"/>
        <v>0</v>
      </c>
      <c r="AI253" s="20">
        <f t="shared" si="13"/>
        <v>0</v>
      </c>
      <c r="AJ253" s="21">
        <f t="shared" si="14"/>
        <v>0</v>
      </c>
      <c r="AK253" s="21">
        <f t="shared" si="15"/>
        <v>0</v>
      </c>
    </row>
    <row r="254" spans="34:37">
      <c r="AH254" s="20">
        <f t="shared" si="12"/>
        <v>0</v>
      </c>
      <c r="AI254" s="20">
        <f t="shared" si="13"/>
        <v>0</v>
      </c>
      <c r="AJ254" s="21">
        <f t="shared" si="14"/>
        <v>0</v>
      </c>
      <c r="AK254" s="21">
        <f t="shared" si="15"/>
        <v>0</v>
      </c>
    </row>
    <row r="255" spans="34:37">
      <c r="AH255" s="20">
        <f t="shared" si="12"/>
        <v>0</v>
      </c>
      <c r="AI255" s="20">
        <f t="shared" si="13"/>
        <v>0</v>
      </c>
      <c r="AJ255" s="21">
        <f t="shared" si="14"/>
        <v>0</v>
      </c>
      <c r="AK255" s="21">
        <f t="shared" si="15"/>
        <v>0</v>
      </c>
    </row>
    <row r="256" spans="34:37">
      <c r="AH256" s="20">
        <f t="shared" si="12"/>
        <v>0</v>
      </c>
      <c r="AI256" s="20">
        <f t="shared" si="13"/>
        <v>0</v>
      </c>
      <c r="AJ256" s="21">
        <f t="shared" si="14"/>
        <v>0</v>
      </c>
      <c r="AK256" s="21">
        <f t="shared" si="15"/>
        <v>0</v>
      </c>
    </row>
    <row r="257" spans="34:37">
      <c r="AH257" s="20">
        <f t="shared" si="12"/>
        <v>0</v>
      </c>
      <c r="AI257" s="20">
        <f t="shared" si="13"/>
        <v>0</v>
      </c>
      <c r="AJ257" s="21">
        <f t="shared" si="14"/>
        <v>0</v>
      </c>
      <c r="AK257" s="21">
        <f t="shared" si="15"/>
        <v>0</v>
      </c>
    </row>
    <row r="258" spans="34:37">
      <c r="AH258" s="20">
        <f t="shared" si="12"/>
        <v>0</v>
      </c>
      <c r="AI258" s="20">
        <f t="shared" si="13"/>
        <v>0</v>
      </c>
      <c r="AJ258" s="21">
        <f t="shared" si="14"/>
        <v>0</v>
      </c>
      <c r="AK258" s="21">
        <f t="shared" si="15"/>
        <v>0</v>
      </c>
    </row>
    <row r="259" spans="34:37">
      <c r="AH259" s="20">
        <f t="shared" ref="AH259:AH322" si="16">IF($B259="oui",IF($R259="R",IF($Q259&gt;30,1,0),0),0)</f>
        <v>0</v>
      </c>
      <c r="AI259" s="20">
        <f t="shared" ref="AI259:AI322" si="17">IF($B259="oui",IF($R259="AR",IF($Q259&gt;30,1,0),0),0)</f>
        <v>0</v>
      </c>
      <c r="AJ259" s="21">
        <f t="shared" ref="AJ259:AJ322" si="18">IF($B259="oui",IF($R259="EC",1,0),0)</f>
        <v>0</v>
      </c>
      <c r="AK259" s="21">
        <f t="shared" ref="AK259:AK322" si="19">IF(M259&lt;&gt;"",IF(ISBLANK(P259),1,0),0)</f>
        <v>0</v>
      </c>
    </row>
    <row r="260" spans="34:37">
      <c r="AH260" s="20">
        <f t="shared" si="16"/>
        <v>0</v>
      </c>
      <c r="AI260" s="20">
        <f t="shared" si="17"/>
        <v>0</v>
      </c>
      <c r="AJ260" s="21">
        <f t="shared" si="18"/>
        <v>0</v>
      </c>
      <c r="AK260" s="21">
        <f t="shared" si="19"/>
        <v>0</v>
      </c>
    </row>
    <row r="261" spans="34:37">
      <c r="AH261" s="20">
        <f t="shared" si="16"/>
        <v>0</v>
      </c>
      <c r="AI261" s="20">
        <f t="shared" si="17"/>
        <v>0</v>
      </c>
      <c r="AJ261" s="21">
        <f t="shared" si="18"/>
        <v>0</v>
      </c>
      <c r="AK261" s="21">
        <f t="shared" si="19"/>
        <v>0</v>
      </c>
    </row>
    <row r="262" spans="34:37">
      <c r="AH262" s="20">
        <f t="shared" si="16"/>
        <v>0</v>
      </c>
      <c r="AI262" s="20">
        <f t="shared" si="17"/>
        <v>0</v>
      </c>
      <c r="AJ262" s="21">
        <f t="shared" si="18"/>
        <v>0</v>
      </c>
      <c r="AK262" s="21">
        <f t="shared" si="19"/>
        <v>0</v>
      </c>
    </row>
    <row r="263" spans="34:37">
      <c r="AH263" s="20">
        <f t="shared" si="16"/>
        <v>0</v>
      </c>
      <c r="AI263" s="20">
        <f t="shared" si="17"/>
        <v>0</v>
      </c>
      <c r="AJ263" s="21">
        <f t="shared" si="18"/>
        <v>0</v>
      </c>
      <c r="AK263" s="21">
        <f t="shared" si="19"/>
        <v>0</v>
      </c>
    </row>
    <row r="264" spans="34:37">
      <c r="AH264" s="20">
        <f t="shared" si="16"/>
        <v>0</v>
      </c>
      <c r="AI264" s="20">
        <f t="shared" si="17"/>
        <v>0</v>
      </c>
      <c r="AJ264" s="21">
        <f t="shared" si="18"/>
        <v>0</v>
      </c>
      <c r="AK264" s="21">
        <f t="shared" si="19"/>
        <v>0</v>
      </c>
    </row>
    <row r="265" spans="34:37">
      <c r="AH265" s="20">
        <f t="shared" si="16"/>
        <v>0</v>
      </c>
      <c r="AI265" s="20">
        <f t="shared" si="17"/>
        <v>0</v>
      </c>
      <c r="AJ265" s="21">
        <f t="shared" si="18"/>
        <v>0</v>
      </c>
      <c r="AK265" s="21">
        <f t="shared" si="19"/>
        <v>0</v>
      </c>
    </row>
    <row r="266" spans="34:37">
      <c r="AH266" s="20">
        <f t="shared" si="16"/>
        <v>0</v>
      </c>
      <c r="AI266" s="20">
        <f t="shared" si="17"/>
        <v>0</v>
      </c>
      <c r="AJ266" s="21">
        <f t="shared" si="18"/>
        <v>0</v>
      </c>
      <c r="AK266" s="21">
        <f t="shared" si="19"/>
        <v>0</v>
      </c>
    </row>
    <row r="267" spans="34:37">
      <c r="AH267" s="20">
        <f t="shared" si="16"/>
        <v>0</v>
      </c>
      <c r="AI267" s="20">
        <f t="shared" si="17"/>
        <v>0</v>
      </c>
      <c r="AJ267" s="21">
        <f t="shared" si="18"/>
        <v>0</v>
      </c>
      <c r="AK267" s="21">
        <f t="shared" si="19"/>
        <v>0</v>
      </c>
    </row>
    <row r="268" spans="34:37">
      <c r="AH268" s="20">
        <f t="shared" si="16"/>
        <v>0</v>
      </c>
      <c r="AI268" s="20">
        <f t="shared" si="17"/>
        <v>0</v>
      </c>
      <c r="AJ268" s="21">
        <f t="shared" si="18"/>
        <v>0</v>
      </c>
      <c r="AK268" s="21">
        <f t="shared" si="19"/>
        <v>0</v>
      </c>
    </row>
    <row r="269" spans="34:37">
      <c r="AH269" s="20">
        <f t="shared" si="16"/>
        <v>0</v>
      </c>
      <c r="AI269" s="20">
        <f t="shared" si="17"/>
        <v>0</v>
      </c>
      <c r="AJ269" s="21">
        <f t="shared" si="18"/>
        <v>0</v>
      </c>
      <c r="AK269" s="21">
        <f t="shared" si="19"/>
        <v>0</v>
      </c>
    </row>
    <row r="270" spans="34:37">
      <c r="AH270" s="20">
        <f t="shared" si="16"/>
        <v>0</v>
      </c>
      <c r="AI270" s="20">
        <f t="shared" si="17"/>
        <v>0</v>
      </c>
      <c r="AJ270" s="21">
        <f t="shared" si="18"/>
        <v>0</v>
      </c>
      <c r="AK270" s="21">
        <f t="shared" si="19"/>
        <v>0</v>
      </c>
    </row>
    <row r="271" spans="34:37">
      <c r="AH271" s="20">
        <f t="shared" si="16"/>
        <v>0</v>
      </c>
      <c r="AI271" s="20">
        <f t="shared" si="17"/>
        <v>0</v>
      </c>
      <c r="AJ271" s="21">
        <f t="shared" si="18"/>
        <v>0</v>
      </c>
      <c r="AK271" s="21">
        <f t="shared" si="19"/>
        <v>0</v>
      </c>
    </row>
    <row r="272" spans="34:37">
      <c r="AH272" s="20">
        <f t="shared" si="16"/>
        <v>0</v>
      </c>
      <c r="AI272" s="20">
        <f t="shared" si="17"/>
        <v>0</v>
      </c>
      <c r="AJ272" s="21">
        <f t="shared" si="18"/>
        <v>0</v>
      </c>
      <c r="AK272" s="21">
        <f t="shared" si="19"/>
        <v>0</v>
      </c>
    </row>
    <row r="273" spans="34:37">
      <c r="AH273" s="20">
        <f t="shared" si="16"/>
        <v>0</v>
      </c>
      <c r="AI273" s="20">
        <f t="shared" si="17"/>
        <v>0</v>
      </c>
      <c r="AJ273" s="21">
        <f t="shared" si="18"/>
        <v>0</v>
      </c>
      <c r="AK273" s="21">
        <f t="shared" si="19"/>
        <v>0</v>
      </c>
    </row>
    <row r="274" spans="34:37">
      <c r="AH274" s="20">
        <f t="shared" si="16"/>
        <v>0</v>
      </c>
      <c r="AI274" s="20">
        <f t="shared" si="17"/>
        <v>0</v>
      </c>
      <c r="AJ274" s="21">
        <f t="shared" si="18"/>
        <v>0</v>
      </c>
      <c r="AK274" s="21">
        <f t="shared" si="19"/>
        <v>0</v>
      </c>
    </row>
    <row r="275" spans="34:37">
      <c r="AH275" s="20">
        <f t="shared" si="16"/>
        <v>0</v>
      </c>
      <c r="AI275" s="20">
        <f t="shared" si="17"/>
        <v>0</v>
      </c>
      <c r="AJ275" s="21">
        <f t="shared" si="18"/>
        <v>0</v>
      </c>
      <c r="AK275" s="21">
        <f t="shared" si="19"/>
        <v>0</v>
      </c>
    </row>
    <row r="276" spans="34:37">
      <c r="AH276" s="20">
        <f t="shared" si="16"/>
        <v>0</v>
      </c>
      <c r="AI276" s="20">
        <f t="shared" si="17"/>
        <v>0</v>
      </c>
      <c r="AJ276" s="21">
        <f t="shared" si="18"/>
        <v>0</v>
      </c>
      <c r="AK276" s="21">
        <f t="shared" si="19"/>
        <v>0</v>
      </c>
    </row>
    <row r="277" spans="34:37">
      <c r="AH277" s="20">
        <f t="shared" si="16"/>
        <v>0</v>
      </c>
      <c r="AI277" s="20">
        <f t="shared" si="17"/>
        <v>0</v>
      </c>
      <c r="AJ277" s="21">
        <f t="shared" si="18"/>
        <v>0</v>
      </c>
      <c r="AK277" s="21">
        <f t="shared" si="19"/>
        <v>0</v>
      </c>
    </row>
    <row r="278" spans="34:37">
      <c r="AH278" s="20">
        <f t="shared" si="16"/>
        <v>0</v>
      </c>
      <c r="AI278" s="20">
        <f t="shared" si="17"/>
        <v>0</v>
      </c>
      <c r="AJ278" s="21">
        <f t="shared" si="18"/>
        <v>0</v>
      </c>
      <c r="AK278" s="21">
        <f t="shared" si="19"/>
        <v>0</v>
      </c>
    </row>
    <row r="279" spans="34:37">
      <c r="AH279" s="20">
        <f t="shared" si="16"/>
        <v>0</v>
      </c>
      <c r="AI279" s="20">
        <f t="shared" si="17"/>
        <v>0</v>
      </c>
      <c r="AJ279" s="21">
        <f t="shared" si="18"/>
        <v>0</v>
      </c>
      <c r="AK279" s="21">
        <f t="shared" si="19"/>
        <v>0</v>
      </c>
    </row>
    <row r="280" spans="34:37">
      <c r="AH280" s="20">
        <f t="shared" si="16"/>
        <v>0</v>
      </c>
      <c r="AI280" s="20">
        <f t="shared" si="17"/>
        <v>0</v>
      </c>
      <c r="AJ280" s="21">
        <f t="shared" si="18"/>
        <v>0</v>
      </c>
      <c r="AK280" s="21">
        <f t="shared" si="19"/>
        <v>0</v>
      </c>
    </row>
    <row r="281" spans="34:37">
      <c r="AH281" s="20">
        <f t="shared" si="16"/>
        <v>0</v>
      </c>
      <c r="AI281" s="20">
        <f t="shared" si="17"/>
        <v>0</v>
      </c>
      <c r="AJ281" s="21">
        <f t="shared" si="18"/>
        <v>0</v>
      </c>
      <c r="AK281" s="21">
        <f t="shared" si="19"/>
        <v>0</v>
      </c>
    </row>
    <row r="282" spans="34:37">
      <c r="AH282" s="20">
        <f t="shared" si="16"/>
        <v>0</v>
      </c>
      <c r="AI282" s="20">
        <f t="shared" si="17"/>
        <v>0</v>
      </c>
      <c r="AJ282" s="21">
        <f t="shared" si="18"/>
        <v>0</v>
      </c>
      <c r="AK282" s="21">
        <f t="shared" si="19"/>
        <v>0</v>
      </c>
    </row>
    <row r="283" spans="34:37">
      <c r="AH283" s="20">
        <f t="shared" si="16"/>
        <v>0</v>
      </c>
      <c r="AI283" s="20">
        <f t="shared" si="17"/>
        <v>0</v>
      </c>
      <c r="AJ283" s="21">
        <f t="shared" si="18"/>
        <v>0</v>
      </c>
      <c r="AK283" s="21">
        <f t="shared" si="19"/>
        <v>0</v>
      </c>
    </row>
    <row r="284" spans="34:37">
      <c r="AH284" s="20">
        <f t="shared" si="16"/>
        <v>0</v>
      </c>
      <c r="AI284" s="20">
        <f t="shared" si="17"/>
        <v>0</v>
      </c>
      <c r="AJ284" s="21">
        <f t="shared" si="18"/>
        <v>0</v>
      </c>
      <c r="AK284" s="21">
        <f t="shared" si="19"/>
        <v>0</v>
      </c>
    </row>
    <row r="285" spans="34:37">
      <c r="AH285" s="20">
        <f t="shared" si="16"/>
        <v>0</v>
      </c>
      <c r="AI285" s="20">
        <f t="shared" si="17"/>
        <v>0</v>
      </c>
      <c r="AJ285" s="21">
        <f t="shared" si="18"/>
        <v>0</v>
      </c>
      <c r="AK285" s="21">
        <f t="shared" si="19"/>
        <v>0</v>
      </c>
    </row>
    <row r="286" spans="34:37">
      <c r="AH286" s="20">
        <f t="shared" si="16"/>
        <v>0</v>
      </c>
      <c r="AI286" s="20">
        <f t="shared" si="17"/>
        <v>0</v>
      </c>
      <c r="AJ286" s="21">
        <f t="shared" si="18"/>
        <v>0</v>
      </c>
      <c r="AK286" s="21">
        <f t="shared" si="19"/>
        <v>0</v>
      </c>
    </row>
    <row r="287" spans="34:37">
      <c r="AH287" s="20">
        <f t="shared" si="16"/>
        <v>0</v>
      </c>
      <c r="AI287" s="20">
        <f t="shared" si="17"/>
        <v>0</v>
      </c>
      <c r="AJ287" s="21">
        <f t="shared" si="18"/>
        <v>0</v>
      </c>
      <c r="AK287" s="21">
        <f t="shared" si="19"/>
        <v>0</v>
      </c>
    </row>
    <row r="288" spans="34:37">
      <c r="AH288" s="20">
        <f t="shared" si="16"/>
        <v>0</v>
      </c>
      <c r="AI288" s="20">
        <f t="shared" si="17"/>
        <v>0</v>
      </c>
      <c r="AJ288" s="21">
        <f t="shared" si="18"/>
        <v>0</v>
      </c>
      <c r="AK288" s="21">
        <f t="shared" si="19"/>
        <v>0</v>
      </c>
    </row>
    <row r="289" spans="34:37">
      <c r="AH289" s="20">
        <f t="shared" si="16"/>
        <v>0</v>
      </c>
      <c r="AI289" s="20">
        <f t="shared" si="17"/>
        <v>0</v>
      </c>
      <c r="AJ289" s="21">
        <f t="shared" si="18"/>
        <v>0</v>
      </c>
      <c r="AK289" s="21">
        <f t="shared" si="19"/>
        <v>0</v>
      </c>
    </row>
    <row r="290" spans="34:37">
      <c r="AH290" s="20">
        <f t="shared" si="16"/>
        <v>0</v>
      </c>
      <c r="AI290" s="20">
        <f t="shared" si="17"/>
        <v>0</v>
      </c>
      <c r="AJ290" s="21">
        <f t="shared" si="18"/>
        <v>0</v>
      </c>
      <c r="AK290" s="21">
        <f t="shared" si="19"/>
        <v>0</v>
      </c>
    </row>
    <row r="291" spans="34:37">
      <c r="AH291" s="20">
        <f t="shared" si="16"/>
        <v>0</v>
      </c>
      <c r="AI291" s="20">
        <f t="shared" si="17"/>
        <v>0</v>
      </c>
      <c r="AJ291" s="21">
        <f t="shared" si="18"/>
        <v>0</v>
      </c>
      <c r="AK291" s="21">
        <f t="shared" si="19"/>
        <v>0</v>
      </c>
    </row>
    <row r="292" spans="34:37">
      <c r="AH292" s="20">
        <f t="shared" si="16"/>
        <v>0</v>
      </c>
      <c r="AI292" s="20">
        <f t="shared" si="17"/>
        <v>0</v>
      </c>
      <c r="AJ292" s="21">
        <f t="shared" si="18"/>
        <v>0</v>
      </c>
      <c r="AK292" s="21">
        <f t="shared" si="19"/>
        <v>0</v>
      </c>
    </row>
    <row r="293" spans="34:37">
      <c r="AH293" s="20">
        <f t="shared" si="16"/>
        <v>0</v>
      </c>
      <c r="AI293" s="20">
        <f t="shared" si="17"/>
        <v>0</v>
      </c>
      <c r="AJ293" s="21">
        <f t="shared" si="18"/>
        <v>0</v>
      </c>
      <c r="AK293" s="21">
        <f t="shared" si="19"/>
        <v>0</v>
      </c>
    </row>
    <row r="294" spans="34:37">
      <c r="AH294" s="20">
        <f t="shared" si="16"/>
        <v>0</v>
      </c>
      <c r="AI294" s="20">
        <f t="shared" si="17"/>
        <v>0</v>
      </c>
      <c r="AJ294" s="21">
        <f t="shared" si="18"/>
        <v>0</v>
      </c>
      <c r="AK294" s="21">
        <f t="shared" si="19"/>
        <v>0</v>
      </c>
    </row>
    <row r="295" spans="34:37">
      <c r="AH295" s="20">
        <f t="shared" si="16"/>
        <v>0</v>
      </c>
      <c r="AI295" s="20">
        <f t="shared" si="17"/>
        <v>0</v>
      </c>
      <c r="AJ295" s="21">
        <f t="shared" si="18"/>
        <v>0</v>
      </c>
      <c r="AK295" s="21">
        <f t="shared" si="19"/>
        <v>0</v>
      </c>
    </row>
    <row r="296" spans="34:37">
      <c r="AH296" s="20">
        <f t="shared" si="16"/>
        <v>0</v>
      </c>
      <c r="AI296" s="20">
        <f t="shared" si="17"/>
        <v>0</v>
      </c>
      <c r="AJ296" s="21">
        <f t="shared" si="18"/>
        <v>0</v>
      </c>
      <c r="AK296" s="21">
        <f t="shared" si="19"/>
        <v>0</v>
      </c>
    </row>
    <row r="297" spans="34:37">
      <c r="AH297" s="20">
        <f t="shared" si="16"/>
        <v>0</v>
      </c>
      <c r="AI297" s="20">
        <f t="shared" si="17"/>
        <v>0</v>
      </c>
      <c r="AJ297" s="21">
        <f t="shared" si="18"/>
        <v>0</v>
      </c>
      <c r="AK297" s="21">
        <f t="shared" si="19"/>
        <v>0</v>
      </c>
    </row>
    <row r="298" spans="34:37">
      <c r="AH298" s="20">
        <f t="shared" si="16"/>
        <v>0</v>
      </c>
      <c r="AI298" s="20">
        <f t="shared" si="17"/>
        <v>0</v>
      </c>
      <c r="AJ298" s="21">
        <f t="shared" si="18"/>
        <v>0</v>
      </c>
      <c r="AK298" s="21">
        <f t="shared" si="19"/>
        <v>0</v>
      </c>
    </row>
    <row r="299" spans="34:37">
      <c r="AH299" s="20">
        <f t="shared" si="16"/>
        <v>0</v>
      </c>
      <c r="AI299" s="20">
        <f t="shared" si="17"/>
        <v>0</v>
      </c>
      <c r="AJ299" s="21">
        <f t="shared" si="18"/>
        <v>0</v>
      </c>
      <c r="AK299" s="21">
        <f t="shared" si="19"/>
        <v>0</v>
      </c>
    </row>
    <row r="300" spans="34:37">
      <c r="AH300" s="20">
        <f t="shared" si="16"/>
        <v>0</v>
      </c>
      <c r="AI300" s="20">
        <f t="shared" si="17"/>
        <v>0</v>
      </c>
      <c r="AJ300" s="21">
        <f t="shared" si="18"/>
        <v>0</v>
      </c>
      <c r="AK300" s="21">
        <f t="shared" si="19"/>
        <v>0</v>
      </c>
    </row>
    <row r="301" spans="34:37">
      <c r="AH301" s="20">
        <f t="shared" si="16"/>
        <v>0</v>
      </c>
      <c r="AI301" s="20">
        <f t="shared" si="17"/>
        <v>0</v>
      </c>
      <c r="AJ301" s="21">
        <f t="shared" si="18"/>
        <v>0</v>
      </c>
      <c r="AK301" s="21">
        <f t="shared" si="19"/>
        <v>0</v>
      </c>
    </row>
    <row r="302" spans="34:37">
      <c r="AH302" s="20">
        <f t="shared" si="16"/>
        <v>0</v>
      </c>
      <c r="AI302" s="20">
        <f t="shared" si="17"/>
        <v>0</v>
      </c>
      <c r="AJ302" s="21">
        <f t="shared" si="18"/>
        <v>0</v>
      </c>
      <c r="AK302" s="21">
        <f t="shared" si="19"/>
        <v>0</v>
      </c>
    </row>
    <row r="303" spans="34:37">
      <c r="AH303" s="20">
        <f t="shared" si="16"/>
        <v>0</v>
      </c>
      <c r="AI303" s="20">
        <f t="shared" si="17"/>
        <v>0</v>
      </c>
      <c r="AJ303" s="21">
        <f t="shared" si="18"/>
        <v>0</v>
      </c>
      <c r="AK303" s="21">
        <f t="shared" si="19"/>
        <v>0</v>
      </c>
    </row>
    <row r="304" spans="34:37">
      <c r="AH304" s="20">
        <f t="shared" si="16"/>
        <v>0</v>
      </c>
      <c r="AI304" s="20">
        <f t="shared" si="17"/>
        <v>0</v>
      </c>
      <c r="AJ304" s="21">
        <f t="shared" si="18"/>
        <v>0</v>
      </c>
      <c r="AK304" s="21">
        <f t="shared" si="19"/>
        <v>0</v>
      </c>
    </row>
    <row r="305" spans="34:37">
      <c r="AH305" s="20">
        <f t="shared" si="16"/>
        <v>0</v>
      </c>
      <c r="AI305" s="20">
        <f t="shared" si="17"/>
        <v>0</v>
      </c>
      <c r="AJ305" s="21">
        <f t="shared" si="18"/>
        <v>0</v>
      </c>
      <c r="AK305" s="21">
        <f t="shared" si="19"/>
        <v>0</v>
      </c>
    </row>
    <row r="306" spans="34:37">
      <c r="AH306" s="20">
        <f t="shared" si="16"/>
        <v>0</v>
      </c>
      <c r="AI306" s="20">
        <f t="shared" si="17"/>
        <v>0</v>
      </c>
      <c r="AJ306" s="21">
        <f t="shared" si="18"/>
        <v>0</v>
      </c>
      <c r="AK306" s="21">
        <f t="shared" si="19"/>
        <v>0</v>
      </c>
    </row>
    <row r="307" spans="34:37">
      <c r="AH307" s="20">
        <f t="shared" si="16"/>
        <v>0</v>
      </c>
      <c r="AI307" s="20">
        <f t="shared" si="17"/>
        <v>0</v>
      </c>
      <c r="AJ307" s="21">
        <f t="shared" si="18"/>
        <v>0</v>
      </c>
      <c r="AK307" s="21">
        <f t="shared" si="19"/>
        <v>0</v>
      </c>
    </row>
    <row r="308" spans="34:37">
      <c r="AH308" s="20">
        <f t="shared" si="16"/>
        <v>0</v>
      </c>
      <c r="AI308" s="20">
        <f t="shared" si="17"/>
        <v>0</v>
      </c>
      <c r="AJ308" s="21">
        <f t="shared" si="18"/>
        <v>0</v>
      </c>
      <c r="AK308" s="21">
        <f t="shared" si="19"/>
        <v>0</v>
      </c>
    </row>
    <row r="309" spans="34:37">
      <c r="AH309" s="20">
        <f t="shared" si="16"/>
        <v>0</v>
      </c>
      <c r="AI309" s="20">
        <f t="shared" si="17"/>
        <v>0</v>
      </c>
      <c r="AJ309" s="21">
        <f t="shared" si="18"/>
        <v>0</v>
      </c>
      <c r="AK309" s="21">
        <f t="shared" si="19"/>
        <v>0</v>
      </c>
    </row>
    <row r="310" spans="34:37">
      <c r="AH310" s="20">
        <f t="shared" si="16"/>
        <v>0</v>
      </c>
      <c r="AI310" s="20">
        <f t="shared" si="17"/>
        <v>0</v>
      </c>
      <c r="AJ310" s="21">
        <f t="shared" si="18"/>
        <v>0</v>
      </c>
      <c r="AK310" s="21">
        <f t="shared" si="19"/>
        <v>0</v>
      </c>
    </row>
    <row r="311" spans="34:37">
      <c r="AH311" s="20">
        <f t="shared" si="16"/>
        <v>0</v>
      </c>
      <c r="AI311" s="20">
        <f t="shared" si="17"/>
        <v>0</v>
      </c>
      <c r="AJ311" s="21">
        <f t="shared" si="18"/>
        <v>0</v>
      </c>
      <c r="AK311" s="21">
        <f t="shared" si="19"/>
        <v>0</v>
      </c>
    </row>
    <row r="312" spans="34:37">
      <c r="AH312" s="20">
        <f t="shared" si="16"/>
        <v>0</v>
      </c>
      <c r="AI312" s="20">
        <f t="shared" si="17"/>
        <v>0</v>
      </c>
      <c r="AJ312" s="21">
        <f t="shared" si="18"/>
        <v>0</v>
      </c>
      <c r="AK312" s="21">
        <f t="shared" si="19"/>
        <v>0</v>
      </c>
    </row>
    <row r="313" spans="34:37">
      <c r="AH313" s="20">
        <f t="shared" si="16"/>
        <v>0</v>
      </c>
      <c r="AI313" s="20">
        <f t="shared" si="17"/>
        <v>0</v>
      </c>
      <c r="AJ313" s="21">
        <f t="shared" si="18"/>
        <v>0</v>
      </c>
      <c r="AK313" s="21">
        <f t="shared" si="19"/>
        <v>0</v>
      </c>
    </row>
    <row r="314" spans="34:37">
      <c r="AH314" s="20">
        <f t="shared" si="16"/>
        <v>0</v>
      </c>
      <c r="AI314" s="20">
        <f t="shared" si="17"/>
        <v>0</v>
      </c>
      <c r="AJ314" s="21">
        <f t="shared" si="18"/>
        <v>0</v>
      </c>
      <c r="AK314" s="21">
        <f t="shared" si="19"/>
        <v>0</v>
      </c>
    </row>
    <row r="315" spans="34:37">
      <c r="AH315" s="20">
        <f t="shared" si="16"/>
        <v>0</v>
      </c>
      <c r="AI315" s="20">
        <f t="shared" si="17"/>
        <v>0</v>
      </c>
      <c r="AJ315" s="21">
        <f t="shared" si="18"/>
        <v>0</v>
      </c>
      <c r="AK315" s="21">
        <f t="shared" si="19"/>
        <v>0</v>
      </c>
    </row>
    <row r="316" spans="34:37">
      <c r="AH316" s="20">
        <f t="shared" si="16"/>
        <v>0</v>
      </c>
      <c r="AI316" s="20">
        <f t="shared" si="17"/>
        <v>0</v>
      </c>
      <c r="AJ316" s="21">
        <f t="shared" si="18"/>
        <v>0</v>
      </c>
      <c r="AK316" s="21">
        <f t="shared" si="19"/>
        <v>0</v>
      </c>
    </row>
    <row r="317" spans="34:37">
      <c r="AH317" s="20">
        <f t="shared" si="16"/>
        <v>0</v>
      </c>
      <c r="AI317" s="20">
        <f t="shared" si="17"/>
        <v>0</v>
      </c>
      <c r="AJ317" s="21">
        <f t="shared" si="18"/>
        <v>0</v>
      </c>
      <c r="AK317" s="21">
        <f t="shared" si="19"/>
        <v>0</v>
      </c>
    </row>
    <row r="318" spans="34:37">
      <c r="AH318" s="20">
        <f t="shared" si="16"/>
        <v>0</v>
      </c>
      <c r="AI318" s="20">
        <f t="shared" si="17"/>
        <v>0</v>
      </c>
      <c r="AJ318" s="21">
        <f t="shared" si="18"/>
        <v>0</v>
      </c>
      <c r="AK318" s="21">
        <f t="shared" si="19"/>
        <v>0</v>
      </c>
    </row>
    <row r="319" spans="34:37">
      <c r="AH319" s="20">
        <f t="shared" si="16"/>
        <v>0</v>
      </c>
      <c r="AI319" s="20">
        <f t="shared" si="17"/>
        <v>0</v>
      </c>
      <c r="AJ319" s="21">
        <f t="shared" si="18"/>
        <v>0</v>
      </c>
      <c r="AK319" s="21">
        <f t="shared" si="19"/>
        <v>0</v>
      </c>
    </row>
    <row r="320" spans="34:37">
      <c r="AH320" s="20">
        <f t="shared" si="16"/>
        <v>0</v>
      </c>
      <c r="AI320" s="20">
        <f t="shared" si="17"/>
        <v>0</v>
      </c>
      <c r="AJ320" s="21">
        <f t="shared" si="18"/>
        <v>0</v>
      </c>
      <c r="AK320" s="21">
        <f t="shared" si="19"/>
        <v>0</v>
      </c>
    </row>
    <row r="321" spans="34:37">
      <c r="AH321" s="20">
        <f t="shared" si="16"/>
        <v>0</v>
      </c>
      <c r="AI321" s="20">
        <f t="shared" si="17"/>
        <v>0</v>
      </c>
      <c r="AJ321" s="21">
        <f t="shared" si="18"/>
        <v>0</v>
      </c>
      <c r="AK321" s="21">
        <f t="shared" si="19"/>
        <v>0</v>
      </c>
    </row>
    <row r="322" spans="34:37">
      <c r="AH322" s="20">
        <f t="shared" si="16"/>
        <v>0</v>
      </c>
      <c r="AI322" s="20">
        <f t="shared" si="17"/>
        <v>0</v>
      </c>
      <c r="AJ322" s="21">
        <f t="shared" si="18"/>
        <v>0</v>
      </c>
      <c r="AK322" s="21">
        <f t="shared" si="19"/>
        <v>0</v>
      </c>
    </row>
    <row r="323" spans="34:37">
      <c r="AH323" s="20">
        <f t="shared" ref="AH323:AH386" si="20">IF($B323="oui",IF($R323="R",IF($Q323&gt;30,1,0),0),0)</f>
        <v>0</v>
      </c>
      <c r="AI323" s="20">
        <f t="shared" ref="AI323:AI386" si="21">IF($B323="oui",IF($R323="AR",IF($Q323&gt;30,1,0),0),0)</f>
        <v>0</v>
      </c>
      <c r="AJ323" s="21">
        <f t="shared" ref="AJ323:AJ386" si="22">IF($B323="oui",IF($R323="EC",1,0),0)</f>
        <v>0</v>
      </c>
      <c r="AK323" s="21">
        <f t="shared" ref="AK323:AK386" si="23">IF(M323&lt;&gt;"",IF(ISBLANK(P323),1,0),0)</f>
        <v>0</v>
      </c>
    </row>
    <row r="324" spans="34:37">
      <c r="AH324" s="20">
        <f t="shared" si="20"/>
        <v>0</v>
      </c>
      <c r="AI324" s="20">
        <f t="shared" si="21"/>
        <v>0</v>
      </c>
      <c r="AJ324" s="21">
        <f t="shared" si="22"/>
        <v>0</v>
      </c>
      <c r="AK324" s="21">
        <f t="shared" si="23"/>
        <v>0</v>
      </c>
    </row>
    <row r="325" spans="34:37">
      <c r="AH325" s="20">
        <f t="shared" si="20"/>
        <v>0</v>
      </c>
      <c r="AI325" s="20">
        <f t="shared" si="21"/>
        <v>0</v>
      </c>
      <c r="AJ325" s="21">
        <f t="shared" si="22"/>
        <v>0</v>
      </c>
      <c r="AK325" s="21">
        <f t="shared" si="23"/>
        <v>0</v>
      </c>
    </row>
    <row r="326" spans="34:37">
      <c r="AH326" s="20">
        <f t="shared" si="20"/>
        <v>0</v>
      </c>
      <c r="AI326" s="20">
        <f t="shared" si="21"/>
        <v>0</v>
      </c>
      <c r="AJ326" s="21">
        <f t="shared" si="22"/>
        <v>0</v>
      </c>
      <c r="AK326" s="21">
        <f t="shared" si="23"/>
        <v>0</v>
      </c>
    </row>
    <row r="327" spans="34:37">
      <c r="AH327" s="20">
        <f t="shared" si="20"/>
        <v>0</v>
      </c>
      <c r="AI327" s="20">
        <f t="shared" si="21"/>
        <v>0</v>
      </c>
      <c r="AJ327" s="21">
        <f t="shared" si="22"/>
        <v>0</v>
      </c>
      <c r="AK327" s="21">
        <f t="shared" si="23"/>
        <v>0</v>
      </c>
    </row>
    <row r="328" spans="34:37">
      <c r="AH328" s="20">
        <f t="shared" si="20"/>
        <v>0</v>
      </c>
      <c r="AI328" s="20">
        <f t="shared" si="21"/>
        <v>0</v>
      </c>
      <c r="AJ328" s="21">
        <f t="shared" si="22"/>
        <v>0</v>
      </c>
      <c r="AK328" s="21">
        <f t="shared" si="23"/>
        <v>0</v>
      </c>
    </row>
    <row r="329" spans="34:37">
      <c r="AH329" s="20">
        <f t="shared" si="20"/>
        <v>0</v>
      </c>
      <c r="AI329" s="20">
        <f t="shared" si="21"/>
        <v>0</v>
      </c>
      <c r="AJ329" s="21">
        <f t="shared" si="22"/>
        <v>0</v>
      </c>
      <c r="AK329" s="21">
        <f t="shared" si="23"/>
        <v>0</v>
      </c>
    </row>
    <row r="330" spans="34:37">
      <c r="AH330" s="20">
        <f t="shared" si="20"/>
        <v>0</v>
      </c>
      <c r="AI330" s="20">
        <f t="shared" si="21"/>
        <v>0</v>
      </c>
      <c r="AJ330" s="21">
        <f t="shared" si="22"/>
        <v>0</v>
      </c>
      <c r="AK330" s="21">
        <f t="shared" si="23"/>
        <v>0</v>
      </c>
    </row>
    <row r="331" spans="34:37">
      <c r="AH331" s="20">
        <f t="shared" si="20"/>
        <v>0</v>
      </c>
      <c r="AI331" s="20">
        <f t="shared" si="21"/>
        <v>0</v>
      </c>
      <c r="AJ331" s="21">
        <f t="shared" si="22"/>
        <v>0</v>
      </c>
      <c r="AK331" s="21">
        <f t="shared" si="23"/>
        <v>0</v>
      </c>
    </row>
    <row r="332" spans="34:37">
      <c r="AH332" s="20">
        <f t="shared" si="20"/>
        <v>0</v>
      </c>
      <c r="AI332" s="20">
        <f t="shared" si="21"/>
        <v>0</v>
      </c>
      <c r="AJ332" s="21">
        <f t="shared" si="22"/>
        <v>0</v>
      </c>
      <c r="AK332" s="21">
        <f t="shared" si="23"/>
        <v>0</v>
      </c>
    </row>
    <row r="333" spans="34:37">
      <c r="AH333" s="20">
        <f t="shared" si="20"/>
        <v>0</v>
      </c>
      <c r="AI333" s="20">
        <f t="shared" si="21"/>
        <v>0</v>
      </c>
      <c r="AJ333" s="21">
        <f t="shared" si="22"/>
        <v>0</v>
      </c>
      <c r="AK333" s="21">
        <f t="shared" si="23"/>
        <v>0</v>
      </c>
    </row>
    <row r="334" spans="34:37">
      <c r="AH334" s="20">
        <f t="shared" si="20"/>
        <v>0</v>
      </c>
      <c r="AI334" s="20">
        <f t="shared" si="21"/>
        <v>0</v>
      </c>
      <c r="AJ334" s="21">
        <f t="shared" si="22"/>
        <v>0</v>
      </c>
      <c r="AK334" s="21">
        <f t="shared" si="23"/>
        <v>0</v>
      </c>
    </row>
    <row r="335" spans="34:37">
      <c r="AH335" s="20">
        <f t="shared" si="20"/>
        <v>0</v>
      </c>
      <c r="AI335" s="20">
        <f t="shared" si="21"/>
        <v>0</v>
      </c>
      <c r="AJ335" s="21">
        <f t="shared" si="22"/>
        <v>0</v>
      </c>
      <c r="AK335" s="21">
        <f t="shared" si="23"/>
        <v>0</v>
      </c>
    </row>
    <row r="336" spans="34:37">
      <c r="AH336" s="20">
        <f t="shared" si="20"/>
        <v>0</v>
      </c>
      <c r="AI336" s="20">
        <f t="shared" si="21"/>
        <v>0</v>
      </c>
      <c r="AJ336" s="21">
        <f t="shared" si="22"/>
        <v>0</v>
      </c>
      <c r="AK336" s="21">
        <f t="shared" si="23"/>
        <v>0</v>
      </c>
    </row>
    <row r="337" spans="34:37">
      <c r="AH337" s="20">
        <f t="shared" si="20"/>
        <v>0</v>
      </c>
      <c r="AI337" s="20">
        <f t="shared" si="21"/>
        <v>0</v>
      </c>
      <c r="AJ337" s="21">
        <f t="shared" si="22"/>
        <v>0</v>
      </c>
      <c r="AK337" s="21">
        <f t="shared" si="23"/>
        <v>0</v>
      </c>
    </row>
    <row r="338" spans="34:37">
      <c r="AH338" s="20">
        <f t="shared" si="20"/>
        <v>0</v>
      </c>
      <c r="AI338" s="20">
        <f t="shared" si="21"/>
        <v>0</v>
      </c>
      <c r="AJ338" s="21">
        <f t="shared" si="22"/>
        <v>0</v>
      </c>
      <c r="AK338" s="21">
        <f t="shared" si="23"/>
        <v>0</v>
      </c>
    </row>
    <row r="339" spans="34:37">
      <c r="AH339" s="20">
        <f t="shared" si="20"/>
        <v>0</v>
      </c>
      <c r="AI339" s="20">
        <f t="shared" si="21"/>
        <v>0</v>
      </c>
      <c r="AJ339" s="21">
        <f t="shared" si="22"/>
        <v>0</v>
      </c>
      <c r="AK339" s="21">
        <f t="shared" si="23"/>
        <v>0</v>
      </c>
    </row>
    <row r="340" spans="34:37">
      <c r="AH340" s="20">
        <f t="shared" si="20"/>
        <v>0</v>
      </c>
      <c r="AI340" s="20">
        <f t="shared" si="21"/>
        <v>0</v>
      </c>
      <c r="AJ340" s="21">
        <f t="shared" si="22"/>
        <v>0</v>
      </c>
      <c r="AK340" s="21">
        <f t="shared" si="23"/>
        <v>0</v>
      </c>
    </row>
    <row r="341" spans="34:37">
      <c r="AH341" s="20">
        <f t="shared" si="20"/>
        <v>0</v>
      </c>
      <c r="AI341" s="20">
        <f t="shared" si="21"/>
        <v>0</v>
      </c>
      <c r="AJ341" s="21">
        <f t="shared" si="22"/>
        <v>0</v>
      </c>
      <c r="AK341" s="21">
        <f t="shared" si="23"/>
        <v>0</v>
      </c>
    </row>
    <row r="342" spans="34:37">
      <c r="AH342" s="20">
        <f t="shared" si="20"/>
        <v>0</v>
      </c>
      <c r="AI342" s="20">
        <f t="shared" si="21"/>
        <v>0</v>
      </c>
      <c r="AJ342" s="21">
        <f t="shared" si="22"/>
        <v>0</v>
      </c>
      <c r="AK342" s="21">
        <f t="shared" si="23"/>
        <v>0</v>
      </c>
    </row>
    <row r="343" spans="34:37">
      <c r="AH343" s="20">
        <f t="shared" si="20"/>
        <v>0</v>
      </c>
      <c r="AI343" s="20">
        <f t="shared" si="21"/>
        <v>0</v>
      </c>
      <c r="AJ343" s="21">
        <f t="shared" si="22"/>
        <v>0</v>
      </c>
      <c r="AK343" s="21">
        <f t="shared" si="23"/>
        <v>0</v>
      </c>
    </row>
    <row r="344" spans="34:37">
      <c r="AH344" s="20">
        <f t="shared" si="20"/>
        <v>0</v>
      </c>
      <c r="AI344" s="20">
        <f t="shared" si="21"/>
        <v>0</v>
      </c>
      <c r="AJ344" s="21">
        <f t="shared" si="22"/>
        <v>0</v>
      </c>
      <c r="AK344" s="21">
        <f t="shared" si="23"/>
        <v>0</v>
      </c>
    </row>
    <row r="345" spans="34:37">
      <c r="AH345" s="20">
        <f t="shared" si="20"/>
        <v>0</v>
      </c>
      <c r="AI345" s="20">
        <f t="shared" si="21"/>
        <v>0</v>
      </c>
      <c r="AJ345" s="21">
        <f t="shared" si="22"/>
        <v>0</v>
      </c>
      <c r="AK345" s="21">
        <f t="shared" si="23"/>
        <v>0</v>
      </c>
    </row>
    <row r="346" spans="34:37">
      <c r="AH346" s="20">
        <f t="shared" si="20"/>
        <v>0</v>
      </c>
      <c r="AI346" s="20">
        <f t="shared" si="21"/>
        <v>0</v>
      </c>
      <c r="AJ346" s="21">
        <f t="shared" si="22"/>
        <v>0</v>
      </c>
      <c r="AK346" s="21">
        <f t="shared" si="23"/>
        <v>0</v>
      </c>
    </row>
    <row r="347" spans="34:37">
      <c r="AH347" s="20">
        <f t="shared" si="20"/>
        <v>0</v>
      </c>
      <c r="AI347" s="20">
        <f t="shared" si="21"/>
        <v>0</v>
      </c>
      <c r="AJ347" s="21">
        <f t="shared" si="22"/>
        <v>0</v>
      </c>
      <c r="AK347" s="21">
        <f t="shared" si="23"/>
        <v>0</v>
      </c>
    </row>
    <row r="348" spans="34:37">
      <c r="AH348" s="20">
        <f t="shared" si="20"/>
        <v>0</v>
      </c>
      <c r="AI348" s="20">
        <f t="shared" si="21"/>
        <v>0</v>
      </c>
      <c r="AJ348" s="21">
        <f t="shared" si="22"/>
        <v>0</v>
      </c>
      <c r="AK348" s="21">
        <f t="shared" si="23"/>
        <v>0</v>
      </c>
    </row>
    <row r="349" spans="34:37">
      <c r="AH349" s="20">
        <f t="shared" si="20"/>
        <v>0</v>
      </c>
      <c r="AI349" s="20">
        <f t="shared" si="21"/>
        <v>0</v>
      </c>
      <c r="AJ349" s="21">
        <f t="shared" si="22"/>
        <v>0</v>
      </c>
      <c r="AK349" s="21">
        <f t="shared" si="23"/>
        <v>0</v>
      </c>
    </row>
    <row r="350" spans="34:37">
      <c r="AH350" s="20">
        <f t="shared" si="20"/>
        <v>0</v>
      </c>
      <c r="AI350" s="20">
        <f t="shared" si="21"/>
        <v>0</v>
      </c>
      <c r="AJ350" s="21">
        <f t="shared" si="22"/>
        <v>0</v>
      </c>
      <c r="AK350" s="21">
        <f t="shared" si="23"/>
        <v>0</v>
      </c>
    </row>
    <row r="351" spans="34:37">
      <c r="AH351" s="20">
        <f t="shared" si="20"/>
        <v>0</v>
      </c>
      <c r="AI351" s="20">
        <f t="shared" si="21"/>
        <v>0</v>
      </c>
      <c r="AJ351" s="21">
        <f t="shared" si="22"/>
        <v>0</v>
      </c>
      <c r="AK351" s="21">
        <f t="shared" si="23"/>
        <v>0</v>
      </c>
    </row>
    <row r="352" spans="34:37">
      <c r="AH352" s="20">
        <f t="shared" si="20"/>
        <v>0</v>
      </c>
      <c r="AI352" s="20">
        <f t="shared" si="21"/>
        <v>0</v>
      </c>
      <c r="AJ352" s="21">
        <f t="shared" si="22"/>
        <v>0</v>
      </c>
      <c r="AK352" s="21">
        <f t="shared" si="23"/>
        <v>0</v>
      </c>
    </row>
    <row r="353" spans="34:37">
      <c r="AH353" s="20">
        <f t="shared" si="20"/>
        <v>0</v>
      </c>
      <c r="AI353" s="20">
        <f t="shared" si="21"/>
        <v>0</v>
      </c>
      <c r="AJ353" s="21">
        <f t="shared" si="22"/>
        <v>0</v>
      </c>
      <c r="AK353" s="21">
        <f t="shared" si="23"/>
        <v>0</v>
      </c>
    </row>
    <row r="354" spans="34:37">
      <c r="AH354" s="20">
        <f t="shared" si="20"/>
        <v>0</v>
      </c>
      <c r="AI354" s="20">
        <f t="shared" si="21"/>
        <v>0</v>
      </c>
      <c r="AJ354" s="21">
        <f t="shared" si="22"/>
        <v>0</v>
      </c>
      <c r="AK354" s="21">
        <f t="shared" si="23"/>
        <v>0</v>
      </c>
    </row>
    <row r="355" spans="34:37">
      <c r="AH355" s="20">
        <f t="shared" si="20"/>
        <v>0</v>
      </c>
      <c r="AI355" s="20">
        <f t="shared" si="21"/>
        <v>0</v>
      </c>
      <c r="AJ355" s="21">
        <f t="shared" si="22"/>
        <v>0</v>
      </c>
      <c r="AK355" s="21">
        <f t="shared" si="23"/>
        <v>0</v>
      </c>
    </row>
    <row r="356" spans="34:37">
      <c r="AH356" s="20">
        <f t="shared" si="20"/>
        <v>0</v>
      </c>
      <c r="AI356" s="20">
        <f t="shared" si="21"/>
        <v>0</v>
      </c>
      <c r="AJ356" s="21">
        <f t="shared" si="22"/>
        <v>0</v>
      </c>
      <c r="AK356" s="21">
        <f t="shared" si="23"/>
        <v>0</v>
      </c>
    </row>
    <row r="357" spans="34:37">
      <c r="AH357" s="20">
        <f t="shared" si="20"/>
        <v>0</v>
      </c>
      <c r="AI357" s="20">
        <f t="shared" si="21"/>
        <v>0</v>
      </c>
      <c r="AJ357" s="21">
        <f t="shared" si="22"/>
        <v>0</v>
      </c>
      <c r="AK357" s="21">
        <f t="shared" si="23"/>
        <v>0</v>
      </c>
    </row>
    <row r="358" spans="34:37">
      <c r="AH358" s="20">
        <f t="shared" si="20"/>
        <v>0</v>
      </c>
      <c r="AI358" s="20">
        <f t="shared" si="21"/>
        <v>0</v>
      </c>
      <c r="AJ358" s="21">
        <f t="shared" si="22"/>
        <v>0</v>
      </c>
      <c r="AK358" s="21">
        <f t="shared" si="23"/>
        <v>0</v>
      </c>
    </row>
    <row r="359" spans="34:37">
      <c r="AH359" s="20">
        <f t="shared" si="20"/>
        <v>0</v>
      </c>
      <c r="AI359" s="20">
        <f t="shared" si="21"/>
        <v>0</v>
      </c>
      <c r="AJ359" s="21">
        <f t="shared" si="22"/>
        <v>0</v>
      </c>
      <c r="AK359" s="21">
        <f t="shared" si="23"/>
        <v>0</v>
      </c>
    </row>
    <row r="360" spans="34:37">
      <c r="AH360" s="20">
        <f t="shared" si="20"/>
        <v>0</v>
      </c>
      <c r="AI360" s="20">
        <f t="shared" si="21"/>
        <v>0</v>
      </c>
      <c r="AJ360" s="21">
        <f t="shared" si="22"/>
        <v>0</v>
      </c>
      <c r="AK360" s="21">
        <f t="shared" si="23"/>
        <v>0</v>
      </c>
    </row>
    <row r="361" spans="34:37">
      <c r="AH361" s="20">
        <f t="shared" si="20"/>
        <v>0</v>
      </c>
      <c r="AI361" s="20">
        <f t="shared" si="21"/>
        <v>0</v>
      </c>
      <c r="AJ361" s="21">
        <f t="shared" si="22"/>
        <v>0</v>
      </c>
      <c r="AK361" s="21">
        <f t="shared" si="23"/>
        <v>0</v>
      </c>
    </row>
    <row r="362" spans="34:37">
      <c r="AH362" s="20">
        <f t="shared" si="20"/>
        <v>0</v>
      </c>
      <c r="AI362" s="20">
        <f t="shared" si="21"/>
        <v>0</v>
      </c>
      <c r="AJ362" s="21">
        <f t="shared" si="22"/>
        <v>0</v>
      </c>
      <c r="AK362" s="21">
        <f t="shared" si="23"/>
        <v>0</v>
      </c>
    </row>
    <row r="363" spans="34:37">
      <c r="AH363" s="20">
        <f t="shared" si="20"/>
        <v>0</v>
      </c>
      <c r="AI363" s="20">
        <f t="shared" si="21"/>
        <v>0</v>
      </c>
      <c r="AJ363" s="21">
        <f t="shared" si="22"/>
        <v>0</v>
      </c>
      <c r="AK363" s="21">
        <f t="shared" si="23"/>
        <v>0</v>
      </c>
    </row>
    <row r="364" spans="34:37">
      <c r="AH364" s="20">
        <f t="shared" si="20"/>
        <v>0</v>
      </c>
      <c r="AI364" s="20">
        <f t="shared" si="21"/>
        <v>0</v>
      </c>
      <c r="AJ364" s="21">
        <f t="shared" si="22"/>
        <v>0</v>
      </c>
      <c r="AK364" s="21">
        <f t="shared" si="23"/>
        <v>0</v>
      </c>
    </row>
    <row r="365" spans="34:37">
      <c r="AH365" s="20">
        <f t="shared" si="20"/>
        <v>0</v>
      </c>
      <c r="AI365" s="20">
        <f t="shared" si="21"/>
        <v>0</v>
      </c>
      <c r="AJ365" s="21">
        <f t="shared" si="22"/>
        <v>0</v>
      </c>
      <c r="AK365" s="21">
        <f t="shared" si="23"/>
        <v>0</v>
      </c>
    </row>
    <row r="366" spans="34:37">
      <c r="AH366" s="20">
        <f t="shared" si="20"/>
        <v>0</v>
      </c>
      <c r="AI366" s="20">
        <f t="shared" si="21"/>
        <v>0</v>
      </c>
      <c r="AJ366" s="21">
        <f t="shared" si="22"/>
        <v>0</v>
      </c>
      <c r="AK366" s="21">
        <f t="shared" si="23"/>
        <v>0</v>
      </c>
    </row>
    <row r="367" spans="34:37">
      <c r="AH367" s="20">
        <f t="shared" si="20"/>
        <v>0</v>
      </c>
      <c r="AI367" s="20">
        <f t="shared" si="21"/>
        <v>0</v>
      </c>
      <c r="AJ367" s="21">
        <f t="shared" si="22"/>
        <v>0</v>
      </c>
      <c r="AK367" s="21">
        <f t="shared" si="23"/>
        <v>0</v>
      </c>
    </row>
    <row r="368" spans="34:37">
      <c r="AH368" s="20">
        <f t="shared" si="20"/>
        <v>0</v>
      </c>
      <c r="AI368" s="20">
        <f t="shared" si="21"/>
        <v>0</v>
      </c>
      <c r="AJ368" s="21">
        <f t="shared" si="22"/>
        <v>0</v>
      </c>
      <c r="AK368" s="21">
        <f t="shared" si="23"/>
        <v>0</v>
      </c>
    </row>
    <row r="369" spans="34:37">
      <c r="AH369" s="20">
        <f t="shared" si="20"/>
        <v>0</v>
      </c>
      <c r="AI369" s="20">
        <f t="shared" si="21"/>
        <v>0</v>
      </c>
      <c r="AJ369" s="21">
        <f t="shared" si="22"/>
        <v>0</v>
      </c>
      <c r="AK369" s="21">
        <f t="shared" si="23"/>
        <v>0</v>
      </c>
    </row>
    <row r="370" spans="34:37">
      <c r="AH370" s="20">
        <f t="shared" si="20"/>
        <v>0</v>
      </c>
      <c r="AI370" s="20">
        <f t="shared" si="21"/>
        <v>0</v>
      </c>
      <c r="AJ370" s="21">
        <f t="shared" si="22"/>
        <v>0</v>
      </c>
      <c r="AK370" s="21">
        <f t="shared" si="23"/>
        <v>0</v>
      </c>
    </row>
    <row r="371" spans="34:37">
      <c r="AH371" s="20">
        <f t="shared" si="20"/>
        <v>0</v>
      </c>
      <c r="AI371" s="20">
        <f t="shared" si="21"/>
        <v>0</v>
      </c>
      <c r="AJ371" s="21">
        <f t="shared" si="22"/>
        <v>0</v>
      </c>
      <c r="AK371" s="21">
        <f t="shared" si="23"/>
        <v>0</v>
      </c>
    </row>
    <row r="372" spans="34:37">
      <c r="AH372" s="20">
        <f t="shared" si="20"/>
        <v>0</v>
      </c>
      <c r="AI372" s="20">
        <f t="shared" si="21"/>
        <v>0</v>
      </c>
      <c r="AJ372" s="21">
        <f t="shared" si="22"/>
        <v>0</v>
      </c>
      <c r="AK372" s="21">
        <f t="shared" si="23"/>
        <v>0</v>
      </c>
    </row>
    <row r="373" spans="34:37">
      <c r="AH373" s="20">
        <f t="shared" si="20"/>
        <v>0</v>
      </c>
      <c r="AI373" s="20">
        <f t="shared" si="21"/>
        <v>0</v>
      </c>
      <c r="AJ373" s="21">
        <f t="shared" si="22"/>
        <v>0</v>
      </c>
      <c r="AK373" s="21">
        <f t="shared" si="23"/>
        <v>0</v>
      </c>
    </row>
    <row r="374" spans="34:37">
      <c r="AH374" s="20">
        <f t="shared" si="20"/>
        <v>0</v>
      </c>
      <c r="AI374" s="20">
        <f t="shared" si="21"/>
        <v>0</v>
      </c>
      <c r="AJ374" s="21">
        <f t="shared" si="22"/>
        <v>0</v>
      </c>
      <c r="AK374" s="21">
        <f t="shared" si="23"/>
        <v>0</v>
      </c>
    </row>
    <row r="375" spans="34:37">
      <c r="AH375" s="20">
        <f t="shared" si="20"/>
        <v>0</v>
      </c>
      <c r="AI375" s="20">
        <f t="shared" si="21"/>
        <v>0</v>
      </c>
      <c r="AJ375" s="21">
        <f t="shared" si="22"/>
        <v>0</v>
      </c>
      <c r="AK375" s="21">
        <f t="shared" si="23"/>
        <v>0</v>
      </c>
    </row>
    <row r="376" spans="34:37">
      <c r="AH376" s="20">
        <f t="shared" si="20"/>
        <v>0</v>
      </c>
      <c r="AI376" s="20">
        <f t="shared" si="21"/>
        <v>0</v>
      </c>
      <c r="AJ376" s="21">
        <f t="shared" si="22"/>
        <v>0</v>
      </c>
      <c r="AK376" s="21">
        <f t="shared" si="23"/>
        <v>0</v>
      </c>
    </row>
    <row r="377" spans="34:37">
      <c r="AH377" s="20">
        <f t="shared" si="20"/>
        <v>0</v>
      </c>
      <c r="AI377" s="20">
        <f t="shared" si="21"/>
        <v>0</v>
      </c>
      <c r="AJ377" s="21">
        <f t="shared" si="22"/>
        <v>0</v>
      </c>
      <c r="AK377" s="21">
        <f t="shared" si="23"/>
        <v>0</v>
      </c>
    </row>
    <row r="378" spans="34:37">
      <c r="AH378" s="20">
        <f t="shared" si="20"/>
        <v>0</v>
      </c>
      <c r="AI378" s="20">
        <f t="shared" si="21"/>
        <v>0</v>
      </c>
      <c r="AJ378" s="21">
        <f t="shared" si="22"/>
        <v>0</v>
      </c>
      <c r="AK378" s="21">
        <f t="shared" si="23"/>
        <v>0</v>
      </c>
    </row>
    <row r="379" spans="34:37">
      <c r="AH379" s="20">
        <f t="shared" si="20"/>
        <v>0</v>
      </c>
      <c r="AI379" s="20">
        <f t="shared" si="21"/>
        <v>0</v>
      </c>
      <c r="AJ379" s="21">
        <f t="shared" si="22"/>
        <v>0</v>
      </c>
      <c r="AK379" s="21">
        <f t="shared" si="23"/>
        <v>0</v>
      </c>
    </row>
    <row r="380" spans="34:37">
      <c r="AH380" s="20">
        <f t="shared" si="20"/>
        <v>0</v>
      </c>
      <c r="AI380" s="20">
        <f t="shared" si="21"/>
        <v>0</v>
      </c>
      <c r="AJ380" s="21">
        <f t="shared" si="22"/>
        <v>0</v>
      </c>
      <c r="AK380" s="21">
        <f t="shared" si="23"/>
        <v>0</v>
      </c>
    </row>
    <row r="381" spans="34:37">
      <c r="AH381" s="20">
        <f t="shared" si="20"/>
        <v>0</v>
      </c>
      <c r="AI381" s="20">
        <f t="shared" si="21"/>
        <v>0</v>
      </c>
      <c r="AJ381" s="21">
        <f t="shared" si="22"/>
        <v>0</v>
      </c>
      <c r="AK381" s="21">
        <f t="shared" si="23"/>
        <v>0</v>
      </c>
    </row>
    <row r="382" spans="34:37">
      <c r="AH382" s="20">
        <f t="shared" si="20"/>
        <v>0</v>
      </c>
      <c r="AI382" s="20">
        <f t="shared" si="21"/>
        <v>0</v>
      </c>
      <c r="AJ382" s="21">
        <f t="shared" si="22"/>
        <v>0</v>
      </c>
      <c r="AK382" s="21">
        <f t="shared" si="23"/>
        <v>0</v>
      </c>
    </row>
    <row r="383" spans="34:37">
      <c r="AH383" s="20">
        <f t="shared" si="20"/>
        <v>0</v>
      </c>
      <c r="AI383" s="20">
        <f t="shared" si="21"/>
        <v>0</v>
      </c>
      <c r="AJ383" s="21">
        <f t="shared" si="22"/>
        <v>0</v>
      </c>
      <c r="AK383" s="21">
        <f t="shared" si="23"/>
        <v>0</v>
      </c>
    </row>
    <row r="384" spans="34:37">
      <c r="AH384" s="20">
        <f t="shared" si="20"/>
        <v>0</v>
      </c>
      <c r="AI384" s="20">
        <f t="shared" si="21"/>
        <v>0</v>
      </c>
      <c r="AJ384" s="21">
        <f t="shared" si="22"/>
        <v>0</v>
      </c>
      <c r="AK384" s="21">
        <f t="shared" si="23"/>
        <v>0</v>
      </c>
    </row>
    <row r="385" spans="34:37">
      <c r="AH385" s="20">
        <f t="shared" si="20"/>
        <v>0</v>
      </c>
      <c r="AI385" s="20">
        <f t="shared" si="21"/>
        <v>0</v>
      </c>
      <c r="AJ385" s="21">
        <f t="shared" si="22"/>
        <v>0</v>
      </c>
      <c r="AK385" s="21">
        <f t="shared" si="23"/>
        <v>0</v>
      </c>
    </row>
    <row r="386" spans="34:37">
      <c r="AH386" s="20">
        <f t="shared" si="20"/>
        <v>0</v>
      </c>
      <c r="AI386" s="20">
        <f t="shared" si="21"/>
        <v>0</v>
      </c>
      <c r="AJ386" s="21">
        <f t="shared" si="22"/>
        <v>0</v>
      </c>
      <c r="AK386" s="21">
        <f t="shared" si="23"/>
        <v>0</v>
      </c>
    </row>
    <row r="387" spans="34:37">
      <c r="AH387" s="20">
        <f t="shared" ref="AH387:AH450" si="24">IF($B387="oui",IF($R387="R",IF($Q387&gt;30,1,0),0),0)</f>
        <v>0</v>
      </c>
      <c r="AI387" s="20">
        <f t="shared" ref="AI387:AI450" si="25">IF($B387="oui",IF($R387="AR",IF($Q387&gt;30,1,0),0),0)</f>
        <v>0</v>
      </c>
      <c r="AJ387" s="21">
        <f t="shared" ref="AJ387:AJ450" si="26">IF($B387="oui",IF($R387="EC",1,0),0)</f>
        <v>0</v>
      </c>
      <c r="AK387" s="21">
        <f t="shared" ref="AK387:AK450" si="27">IF(M387&lt;&gt;"",IF(ISBLANK(P387),1,0),0)</f>
        <v>0</v>
      </c>
    </row>
    <row r="388" spans="34:37">
      <c r="AH388" s="20">
        <f t="shared" si="24"/>
        <v>0</v>
      </c>
      <c r="AI388" s="20">
        <f t="shared" si="25"/>
        <v>0</v>
      </c>
      <c r="AJ388" s="21">
        <f t="shared" si="26"/>
        <v>0</v>
      </c>
      <c r="AK388" s="21">
        <f t="shared" si="27"/>
        <v>0</v>
      </c>
    </row>
    <row r="389" spans="34:37">
      <c r="AH389" s="20">
        <f t="shared" si="24"/>
        <v>0</v>
      </c>
      <c r="AI389" s="20">
        <f t="shared" si="25"/>
        <v>0</v>
      </c>
      <c r="AJ389" s="21">
        <f t="shared" si="26"/>
        <v>0</v>
      </c>
      <c r="AK389" s="21">
        <f t="shared" si="27"/>
        <v>0</v>
      </c>
    </row>
    <row r="390" spans="34:37">
      <c r="AH390" s="20">
        <f t="shared" si="24"/>
        <v>0</v>
      </c>
      <c r="AI390" s="20">
        <f t="shared" si="25"/>
        <v>0</v>
      </c>
      <c r="AJ390" s="21">
        <f t="shared" si="26"/>
        <v>0</v>
      </c>
      <c r="AK390" s="21">
        <f t="shared" si="27"/>
        <v>0</v>
      </c>
    </row>
    <row r="391" spans="34:37">
      <c r="AH391" s="20">
        <f t="shared" si="24"/>
        <v>0</v>
      </c>
      <c r="AI391" s="20">
        <f t="shared" si="25"/>
        <v>0</v>
      </c>
      <c r="AJ391" s="21">
        <f t="shared" si="26"/>
        <v>0</v>
      </c>
      <c r="AK391" s="21">
        <f t="shared" si="27"/>
        <v>0</v>
      </c>
    </row>
    <row r="392" spans="34:37">
      <c r="AH392" s="20">
        <f t="shared" si="24"/>
        <v>0</v>
      </c>
      <c r="AI392" s="20">
        <f t="shared" si="25"/>
        <v>0</v>
      </c>
      <c r="AJ392" s="21">
        <f t="shared" si="26"/>
        <v>0</v>
      </c>
      <c r="AK392" s="21">
        <f t="shared" si="27"/>
        <v>0</v>
      </c>
    </row>
    <row r="393" spans="34:37">
      <c r="AH393" s="20">
        <f t="shared" si="24"/>
        <v>0</v>
      </c>
      <c r="AI393" s="20">
        <f t="shared" si="25"/>
        <v>0</v>
      </c>
      <c r="AJ393" s="21">
        <f t="shared" si="26"/>
        <v>0</v>
      </c>
      <c r="AK393" s="21">
        <f t="shared" si="27"/>
        <v>0</v>
      </c>
    </row>
    <row r="394" spans="34:37">
      <c r="AH394" s="20">
        <f t="shared" si="24"/>
        <v>0</v>
      </c>
      <c r="AI394" s="20">
        <f t="shared" si="25"/>
        <v>0</v>
      </c>
      <c r="AJ394" s="21">
        <f t="shared" si="26"/>
        <v>0</v>
      </c>
      <c r="AK394" s="21">
        <f t="shared" si="27"/>
        <v>0</v>
      </c>
    </row>
    <row r="395" spans="34:37">
      <c r="AH395" s="20">
        <f t="shared" si="24"/>
        <v>0</v>
      </c>
      <c r="AI395" s="20">
        <f t="shared" si="25"/>
        <v>0</v>
      </c>
      <c r="AJ395" s="21">
        <f t="shared" si="26"/>
        <v>0</v>
      </c>
      <c r="AK395" s="21">
        <f t="shared" si="27"/>
        <v>0</v>
      </c>
    </row>
    <row r="396" spans="34:37">
      <c r="AH396" s="20">
        <f t="shared" si="24"/>
        <v>0</v>
      </c>
      <c r="AI396" s="20">
        <f t="shared" si="25"/>
        <v>0</v>
      </c>
      <c r="AJ396" s="21">
        <f t="shared" si="26"/>
        <v>0</v>
      </c>
      <c r="AK396" s="21">
        <f t="shared" si="27"/>
        <v>0</v>
      </c>
    </row>
    <row r="397" spans="34:37">
      <c r="AH397" s="20">
        <f t="shared" si="24"/>
        <v>0</v>
      </c>
      <c r="AI397" s="20">
        <f t="shared" si="25"/>
        <v>0</v>
      </c>
      <c r="AJ397" s="21">
        <f t="shared" si="26"/>
        <v>0</v>
      </c>
      <c r="AK397" s="21">
        <f t="shared" si="27"/>
        <v>0</v>
      </c>
    </row>
    <row r="398" spans="34:37">
      <c r="AH398" s="20">
        <f t="shared" si="24"/>
        <v>0</v>
      </c>
      <c r="AI398" s="20">
        <f t="shared" si="25"/>
        <v>0</v>
      </c>
      <c r="AJ398" s="21">
        <f t="shared" si="26"/>
        <v>0</v>
      </c>
      <c r="AK398" s="21">
        <f t="shared" si="27"/>
        <v>0</v>
      </c>
    </row>
    <row r="399" spans="34:37">
      <c r="AH399" s="20">
        <f t="shared" si="24"/>
        <v>0</v>
      </c>
      <c r="AI399" s="20">
        <f t="shared" si="25"/>
        <v>0</v>
      </c>
      <c r="AJ399" s="21">
        <f t="shared" si="26"/>
        <v>0</v>
      </c>
      <c r="AK399" s="21">
        <f t="shared" si="27"/>
        <v>0</v>
      </c>
    </row>
    <row r="400" spans="34:37">
      <c r="AH400" s="20">
        <f t="shared" si="24"/>
        <v>0</v>
      </c>
      <c r="AI400" s="20">
        <f t="shared" si="25"/>
        <v>0</v>
      </c>
      <c r="AJ400" s="21">
        <f t="shared" si="26"/>
        <v>0</v>
      </c>
      <c r="AK400" s="21">
        <f t="shared" si="27"/>
        <v>0</v>
      </c>
    </row>
    <row r="401" spans="34:37">
      <c r="AH401" s="20">
        <f t="shared" si="24"/>
        <v>0</v>
      </c>
      <c r="AI401" s="20">
        <f t="shared" si="25"/>
        <v>0</v>
      </c>
      <c r="AJ401" s="21">
        <f t="shared" si="26"/>
        <v>0</v>
      </c>
      <c r="AK401" s="21">
        <f t="shared" si="27"/>
        <v>0</v>
      </c>
    </row>
    <row r="402" spans="34:37">
      <c r="AH402" s="20">
        <f t="shared" si="24"/>
        <v>0</v>
      </c>
      <c r="AI402" s="20">
        <f t="shared" si="25"/>
        <v>0</v>
      </c>
      <c r="AJ402" s="21">
        <f t="shared" si="26"/>
        <v>0</v>
      </c>
      <c r="AK402" s="21">
        <f t="shared" si="27"/>
        <v>0</v>
      </c>
    </row>
    <row r="403" spans="34:37">
      <c r="AH403" s="20">
        <f t="shared" si="24"/>
        <v>0</v>
      </c>
      <c r="AI403" s="20">
        <f t="shared" si="25"/>
        <v>0</v>
      </c>
      <c r="AJ403" s="21">
        <f t="shared" si="26"/>
        <v>0</v>
      </c>
      <c r="AK403" s="21">
        <f t="shared" si="27"/>
        <v>0</v>
      </c>
    </row>
    <row r="404" spans="34:37">
      <c r="AH404" s="20">
        <f t="shared" si="24"/>
        <v>0</v>
      </c>
      <c r="AI404" s="20">
        <f t="shared" si="25"/>
        <v>0</v>
      </c>
      <c r="AJ404" s="21">
        <f t="shared" si="26"/>
        <v>0</v>
      </c>
      <c r="AK404" s="21">
        <f t="shared" si="27"/>
        <v>0</v>
      </c>
    </row>
    <row r="405" spans="34:37">
      <c r="AH405" s="20">
        <f t="shared" si="24"/>
        <v>0</v>
      </c>
      <c r="AI405" s="20">
        <f t="shared" si="25"/>
        <v>0</v>
      </c>
      <c r="AJ405" s="21">
        <f t="shared" si="26"/>
        <v>0</v>
      </c>
      <c r="AK405" s="21">
        <f t="shared" si="27"/>
        <v>0</v>
      </c>
    </row>
    <row r="406" spans="34:37">
      <c r="AH406" s="20">
        <f t="shared" si="24"/>
        <v>0</v>
      </c>
      <c r="AI406" s="20">
        <f t="shared" si="25"/>
        <v>0</v>
      </c>
      <c r="AJ406" s="21">
        <f t="shared" si="26"/>
        <v>0</v>
      </c>
      <c r="AK406" s="21">
        <f t="shared" si="27"/>
        <v>0</v>
      </c>
    </row>
    <row r="407" spans="34:37">
      <c r="AH407" s="20">
        <f t="shared" si="24"/>
        <v>0</v>
      </c>
      <c r="AI407" s="20">
        <f t="shared" si="25"/>
        <v>0</v>
      </c>
      <c r="AJ407" s="21">
        <f t="shared" si="26"/>
        <v>0</v>
      </c>
      <c r="AK407" s="21">
        <f t="shared" si="27"/>
        <v>0</v>
      </c>
    </row>
    <row r="408" spans="34:37">
      <c r="AH408" s="20">
        <f t="shared" si="24"/>
        <v>0</v>
      </c>
      <c r="AI408" s="20">
        <f t="shared" si="25"/>
        <v>0</v>
      </c>
      <c r="AJ408" s="21">
        <f t="shared" si="26"/>
        <v>0</v>
      </c>
      <c r="AK408" s="21">
        <f t="shared" si="27"/>
        <v>0</v>
      </c>
    </row>
    <row r="409" spans="34:37">
      <c r="AH409" s="20">
        <f t="shared" si="24"/>
        <v>0</v>
      </c>
      <c r="AI409" s="20">
        <f t="shared" si="25"/>
        <v>0</v>
      </c>
      <c r="AJ409" s="21">
        <f t="shared" si="26"/>
        <v>0</v>
      </c>
      <c r="AK409" s="21">
        <f t="shared" si="27"/>
        <v>0</v>
      </c>
    </row>
    <row r="410" spans="34:37">
      <c r="AH410" s="20">
        <f t="shared" si="24"/>
        <v>0</v>
      </c>
      <c r="AI410" s="20">
        <f t="shared" si="25"/>
        <v>0</v>
      </c>
      <c r="AJ410" s="21">
        <f t="shared" si="26"/>
        <v>0</v>
      </c>
      <c r="AK410" s="21">
        <f t="shared" si="27"/>
        <v>0</v>
      </c>
    </row>
    <row r="411" spans="34:37">
      <c r="AH411" s="20">
        <f t="shared" si="24"/>
        <v>0</v>
      </c>
      <c r="AI411" s="20">
        <f t="shared" si="25"/>
        <v>0</v>
      </c>
      <c r="AJ411" s="21">
        <f t="shared" si="26"/>
        <v>0</v>
      </c>
      <c r="AK411" s="21">
        <f t="shared" si="27"/>
        <v>0</v>
      </c>
    </row>
    <row r="412" spans="34:37">
      <c r="AH412" s="20">
        <f t="shared" si="24"/>
        <v>0</v>
      </c>
      <c r="AI412" s="20">
        <f t="shared" si="25"/>
        <v>0</v>
      </c>
      <c r="AJ412" s="21">
        <f t="shared" si="26"/>
        <v>0</v>
      </c>
      <c r="AK412" s="21">
        <f t="shared" si="27"/>
        <v>0</v>
      </c>
    </row>
    <row r="413" spans="34:37">
      <c r="AH413" s="20">
        <f t="shared" si="24"/>
        <v>0</v>
      </c>
      <c r="AI413" s="20">
        <f t="shared" si="25"/>
        <v>0</v>
      </c>
      <c r="AJ413" s="21">
        <f t="shared" si="26"/>
        <v>0</v>
      </c>
      <c r="AK413" s="21">
        <f t="shared" si="27"/>
        <v>0</v>
      </c>
    </row>
    <row r="414" spans="34:37">
      <c r="AH414" s="20">
        <f t="shared" si="24"/>
        <v>0</v>
      </c>
      <c r="AI414" s="20">
        <f t="shared" si="25"/>
        <v>0</v>
      </c>
      <c r="AJ414" s="21">
        <f t="shared" si="26"/>
        <v>0</v>
      </c>
      <c r="AK414" s="21">
        <f t="shared" si="27"/>
        <v>0</v>
      </c>
    </row>
    <row r="415" spans="34:37">
      <c r="AH415" s="20">
        <f t="shared" si="24"/>
        <v>0</v>
      </c>
      <c r="AI415" s="20">
        <f t="shared" si="25"/>
        <v>0</v>
      </c>
      <c r="AJ415" s="21">
        <f t="shared" si="26"/>
        <v>0</v>
      </c>
      <c r="AK415" s="21">
        <f t="shared" si="27"/>
        <v>0</v>
      </c>
    </row>
    <row r="416" spans="34:37">
      <c r="AH416" s="20">
        <f t="shared" si="24"/>
        <v>0</v>
      </c>
      <c r="AI416" s="20">
        <f t="shared" si="25"/>
        <v>0</v>
      </c>
      <c r="AJ416" s="21">
        <f t="shared" si="26"/>
        <v>0</v>
      </c>
      <c r="AK416" s="21">
        <f t="shared" si="27"/>
        <v>0</v>
      </c>
    </row>
    <row r="417" spans="34:37">
      <c r="AH417" s="20">
        <f t="shared" si="24"/>
        <v>0</v>
      </c>
      <c r="AI417" s="20">
        <f t="shared" si="25"/>
        <v>0</v>
      </c>
      <c r="AJ417" s="21">
        <f t="shared" si="26"/>
        <v>0</v>
      </c>
      <c r="AK417" s="21">
        <f t="shared" si="27"/>
        <v>0</v>
      </c>
    </row>
    <row r="418" spans="34:37">
      <c r="AH418" s="20">
        <f t="shared" si="24"/>
        <v>0</v>
      </c>
      <c r="AI418" s="20">
        <f t="shared" si="25"/>
        <v>0</v>
      </c>
      <c r="AJ418" s="21">
        <f t="shared" si="26"/>
        <v>0</v>
      </c>
      <c r="AK418" s="21">
        <f t="shared" si="27"/>
        <v>0</v>
      </c>
    </row>
    <row r="419" spans="34:37">
      <c r="AH419" s="20">
        <f t="shared" si="24"/>
        <v>0</v>
      </c>
      <c r="AI419" s="20">
        <f t="shared" si="25"/>
        <v>0</v>
      </c>
      <c r="AJ419" s="21">
        <f t="shared" si="26"/>
        <v>0</v>
      </c>
      <c r="AK419" s="21">
        <f t="shared" si="27"/>
        <v>0</v>
      </c>
    </row>
    <row r="420" spans="34:37">
      <c r="AH420" s="20">
        <f t="shared" si="24"/>
        <v>0</v>
      </c>
      <c r="AI420" s="20">
        <f t="shared" si="25"/>
        <v>0</v>
      </c>
      <c r="AJ420" s="21">
        <f t="shared" si="26"/>
        <v>0</v>
      </c>
      <c r="AK420" s="21">
        <f t="shared" si="27"/>
        <v>0</v>
      </c>
    </row>
    <row r="421" spans="34:37">
      <c r="AH421" s="20">
        <f t="shared" si="24"/>
        <v>0</v>
      </c>
      <c r="AI421" s="20">
        <f t="shared" si="25"/>
        <v>0</v>
      </c>
      <c r="AJ421" s="21">
        <f t="shared" si="26"/>
        <v>0</v>
      </c>
      <c r="AK421" s="21">
        <f t="shared" si="27"/>
        <v>0</v>
      </c>
    </row>
    <row r="422" spans="34:37">
      <c r="AH422" s="20">
        <f t="shared" si="24"/>
        <v>0</v>
      </c>
      <c r="AI422" s="20">
        <f t="shared" si="25"/>
        <v>0</v>
      </c>
      <c r="AJ422" s="21">
        <f t="shared" si="26"/>
        <v>0</v>
      </c>
      <c r="AK422" s="21">
        <f t="shared" si="27"/>
        <v>0</v>
      </c>
    </row>
    <row r="423" spans="34:37">
      <c r="AH423" s="20">
        <f t="shared" si="24"/>
        <v>0</v>
      </c>
      <c r="AI423" s="20">
        <f t="shared" si="25"/>
        <v>0</v>
      </c>
      <c r="AJ423" s="21">
        <f t="shared" si="26"/>
        <v>0</v>
      </c>
      <c r="AK423" s="21">
        <f t="shared" si="27"/>
        <v>0</v>
      </c>
    </row>
    <row r="424" spans="34:37">
      <c r="AH424" s="20">
        <f t="shared" si="24"/>
        <v>0</v>
      </c>
      <c r="AI424" s="20">
        <f t="shared" si="25"/>
        <v>0</v>
      </c>
      <c r="AJ424" s="21">
        <f t="shared" si="26"/>
        <v>0</v>
      </c>
      <c r="AK424" s="21">
        <f t="shared" si="27"/>
        <v>0</v>
      </c>
    </row>
    <row r="425" spans="34:37">
      <c r="AH425" s="20">
        <f t="shared" si="24"/>
        <v>0</v>
      </c>
      <c r="AI425" s="20">
        <f t="shared" si="25"/>
        <v>0</v>
      </c>
      <c r="AJ425" s="21">
        <f t="shared" si="26"/>
        <v>0</v>
      </c>
      <c r="AK425" s="21">
        <f t="shared" si="27"/>
        <v>0</v>
      </c>
    </row>
    <row r="426" spans="34:37">
      <c r="AH426" s="20">
        <f t="shared" si="24"/>
        <v>0</v>
      </c>
      <c r="AI426" s="20">
        <f t="shared" si="25"/>
        <v>0</v>
      </c>
      <c r="AJ426" s="21">
        <f t="shared" si="26"/>
        <v>0</v>
      </c>
      <c r="AK426" s="21">
        <f t="shared" si="27"/>
        <v>0</v>
      </c>
    </row>
    <row r="427" spans="34:37">
      <c r="AH427" s="20">
        <f t="shared" si="24"/>
        <v>0</v>
      </c>
      <c r="AI427" s="20">
        <f t="shared" si="25"/>
        <v>0</v>
      </c>
      <c r="AJ427" s="21">
        <f t="shared" si="26"/>
        <v>0</v>
      </c>
      <c r="AK427" s="21">
        <f t="shared" si="27"/>
        <v>0</v>
      </c>
    </row>
    <row r="428" spans="34:37">
      <c r="AH428" s="20">
        <f t="shared" si="24"/>
        <v>0</v>
      </c>
      <c r="AI428" s="20">
        <f t="shared" si="25"/>
        <v>0</v>
      </c>
      <c r="AJ428" s="21">
        <f t="shared" si="26"/>
        <v>0</v>
      </c>
      <c r="AK428" s="21">
        <f t="shared" si="27"/>
        <v>0</v>
      </c>
    </row>
    <row r="429" spans="34:37">
      <c r="AH429" s="20">
        <f t="shared" si="24"/>
        <v>0</v>
      </c>
      <c r="AI429" s="20">
        <f t="shared" si="25"/>
        <v>0</v>
      </c>
      <c r="AJ429" s="21">
        <f t="shared" si="26"/>
        <v>0</v>
      </c>
      <c r="AK429" s="21">
        <f t="shared" si="27"/>
        <v>0</v>
      </c>
    </row>
    <row r="430" spans="34:37">
      <c r="AH430" s="20">
        <f t="shared" si="24"/>
        <v>0</v>
      </c>
      <c r="AI430" s="20">
        <f t="shared" si="25"/>
        <v>0</v>
      </c>
      <c r="AJ430" s="21">
        <f t="shared" si="26"/>
        <v>0</v>
      </c>
      <c r="AK430" s="21">
        <f t="shared" si="27"/>
        <v>0</v>
      </c>
    </row>
    <row r="431" spans="34:37">
      <c r="AH431" s="20">
        <f t="shared" si="24"/>
        <v>0</v>
      </c>
      <c r="AI431" s="20">
        <f t="shared" si="25"/>
        <v>0</v>
      </c>
      <c r="AJ431" s="21">
        <f t="shared" si="26"/>
        <v>0</v>
      </c>
      <c r="AK431" s="21">
        <f t="shared" si="27"/>
        <v>0</v>
      </c>
    </row>
    <row r="432" spans="34:37">
      <c r="AH432" s="20">
        <f t="shared" si="24"/>
        <v>0</v>
      </c>
      <c r="AI432" s="20">
        <f t="shared" si="25"/>
        <v>0</v>
      </c>
      <c r="AJ432" s="21">
        <f t="shared" si="26"/>
        <v>0</v>
      </c>
      <c r="AK432" s="21">
        <f t="shared" si="27"/>
        <v>0</v>
      </c>
    </row>
    <row r="433" spans="34:37">
      <c r="AH433" s="20">
        <f t="shared" si="24"/>
        <v>0</v>
      </c>
      <c r="AI433" s="20">
        <f t="shared" si="25"/>
        <v>0</v>
      </c>
      <c r="AJ433" s="21">
        <f t="shared" si="26"/>
        <v>0</v>
      </c>
      <c r="AK433" s="21">
        <f t="shared" si="27"/>
        <v>0</v>
      </c>
    </row>
    <row r="434" spans="34:37">
      <c r="AH434" s="20">
        <f t="shared" si="24"/>
        <v>0</v>
      </c>
      <c r="AI434" s="20">
        <f t="shared" si="25"/>
        <v>0</v>
      </c>
      <c r="AJ434" s="21">
        <f t="shared" si="26"/>
        <v>0</v>
      </c>
      <c r="AK434" s="21">
        <f t="shared" si="27"/>
        <v>0</v>
      </c>
    </row>
    <row r="435" spans="34:37">
      <c r="AH435" s="20">
        <f t="shared" si="24"/>
        <v>0</v>
      </c>
      <c r="AI435" s="20">
        <f t="shared" si="25"/>
        <v>0</v>
      </c>
      <c r="AJ435" s="21">
        <f t="shared" si="26"/>
        <v>0</v>
      </c>
      <c r="AK435" s="21">
        <f t="shared" si="27"/>
        <v>0</v>
      </c>
    </row>
    <row r="436" spans="34:37">
      <c r="AH436" s="20">
        <f t="shared" si="24"/>
        <v>0</v>
      </c>
      <c r="AI436" s="20">
        <f t="shared" si="25"/>
        <v>0</v>
      </c>
      <c r="AJ436" s="21">
        <f t="shared" si="26"/>
        <v>0</v>
      </c>
      <c r="AK436" s="21">
        <f t="shared" si="27"/>
        <v>0</v>
      </c>
    </row>
    <row r="437" spans="34:37">
      <c r="AH437" s="20">
        <f t="shared" si="24"/>
        <v>0</v>
      </c>
      <c r="AI437" s="20">
        <f t="shared" si="25"/>
        <v>0</v>
      </c>
      <c r="AJ437" s="21">
        <f t="shared" si="26"/>
        <v>0</v>
      </c>
      <c r="AK437" s="21">
        <f t="shared" si="27"/>
        <v>0</v>
      </c>
    </row>
    <row r="438" spans="34:37">
      <c r="AH438" s="20">
        <f t="shared" si="24"/>
        <v>0</v>
      </c>
      <c r="AI438" s="20">
        <f t="shared" si="25"/>
        <v>0</v>
      </c>
      <c r="AJ438" s="21">
        <f t="shared" si="26"/>
        <v>0</v>
      </c>
      <c r="AK438" s="21">
        <f t="shared" si="27"/>
        <v>0</v>
      </c>
    </row>
    <row r="439" spans="34:37">
      <c r="AH439" s="20">
        <f t="shared" si="24"/>
        <v>0</v>
      </c>
      <c r="AI439" s="20">
        <f t="shared" si="25"/>
        <v>0</v>
      </c>
      <c r="AJ439" s="21">
        <f t="shared" si="26"/>
        <v>0</v>
      </c>
      <c r="AK439" s="21">
        <f t="shared" si="27"/>
        <v>0</v>
      </c>
    </row>
    <row r="440" spans="34:37">
      <c r="AH440" s="20">
        <f t="shared" si="24"/>
        <v>0</v>
      </c>
      <c r="AI440" s="20">
        <f t="shared" si="25"/>
        <v>0</v>
      </c>
      <c r="AJ440" s="21">
        <f t="shared" si="26"/>
        <v>0</v>
      </c>
      <c r="AK440" s="21">
        <f t="shared" si="27"/>
        <v>0</v>
      </c>
    </row>
    <row r="441" spans="34:37">
      <c r="AH441" s="20">
        <f t="shared" si="24"/>
        <v>0</v>
      </c>
      <c r="AI441" s="20">
        <f t="shared" si="25"/>
        <v>0</v>
      </c>
      <c r="AJ441" s="21">
        <f t="shared" si="26"/>
        <v>0</v>
      </c>
      <c r="AK441" s="21">
        <f t="shared" si="27"/>
        <v>0</v>
      </c>
    </row>
    <row r="442" spans="34:37">
      <c r="AH442" s="20">
        <f t="shared" si="24"/>
        <v>0</v>
      </c>
      <c r="AI442" s="20">
        <f t="shared" si="25"/>
        <v>0</v>
      </c>
      <c r="AJ442" s="21">
        <f t="shared" si="26"/>
        <v>0</v>
      </c>
      <c r="AK442" s="21">
        <f t="shared" si="27"/>
        <v>0</v>
      </c>
    </row>
    <row r="443" spans="34:37">
      <c r="AH443" s="20">
        <f t="shared" si="24"/>
        <v>0</v>
      </c>
      <c r="AI443" s="20">
        <f t="shared" si="25"/>
        <v>0</v>
      </c>
      <c r="AJ443" s="21">
        <f t="shared" si="26"/>
        <v>0</v>
      </c>
      <c r="AK443" s="21">
        <f t="shared" si="27"/>
        <v>0</v>
      </c>
    </row>
    <row r="444" spans="34:37">
      <c r="AH444" s="20">
        <f t="shared" si="24"/>
        <v>0</v>
      </c>
      <c r="AI444" s="20">
        <f t="shared" si="25"/>
        <v>0</v>
      </c>
      <c r="AJ444" s="21">
        <f t="shared" si="26"/>
        <v>0</v>
      </c>
      <c r="AK444" s="21">
        <f t="shared" si="27"/>
        <v>0</v>
      </c>
    </row>
    <row r="445" spans="34:37">
      <c r="AH445" s="20">
        <f t="shared" si="24"/>
        <v>0</v>
      </c>
      <c r="AI445" s="20">
        <f t="shared" si="25"/>
        <v>0</v>
      </c>
      <c r="AJ445" s="21">
        <f t="shared" si="26"/>
        <v>0</v>
      </c>
      <c r="AK445" s="21">
        <f t="shared" si="27"/>
        <v>0</v>
      </c>
    </row>
    <row r="446" spans="34:37">
      <c r="AH446" s="20">
        <f t="shared" si="24"/>
        <v>0</v>
      </c>
      <c r="AI446" s="20">
        <f t="shared" si="25"/>
        <v>0</v>
      </c>
      <c r="AJ446" s="21">
        <f t="shared" si="26"/>
        <v>0</v>
      </c>
      <c r="AK446" s="21">
        <f t="shared" si="27"/>
        <v>0</v>
      </c>
    </row>
    <row r="447" spans="34:37">
      <c r="AH447" s="20">
        <f t="shared" si="24"/>
        <v>0</v>
      </c>
      <c r="AI447" s="20">
        <f t="shared" si="25"/>
        <v>0</v>
      </c>
      <c r="AJ447" s="21">
        <f t="shared" si="26"/>
        <v>0</v>
      </c>
      <c r="AK447" s="21">
        <f t="shared" si="27"/>
        <v>0</v>
      </c>
    </row>
    <row r="448" spans="34:37">
      <c r="AH448" s="20">
        <f t="shared" si="24"/>
        <v>0</v>
      </c>
      <c r="AI448" s="20">
        <f t="shared" si="25"/>
        <v>0</v>
      </c>
      <c r="AJ448" s="21">
        <f t="shared" si="26"/>
        <v>0</v>
      </c>
      <c r="AK448" s="21">
        <f t="shared" si="27"/>
        <v>0</v>
      </c>
    </row>
    <row r="449" spans="34:37">
      <c r="AH449" s="20">
        <f t="shared" si="24"/>
        <v>0</v>
      </c>
      <c r="AI449" s="20">
        <f t="shared" si="25"/>
        <v>0</v>
      </c>
      <c r="AJ449" s="21">
        <f t="shared" si="26"/>
        <v>0</v>
      </c>
      <c r="AK449" s="21">
        <f t="shared" si="27"/>
        <v>0</v>
      </c>
    </row>
    <row r="450" spans="34:37">
      <c r="AH450" s="20">
        <f t="shared" si="24"/>
        <v>0</v>
      </c>
      <c r="AI450" s="20">
        <f t="shared" si="25"/>
        <v>0</v>
      </c>
      <c r="AJ450" s="21">
        <f t="shared" si="26"/>
        <v>0</v>
      </c>
      <c r="AK450" s="21">
        <f t="shared" si="27"/>
        <v>0</v>
      </c>
    </row>
    <row r="451" spans="34:37">
      <c r="AH451" s="20">
        <f t="shared" ref="AH451:AH514" si="28">IF($B451="oui",IF($R451="R",IF($Q451&gt;30,1,0),0),0)</f>
        <v>0</v>
      </c>
      <c r="AI451" s="20">
        <f t="shared" ref="AI451:AI514" si="29">IF($B451="oui",IF($R451="AR",IF($Q451&gt;30,1,0),0),0)</f>
        <v>0</v>
      </c>
      <c r="AJ451" s="21">
        <f t="shared" ref="AJ451:AJ514" si="30">IF($B451="oui",IF($R451="EC",1,0),0)</f>
        <v>0</v>
      </c>
      <c r="AK451" s="21">
        <f t="shared" ref="AK451:AK514" si="31">IF(M451&lt;&gt;"",IF(ISBLANK(P451),1,0),0)</f>
        <v>0</v>
      </c>
    </row>
    <row r="452" spans="34:37">
      <c r="AH452" s="20">
        <f t="shared" si="28"/>
        <v>0</v>
      </c>
      <c r="AI452" s="20">
        <f t="shared" si="29"/>
        <v>0</v>
      </c>
      <c r="AJ452" s="21">
        <f t="shared" si="30"/>
        <v>0</v>
      </c>
      <c r="AK452" s="21">
        <f t="shared" si="31"/>
        <v>0</v>
      </c>
    </row>
    <row r="453" spans="34:37">
      <c r="AH453" s="20">
        <f t="shared" si="28"/>
        <v>0</v>
      </c>
      <c r="AI453" s="20">
        <f t="shared" si="29"/>
        <v>0</v>
      </c>
      <c r="AJ453" s="21">
        <f t="shared" si="30"/>
        <v>0</v>
      </c>
      <c r="AK453" s="21">
        <f t="shared" si="31"/>
        <v>0</v>
      </c>
    </row>
    <row r="454" spans="34:37">
      <c r="AH454" s="20">
        <f t="shared" si="28"/>
        <v>0</v>
      </c>
      <c r="AI454" s="20">
        <f t="shared" si="29"/>
        <v>0</v>
      </c>
      <c r="AJ454" s="21">
        <f t="shared" si="30"/>
        <v>0</v>
      </c>
      <c r="AK454" s="21">
        <f t="shared" si="31"/>
        <v>0</v>
      </c>
    </row>
    <row r="455" spans="34:37">
      <c r="AH455" s="20">
        <f t="shared" si="28"/>
        <v>0</v>
      </c>
      <c r="AI455" s="20">
        <f t="shared" si="29"/>
        <v>0</v>
      </c>
      <c r="AJ455" s="21">
        <f t="shared" si="30"/>
        <v>0</v>
      </c>
      <c r="AK455" s="21">
        <f t="shared" si="31"/>
        <v>0</v>
      </c>
    </row>
    <row r="456" spans="34:37">
      <c r="AH456" s="20">
        <f t="shared" si="28"/>
        <v>0</v>
      </c>
      <c r="AI456" s="20">
        <f t="shared" si="29"/>
        <v>0</v>
      </c>
      <c r="AJ456" s="21">
        <f t="shared" si="30"/>
        <v>0</v>
      </c>
      <c r="AK456" s="21">
        <f t="shared" si="31"/>
        <v>0</v>
      </c>
    </row>
    <row r="457" spans="34:37">
      <c r="AH457" s="20">
        <f t="shared" si="28"/>
        <v>0</v>
      </c>
      <c r="AI457" s="20">
        <f t="shared" si="29"/>
        <v>0</v>
      </c>
      <c r="AJ457" s="21">
        <f t="shared" si="30"/>
        <v>0</v>
      </c>
      <c r="AK457" s="21">
        <f t="shared" si="31"/>
        <v>0</v>
      </c>
    </row>
    <row r="458" spans="34:37">
      <c r="AH458" s="20">
        <f t="shared" si="28"/>
        <v>0</v>
      </c>
      <c r="AI458" s="20">
        <f t="shared" si="29"/>
        <v>0</v>
      </c>
      <c r="AJ458" s="21">
        <f t="shared" si="30"/>
        <v>0</v>
      </c>
      <c r="AK458" s="21">
        <f t="shared" si="31"/>
        <v>0</v>
      </c>
    </row>
    <row r="459" spans="34:37">
      <c r="AH459" s="20">
        <f t="shared" si="28"/>
        <v>0</v>
      </c>
      <c r="AI459" s="20">
        <f t="shared" si="29"/>
        <v>0</v>
      </c>
      <c r="AJ459" s="21">
        <f t="shared" si="30"/>
        <v>0</v>
      </c>
      <c r="AK459" s="21">
        <f t="shared" si="31"/>
        <v>0</v>
      </c>
    </row>
    <row r="460" spans="34:37">
      <c r="AH460" s="20">
        <f t="shared" si="28"/>
        <v>0</v>
      </c>
      <c r="AI460" s="20">
        <f t="shared" si="29"/>
        <v>0</v>
      </c>
      <c r="AJ460" s="21">
        <f t="shared" si="30"/>
        <v>0</v>
      </c>
      <c r="AK460" s="21">
        <f t="shared" si="31"/>
        <v>0</v>
      </c>
    </row>
    <row r="461" spans="34:37">
      <c r="AH461" s="20">
        <f t="shared" si="28"/>
        <v>0</v>
      </c>
      <c r="AI461" s="20">
        <f t="shared" si="29"/>
        <v>0</v>
      </c>
      <c r="AJ461" s="21">
        <f t="shared" si="30"/>
        <v>0</v>
      </c>
      <c r="AK461" s="21">
        <f t="shared" si="31"/>
        <v>0</v>
      </c>
    </row>
    <row r="462" spans="34:37">
      <c r="AH462" s="20">
        <f t="shared" si="28"/>
        <v>0</v>
      </c>
      <c r="AI462" s="20">
        <f t="shared" si="29"/>
        <v>0</v>
      </c>
      <c r="AJ462" s="21">
        <f t="shared" si="30"/>
        <v>0</v>
      </c>
      <c r="AK462" s="21">
        <f t="shared" si="31"/>
        <v>0</v>
      </c>
    </row>
    <row r="463" spans="34:37">
      <c r="AH463" s="20">
        <f t="shared" si="28"/>
        <v>0</v>
      </c>
      <c r="AI463" s="20">
        <f t="shared" si="29"/>
        <v>0</v>
      </c>
      <c r="AJ463" s="21">
        <f t="shared" si="30"/>
        <v>0</v>
      </c>
      <c r="AK463" s="21">
        <f t="shared" si="31"/>
        <v>0</v>
      </c>
    </row>
    <row r="464" spans="34:37">
      <c r="AH464" s="20">
        <f t="shared" si="28"/>
        <v>0</v>
      </c>
      <c r="AI464" s="20">
        <f t="shared" si="29"/>
        <v>0</v>
      </c>
      <c r="AJ464" s="21">
        <f t="shared" si="30"/>
        <v>0</v>
      </c>
      <c r="AK464" s="21">
        <f t="shared" si="31"/>
        <v>0</v>
      </c>
    </row>
    <row r="465" spans="34:37">
      <c r="AH465" s="20">
        <f t="shared" si="28"/>
        <v>0</v>
      </c>
      <c r="AI465" s="20">
        <f t="shared" si="29"/>
        <v>0</v>
      </c>
      <c r="AJ465" s="21">
        <f t="shared" si="30"/>
        <v>0</v>
      </c>
      <c r="AK465" s="21">
        <f t="shared" si="31"/>
        <v>0</v>
      </c>
    </row>
    <row r="466" spans="34:37">
      <c r="AH466" s="20">
        <f t="shared" si="28"/>
        <v>0</v>
      </c>
      <c r="AI466" s="20">
        <f t="shared" si="29"/>
        <v>0</v>
      </c>
      <c r="AJ466" s="21">
        <f t="shared" si="30"/>
        <v>0</v>
      </c>
      <c r="AK466" s="21">
        <f t="shared" si="31"/>
        <v>0</v>
      </c>
    </row>
    <row r="467" spans="34:37">
      <c r="AH467" s="20">
        <f t="shared" si="28"/>
        <v>0</v>
      </c>
      <c r="AI467" s="20">
        <f t="shared" si="29"/>
        <v>0</v>
      </c>
      <c r="AJ467" s="21">
        <f t="shared" si="30"/>
        <v>0</v>
      </c>
      <c r="AK467" s="21">
        <f t="shared" si="31"/>
        <v>0</v>
      </c>
    </row>
    <row r="468" spans="34:37">
      <c r="AH468" s="20">
        <f t="shared" si="28"/>
        <v>0</v>
      </c>
      <c r="AI468" s="20">
        <f t="shared" si="29"/>
        <v>0</v>
      </c>
      <c r="AJ468" s="21">
        <f t="shared" si="30"/>
        <v>0</v>
      </c>
      <c r="AK468" s="21">
        <f t="shared" si="31"/>
        <v>0</v>
      </c>
    </row>
    <row r="469" spans="34:37">
      <c r="AH469" s="20">
        <f t="shared" si="28"/>
        <v>0</v>
      </c>
      <c r="AI469" s="20">
        <f t="shared" si="29"/>
        <v>0</v>
      </c>
      <c r="AJ469" s="21">
        <f t="shared" si="30"/>
        <v>0</v>
      </c>
      <c r="AK469" s="21">
        <f t="shared" si="31"/>
        <v>0</v>
      </c>
    </row>
    <row r="470" spans="34:37">
      <c r="AH470" s="20">
        <f t="shared" si="28"/>
        <v>0</v>
      </c>
      <c r="AI470" s="20">
        <f t="shared" si="29"/>
        <v>0</v>
      </c>
      <c r="AJ470" s="21">
        <f t="shared" si="30"/>
        <v>0</v>
      </c>
      <c r="AK470" s="21">
        <f t="shared" si="31"/>
        <v>0</v>
      </c>
    </row>
    <row r="471" spans="34:37">
      <c r="AH471" s="20">
        <f t="shared" si="28"/>
        <v>0</v>
      </c>
      <c r="AI471" s="20">
        <f t="shared" si="29"/>
        <v>0</v>
      </c>
      <c r="AJ471" s="21">
        <f t="shared" si="30"/>
        <v>0</v>
      </c>
      <c r="AK471" s="21">
        <f t="shared" si="31"/>
        <v>0</v>
      </c>
    </row>
    <row r="472" spans="34:37">
      <c r="AH472" s="20">
        <f t="shared" si="28"/>
        <v>0</v>
      </c>
      <c r="AI472" s="20">
        <f t="shared" si="29"/>
        <v>0</v>
      </c>
      <c r="AJ472" s="21">
        <f t="shared" si="30"/>
        <v>0</v>
      </c>
      <c r="AK472" s="21">
        <f t="shared" si="31"/>
        <v>0</v>
      </c>
    </row>
    <row r="473" spans="34:37">
      <c r="AH473" s="20">
        <f t="shared" si="28"/>
        <v>0</v>
      </c>
      <c r="AI473" s="20">
        <f t="shared" si="29"/>
        <v>0</v>
      </c>
      <c r="AJ473" s="21">
        <f t="shared" si="30"/>
        <v>0</v>
      </c>
      <c r="AK473" s="21">
        <f t="shared" si="31"/>
        <v>0</v>
      </c>
    </row>
    <row r="474" spans="34:37">
      <c r="AH474" s="20">
        <f t="shared" si="28"/>
        <v>0</v>
      </c>
      <c r="AI474" s="20">
        <f t="shared" si="29"/>
        <v>0</v>
      </c>
      <c r="AJ474" s="21">
        <f t="shared" si="30"/>
        <v>0</v>
      </c>
      <c r="AK474" s="21">
        <f t="shared" si="31"/>
        <v>0</v>
      </c>
    </row>
    <row r="475" spans="34:37">
      <c r="AH475" s="20">
        <f t="shared" si="28"/>
        <v>0</v>
      </c>
      <c r="AI475" s="20">
        <f t="shared" si="29"/>
        <v>0</v>
      </c>
      <c r="AJ475" s="21">
        <f t="shared" si="30"/>
        <v>0</v>
      </c>
      <c r="AK475" s="21">
        <f t="shared" si="31"/>
        <v>0</v>
      </c>
    </row>
    <row r="476" spans="34:37">
      <c r="AH476" s="20">
        <f t="shared" si="28"/>
        <v>0</v>
      </c>
      <c r="AI476" s="20">
        <f t="shared" si="29"/>
        <v>0</v>
      </c>
      <c r="AJ476" s="21">
        <f t="shared" si="30"/>
        <v>0</v>
      </c>
      <c r="AK476" s="21">
        <f t="shared" si="31"/>
        <v>0</v>
      </c>
    </row>
    <row r="477" spans="34:37">
      <c r="AH477" s="20">
        <f t="shared" si="28"/>
        <v>0</v>
      </c>
      <c r="AI477" s="20">
        <f t="shared" si="29"/>
        <v>0</v>
      </c>
      <c r="AJ477" s="21">
        <f t="shared" si="30"/>
        <v>0</v>
      </c>
      <c r="AK477" s="21">
        <f t="shared" si="31"/>
        <v>0</v>
      </c>
    </row>
    <row r="478" spans="34:37">
      <c r="AH478" s="20">
        <f t="shared" si="28"/>
        <v>0</v>
      </c>
      <c r="AI478" s="20">
        <f t="shared" si="29"/>
        <v>0</v>
      </c>
      <c r="AJ478" s="21">
        <f t="shared" si="30"/>
        <v>0</v>
      </c>
      <c r="AK478" s="21">
        <f t="shared" si="31"/>
        <v>0</v>
      </c>
    </row>
    <row r="479" spans="34:37">
      <c r="AH479" s="20">
        <f t="shared" si="28"/>
        <v>0</v>
      </c>
      <c r="AI479" s="20">
        <f t="shared" si="29"/>
        <v>0</v>
      </c>
      <c r="AJ479" s="21">
        <f t="shared" si="30"/>
        <v>0</v>
      </c>
      <c r="AK479" s="21">
        <f t="shared" si="31"/>
        <v>0</v>
      </c>
    </row>
    <row r="480" spans="34:37">
      <c r="AH480" s="20">
        <f t="shared" si="28"/>
        <v>0</v>
      </c>
      <c r="AI480" s="20">
        <f t="shared" si="29"/>
        <v>0</v>
      </c>
      <c r="AJ480" s="21">
        <f t="shared" si="30"/>
        <v>0</v>
      </c>
      <c r="AK480" s="21">
        <f t="shared" si="31"/>
        <v>0</v>
      </c>
    </row>
    <row r="481" spans="34:37">
      <c r="AH481" s="20">
        <f t="shared" si="28"/>
        <v>0</v>
      </c>
      <c r="AI481" s="20">
        <f t="shared" si="29"/>
        <v>0</v>
      </c>
      <c r="AJ481" s="21">
        <f t="shared" si="30"/>
        <v>0</v>
      </c>
      <c r="AK481" s="21">
        <f t="shared" si="31"/>
        <v>0</v>
      </c>
    </row>
    <row r="482" spans="34:37">
      <c r="AH482" s="20">
        <f t="shared" si="28"/>
        <v>0</v>
      </c>
      <c r="AI482" s="20">
        <f t="shared" si="29"/>
        <v>0</v>
      </c>
      <c r="AJ482" s="21">
        <f t="shared" si="30"/>
        <v>0</v>
      </c>
      <c r="AK482" s="21">
        <f t="shared" si="31"/>
        <v>0</v>
      </c>
    </row>
    <row r="483" spans="34:37">
      <c r="AH483" s="20">
        <f t="shared" si="28"/>
        <v>0</v>
      </c>
      <c r="AI483" s="20">
        <f t="shared" si="29"/>
        <v>0</v>
      </c>
      <c r="AJ483" s="21">
        <f t="shared" si="30"/>
        <v>0</v>
      </c>
      <c r="AK483" s="21">
        <f t="shared" si="31"/>
        <v>0</v>
      </c>
    </row>
    <row r="484" spans="34:37">
      <c r="AH484" s="20">
        <f t="shared" si="28"/>
        <v>0</v>
      </c>
      <c r="AI484" s="20">
        <f t="shared" si="29"/>
        <v>0</v>
      </c>
      <c r="AJ484" s="21">
        <f t="shared" si="30"/>
        <v>0</v>
      </c>
      <c r="AK484" s="21">
        <f t="shared" si="31"/>
        <v>0</v>
      </c>
    </row>
    <row r="485" spans="34:37">
      <c r="AH485" s="20">
        <f t="shared" si="28"/>
        <v>0</v>
      </c>
      <c r="AI485" s="20">
        <f t="shared" si="29"/>
        <v>0</v>
      </c>
      <c r="AJ485" s="21">
        <f t="shared" si="30"/>
        <v>0</v>
      </c>
      <c r="AK485" s="21">
        <f t="shared" si="31"/>
        <v>0</v>
      </c>
    </row>
    <row r="486" spans="34:37">
      <c r="AH486" s="20">
        <f t="shared" si="28"/>
        <v>0</v>
      </c>
      <c r="AI486" s="20">
        <f t="shared" si="29"/>
        <v>0</v>
      </c>
      <c r="AJ486" s="21">
        <f t="shared" si="30"/>
        <v>0</v>
      </c>
      <c r="AK486" s="21">
        <f t="shared" si="31"/>
        <v>0</v>
      </c>
    </row>
    <row r="487" spans="34:37">
      <c r="AH487" s="20">
        <f t="shared" si="28"/>
        <v>0</v>
      </c>
      <c r="AI487" s="20">
        <f t="shared" si="29"/>
        <v>0</v>
      </c>
      <c r="AJ487" s="21">
        <f t="shared" si="30"/>
        <v>0</v>
      </c>
      <c r="AK487" s="21">
        <f t="shared" si="31"/>
        <v>0</v>
      </c>
    </row>
    <row r="488" spans="34:37">
      <c r="AH488" s="20">
        <f t="shared" si="28"/>
        <v>0</v>
      </c>
      <c r="AI488" s="20">
        <f t="shared" si="29"/>
        <v>0</v>
      </c>
      <c r="AJ488" s="21">
        <f t="shared" si="30"/>
        <v>0</v>
      </c>
      <c r="AK488" s="21">
        <f t="shared" si="31"/>
        <v>0</v>
      </c>
    </row>
    <row r="489" spans="34:37">
      <c r="AH489" s="20">
        <f t="shared" si="28"/>
        <v>0</v>
      </c>
      <c r="AI489" s="20">
        <f t="shared" si="29"/>
        <v>0</v>
      </c>
      <c r="AJ489" s="21">
        <f t="shared" si="30"/>
        <v>0</v>
      </c>
      <c r="AK489" s="21">
        <f t="shared" si="31"/>
        <v>0</v>
      </c>
    </row>
    <row r="490" spans="34:37">
      <c r="AH490" s="20">
        <f t="shared" si="28"/>
        <v>0</v>
      </c>
      <c r="AI490" s="20">
        <f t="shared" si="29"/>
        <v>0</v>
      </c>
      <c r="AJ490" s="21">
        <f t="shared" si="30"/>
        <v>0</v>
      </c>
      <c r="AK490" s="21">
        <f t="shared" si="31"/>
        <v>0</v>
      </c>
    </row>
    <row r="491" spans="34:37">
      <c r="AH491" s="20">
        <f t="shared" si="28"/>
        <v>0</v>
      </c>
      <c r="AI491" s="20">
        <f t="shared" si="29"/>
        <v>0</v>
      </c>
      <c r="AJ491" s="21">
        <f t="shared" si="30"/>
        <v>0</v>
      </c>
      <c r="AK491" s="21">
        <f t="shared" si="31"/>
        <v>0</v>
      </c>
    </row>
    <row r="492" spans="34:37">
      <c r="AH492" s="20">
        <f t="shared" si="28"/>
        <v>0</v>
      </c>
      <c r="AI492" s="20">
        <f t="shared" si="29"/>
        <v>0</v>
      </c>
      <c r="AJ492" s="21">
        <f t="shared" si="30"/>
        <v>0</v>
      </c>
      <c r="AK492" s="21">
        <f t="shared" si="31"/>
        <v>0</v>
      </c>
    </row>
    <row r="493" spans="34:37">
      <c r="AH493" s="20">
        <f t="shared" si="28"/>
        <v>0</v>
      </c>
      <c r="AI493" s="20">
        <f t="shared" si="29"/>
        <v>0</v>
      </c>
      <c r="AJ493" s="21">
        <f t="shared" si="30"/>
        <v>0</v>
      </c>
      <c r="AK493" s="21">
        <f t="shared" si="31"/>
        <v>0</v>
      </c>
    </row>
    <row r="494" spans="34:37">
      <c r="AH494" s="20">
        <f t="shared" si="28"/>
        <v>0</v>
      </c>
      <c r="AI494" s="20">
        <f t="shared" si="29"/>
        <v>0</v>
      </c>
      <c r="AJ494" s="21">
        <f t="shared" si="30"/>
        <v>0</v>
      </c>
      <c r="AK494" s="21">
        <f t="shared" si="31"/>
        <v>0</v>
      </c>
    </row>
    <row r="495" spans="34:37">
      <c r="AH495" s="20">
        <f t="shared" si="28"/>
        <v>0</v>
      </c>
      <c r="AI495" s="20">
        <f t="shared" si="29"/>
        <v>0</v>
      </c>
      <c r="AJ495" s="21">
        <f t="shared" si="30"/>
        <v>0</v>
      </c>
      <c r="AK495" s="21">
        <f t="shared" si="31"/>
        <v>0</v>
      </c>
    </row>
    <row r="496" spans="34:37">
      <c r="AH496" s="20">
        <f t="shared" si="28"/>
        <v>0</v>
      </c>
      <c r="AI496" s="20">
        <f t="shared" si="29"/>
        <v>0</v>
      </c>
      <c r="AJ496" s="21">
        <f t="shared" si="30"/>
        <v>0</v>
      </c>
      <c r="AK496" s="21">
        <f t="shared" si="31"/>
        <v>0</v>
      </c>
    </row>
    <row r="497" spans="34:37">
      <c r="AH497" s="20">
        <f t="shared" si="28"/>
        <v>0</v>
      </c>
      <c r="AI497" s="20">
        <f t="shared" si="29"/>
        <v>0</v>
      </c>
      <c r="AJ497" s="21">
        <f t="shared" si="30"/>
        <v>0</v>
      </c>
      <c r="AK497" s="21">
        <f t="shared" si="31"/>
        <v>0</v>
      </c>
    </row>
    <row r="498" spans="34:37">
      <c r="AH498" s="20">
        <f t="shared" si="28"/>
        <v>0</v>
      </c>
      <c r="AI498" s="20">
        <f t="shared" si="29"/>
        <v>0</v>
      </c>
      <c r="AJ498" s="21">
        <f t="shared" si="30"/>
        <v>0</v>
      </c>
      <c r="AK498" s="21">
        <f t="shared" si="31"/>
        <v>0</v>
      </c>
    </row>
    <row r="499" spans="34:37">
      <c r="AH499" s="20">
        <f t="shared" si="28"/>
        <v>0</v>
      </c>
      <c r="AI499" s="20">
        <f t="shared" si="29"/>
        <v>0</v>
      </c>
      <c r="AJ499" s="21">
        <f t="shared" si="30"/>
        <v>0</v>
      </c>
      <c r="AK499" s="21">
        <f t="shared" si="31"/>
        <v>0</v>
      </c>
    </row>
    <row r="500" spans="34:37">
      <c r="AH500" s="20">
        <f t="shared" si="28"/>
        <v>0</v>
      </c>
      <c r="AI500" s="20">
        <f t="shared" si="29"/>
        <v>0</v>
      </c>
      <c r="AJ500" s="21">
        <f t="shared" si="30"/>
        <v>0</v>
      </c>
      <c r="AK500" s="21">
        <f t="shared" si="31"/>
        <v>0</v>
      </c>
    </row>
    <row r="501" spans="34:37">
      <c r="AH501" s="20">
        <f t="shared" si="28"/>
        <v>0</v>
      </c>
      <c r="AI501" s="20">
        <f t="shared" si="29"/>
        <v>0</v>
      </c>
      <c r="AJ501" s="21">
        <f t="shared" si="30"/>
        <v>0</v>
      </c>
      <c r="AK501" s="21">
        <f t="shared" si="31"/>
        <v>0</v>
      </c>
    </row>
    <row r="502" spans="34:37">
      <c r="AH502" s="20">
        <f t="shared" si="28"/>
        <v>0</v>
      </c>
      <c r="AI502" s="20">
        <f t="shared" si="29"/>
        <v>0</v>
      </c>
      <c r="AJ502" s="21">
        <f t="shared" si="30"/>
        <v>0</v>
      </c>
      <c r="AK502" s="21">
        <f t="shared" si="31"/>
        <v>0</v>
      </c>
    </row>
    <row r="503" spans="34:37">
      <c r="AH503" s="20">
        <f t="shared" si="28"/>
        <v>0</v>
      </c>
      <c r="AI503" s="20">
        <f t="shared" si="29"/>
        <v>0</v>
      </c>
      <c r="AJ503" s="21">
        <f t="shared" si="30"/>
        <v>0</v>
      </c>
      <c r="AK503" s="21">
        <f t="shared" si="31"/>
        <v>0</v>
      </c>
    </row>
    <row r="504" spans="34:37">
      <c r="AH504" s="20">
        <f t="shared" si="28"/>
        <v>0</v>
      </c>
      <c r="AI504" s="20">
        <f t="shared" si="29"/>
        <v>0</v>
      </c>
      <c r="AJ504" s="21">
        <f t="shared" si="30"/>
        <v>0</v>
      </c>
      <c r="AK504" s="21">
        <f t="shared" si="31"/>
        <v>0</v>
      </c>
    </row>
    <row r="505" spans="34:37">
      <c r="AH505" s="20">
        <f t="shared" si="28"/>
        <v>0</v>
      </c>
      <c r="AI505" s="20">
        <f t="shared" si="29"/>
        <v>0</v>
      </c>
      <c r="AJ505" s="21">
        <f t="shared" si="30"/>
        <v>0</v>
      </c>
      <c r="AK505" s="21">
        <f t="shared" si="31"/>
        <v>0</v>
      </c>
    </row>
    <row r="506" spans="34:37">
      <c r="AH506" s="20">
        <f t="shared" si="28"/>
        <v>0</v>
      </c>
      <c r="AI506" s="20">
        <f t="shared" si="29"/>
        <v>0</v>
      </c>
      <c r="AJ506" s="21">
        <f t="shared" si="30"/>
        <v>0</v>
      </c>
      <c r="AK506" s="21">
        <f t="shared" si="31"/>
        <v>0</v>
      </c>
    </row>
    <row r="507" spans="34:37">
      <c r="AH507" s="20">
        <f t="shared" si="28"/>
        <v>0</v>
      </c>
      <c r="AI507" s="20">
        <f t="shared" si="29"/>
        <v>0</v>
      </c>
      <c r="AJ507" s="21">
        <f t="shared" si="30"/>
        <v>0</v>
      </c>
      <c r="AK507" s="21">
        <f t="shared" si="31"/>
        <v>0</v>
      </c>
    </row>
    <row r="508" spans="34:37">
      <c r="AH508" s="20">
        <f t="shared" si="28"/>
        <v>0</v>
      </c>
      <c r="AI508" s="20">
        <f t="shared" si="29"/>
        <v>0</v>
      </c>
      <c r="AJ508" s="21">
        <f t="shared" si="30"/>
        <v>0</v>
      </c>
      <c r="AK508" s="21">
        <f t="shared" si="31"/>
        <v>0</v>
      </c>
    </row>
    <row r="509" spans="34:37">
      <c r="AH509" s="20">
        <f t="shared" si="28"/>
        <v>0</v>
      </c>
      <c r="AI509" s="20">
        <f t="shared" si="29"/>
        <v>0</v>
      </c>
      <c r="AJ509" s="21">
        <f t="shared" si="30"/>
        <v>0</v>
      </c>
      <c r="AK509" s="21">
        <f t="shared" si="31"/>
        <v>0</v>
      </c>
    </row>
    <row r="510" spans="34:37">
      <c r="AH510" s="20">
        <f t="shared" si="28"/>
        <v>0</v>
      </c>
      <c r="AI510" s="20">
        <f t="shared" si="29"/>
        <v>0</v>
      </c>
      <c r="AJ510" s="21">
        <f t="shared" si="30"/>
        <v>0</v>
      </c>
      <c r="AK510" s="21">
        <f t="shared" si="31"/>
        <v>0</v>
      </c>
    </row>
    <row r="511" spans="34:37">
      <c r="AH511" s="20">
        <f t="shared" si="28"/>
        <v>0</v>
      </c>
      <c r="AI511" s="20">
        <f t="shared" si="29"/>
        <v>0</v>
      </c>
      <c r="AJ511" s="21">
        <f t="shared" si="30"/>
        <v>0</v>
      </c>
      <c r="AK511" s="21">
        <f t="shared" si="31"/>
        <v>0</v>
      </c>
    </row>
    <row r="512" spans="34:37">
      <c r="AH512" s="20">
        <f t="shared" si="28"/>
        <v>0</v>
      </c>
      <c r="AI512" s="20">
        <f t="shared" si="29"/>
        <v>0</v>
      </c>
      <c r="AJ512" s="21">
        <f t="shared" si="30"/>
        <v>0</v>
      </c>
      <c r="AK512" s="21">
        <f t="shared" si="31"/>
        <v>0</v>
      </c>
    </row>
    <row r="513" spans="34:37">
      <c r="AH513" s="20">
        <f t="shared" si="28"/>
        <v>0</v>
      </c>
      <c r="AI513" s="20">
        <f t="shared" si="29"/>
        <v>0</v>
      </c>
      <c r="AJ513" s="21">
        <f t="shared" si="30"/>
        <v>0</v>
      </c>
      <c r="AK513" s="21">
        <f t="shared" si="31"/>
        <v>0</v>
      </c>
    </row>
    <row r="514" spans="34:37">
      <c r="AH514" s="20">
        <f t="shared" si="28"/>
        <v>0</v>
      </c>
      <c r="AI514" s="20">
        <f t="shared" si="29"/>
        <v>0</v>
      </c>
      <c r="AJ514" s="21">
        <f t="shared" si="30"/>
        <v>0</v>
      </c>
      <c r="AK514" s="21">
        <f t="shared" si="31"/>
        <v>0</v>
      </c>
    </row>
    <row r="515" spans="34:37">
      <c r="AH515" s="20">
        <f t="shared" ref="AH515:AH578" si="32">IF($B515="oui",IF($R515="R",IF($Q515&gt;30,1,0),0),0)</f>
        <v>0</v>
      </c>
      <c r="AI515" s="20">
        <f t="shared" ref="AI515:AI578" si="33">IF($B515="oui",IF($R515="AR",IF($Q515&gt;30,1,0),0),0)</f>
        <v>0</v>
      </c>
      <c r="AJ515" s="21">
        <f t="shared" ref="AJ515:AJ578" si="34">IF($B515="oui",IF($R515="EC",1,0),0)</f>
        <v>0</v>
      </c>
      <c r="AK515" s="21">
        <f t="shared" ref="AK515:AK578" si="35">IF(M515&lt;&gt;"",IF(ISBLANK(P515),1,0),0)</f>
        <v>0</v>
      </c>
    </row>
    <row r="516" spans="34:37">
      <c r="AH516" s="20">
        <f t="shared" si="32"/>
        <v>0</v>
      </c>
      <c r="AI516" s="20">
        <f t="shared" si="33"/>
        <v>0</v>
      </c>
      <c r="AJ516" s="21">
        <f t="shared" si="34"/>
        <v>0</v>
      </c>
      <c r="AK516" s="21">
        <f t="shared" si="35"/>
        <v>0</v>
      </c>
    </row>
    <row r="517" spans="34:37">
      <c r="AH517" s="20">
        <f t="shared" si="32"/>
        <v>0</v>
      </c>
      <c r="AI517" s="20">
        <f t="shared" si="33"/>
        <v>0</v>
      </c>
      <c r="AJ517" s="21">
        <f t="shared" si="34"/>
        <v>0</v>
      </c>
      <c r="AK517" s="21">
        <f t="shared" si="35"/>
        <v>0</v>
      </c>
    </row>
    <row r="518" spans="34:37">
      <c r="AH518" s="20">
        <f t="shared" si="32"/>
        <v>0</v>
      </c>
      <c r="AI518" s="20">
        <f t="shared" si="33"/>
        <v>0</v>
      </c>
      <c r="AJ518" s="21">
        <f t="shared" si="34"/>
        <v>0</v>
      </c>
      <c r="AK518" s="21">
        <f t="shared" si="35"/>
        <v>0</v>
      </c>
    </row>
    <row r="519" spans="34:37">
      <c r="AH519" s="20">
        <f t="shared" si="32"/>
        <v>0</v>
      </c>
      <c r="AI519" s="20">
        <f t="shared" si="33"/>
        <v>0</v>
      </c>
      <c r="AJ519" s="21">
        <f t="shared" si="34"/>
        <v>0</v>
      </c>
      <c r="AK519" s="21">
        <f t="shared" si="35"/>
        <v>0</v>
      </c>
    </row>
    <row r="520" spans="34:37">
      <c r="AH520" s="20">
        <f t="shared" si="32"/>
        <v>0</v>
      </c>
      <c r="AI520" s="20">
        <f t="shared" si="33"/>
        <v>0</v>
      </c>
      <c r="AJ520" s="21">
        <f t="shared" si="34"/>
        <v>0</v>
      </c>
      <c r="AK520" s="21">
        <f t="shared" si="35"/>
        <v>0</v>
      </c>
    </row>
    <row r="521" spans="34:37">
      <c r="AH521" s="20">
        <f t="shared" si="32"/>
        <v>0</v>
      </c>
      <c r="AI521" s="20">
        <f t="shared" si="33"/>
        <v>0</v>
      </c>
      <c r="AJ521" s="21">
        <f t="shared" si="34"/>
        <v>0</v>
      </c>
      <c r="AK521" s="21">
        <f t="shared" si="35"/>
        <v>0</v>
      </c>
    </row>
    <row r="522" spans="34:37">
      <c r="AH522" s="20">
        <f t="shared" si="32"/>
        <v>0</v>
      </c>
      <c r="AI522" s="20">
        <f t="shared" si="33"/>
        <v>0</v>
      </c>
      <c r="AJ522" s="21">
        <f t="shared" si="34"/>
        <v>0</v>
      </c>
      <c r="AK522" s="21">
        <f t="shared" si="35"/>
        <v>0</v>
      </c>
    </row>
    <row r="523" spans="34:37">
      <c r="AH523" s="20">
        <f t="shared" si="32"/>
        <v>0</v>
      </c>
      <c r="AI523" s="20">
        <f t="shared" si="33"/>
        <v>0</v>
      </c>
      <c r="AJ523" s="21">
        <f t="shared" si="34"/>
        <v>0</v>
      </c>
      <c r="AK523" s="21">
        <f t="shared" si="35"/>
        <v>0</v>
      </c>
    </row>
    <row r="524" spans="34:37">
      <c r="AH524" s="20">
        <f t="shared" si="32"/>
        <v>0</v>
      </c>
      <c r="AI524" s="20">
        <f t="shared" si="33"/>
        <v>0</v>
      </c>
      <c r="AJ524" s="21">
        <f t="shared" si="34"/>
        <v>0</v>
      </c>
      <c r="AK524" s="21">
        <f t="shared" si="35"/>
        <v>0</v>
      </c>
    </row>
    <row r="525" spans="34:37">
      <c r="AH525" s="20">
        <f t="shared" si="32"/>
        <v>0</v>
      </c>
      <c r="AI525" s="20">
        <f t="shared" si="33"/>
        <v>0</v>
      </c>
      <c r="AJ525" s="21">
        <f t="shared" si="34"/>
        <v>0</v>
      </c>
      <c r="AK525" s="21">
        <f t="shared" si="35"/>
        <v>0</v>
      </c>
    </row>
    <row r="526" spans="34:37">
      <c r="AH526" s="20">
        <f t="shared" si="32"/>
        <v>0</v>
      </c>
      <c r="AI526" s="20">
        <f t="shared" si="33"/>
        <v>0</v>
      </c>
      <c r="AJ526" s="21">
        <f t="shared" si="34"/>
        <v>0</v>
      </c>
      <c r="AK526" s="21">
        <f t="shared" si="35"/>
        <v>0</v>
      </c>
    </row>
    <row r="527" spans="34:37">
      <c r="AH527" s="20">
        <f t="shared" si="32"/>
        <v>0</v>
      </c>
      <c r="AI527" s="20">
        <f t="shared" si="33"/>
        <v>0</v>
      </c>
      <c r="AJ527" s="21">
        <f t="shared" si="34"/>
        <v>0</v>
      </c>
      <c r="AK527" s="21">
        <f t="shared" si="35"/>
        <v>0</v>
      </c>
    </row>
    <row r="528" spans="34:37">
      <c r="AH528" s="20">
        <f t="shared" si="32"/>
        <v>0</v>
      </c>
      <c r="AI528" s="20">
        <f t="shared" si="33"/>
        <v>0</v>
      </c>
      <c r="AJ528" s="21">
        <f t="shared" si="34"/>
        <v>0</v>
      </c>
      <c r="AK528" s="21">
        <f t="shared" si="35"/>
        <v>0</v>
      </c>
    </row>
    <row r="529" spans="34:37">
      <c r="AH529" s="20">
        <f t="shared" si="32"/>
        <v>0</v>
      </c>
      <c r="AI529" s="20">
        <f t="shared" si="33"/>
        <v>0</v>
      </c>
      <c r="AJ529" s="21">
        <f t="shared" si="34"/>
        <v>0</v>
      </c>
      <c r="AK529" s="21">
        <f t="shared" si="35"/>
        <v>0</v>
      </c>
    </row>
    <row r="530" spans="34:37">
      <c r="AH530" s="20">
        <f t="shared" si="32"/>
        <v>0</v>
      </c>
      <c r="AI530" s="20">
        <f t="shared" si="33"/>
        <v>0</v>
      </c>
      <c r="AJ530" s="21">
        <f t="shared" si="34"/>
        <v>0</v>
      </c>
      <c r="AK530" s="21">
        <f t="shared" si="35"/>
        <v>0</v>
      </c>
    </row>
    <row r="531" spans="34:37">
      <c r="AH531" s="20">
        <f t="shared" si="32"/>
        <v>0</v>
      </c>
      <c r="AI531" s="20">
        <f t="shared" si="33"/>
        <v>0</v>
      </c>
      <c r="AJ531" s="21">
        <f t="shared" si="34"/>
        <v>0</v>
      </c>
      <c r="AK531" s="21">
        <f t="shared" si="35"/>
        <v>0</v>
      </c>
    </row>
    <row r="532" spans="34:37">
      <c r="AH532" s="20">
        <f t="shared" si="32"/>
        <v>0</v>
      </c>
      <c r="AI532" s="20">
        <f t="shared" si="33"/>
        <v>0</v>
      </c>
      <c r="AJ532" s="21">
        <f t="shared" si="34"/>
        <v>0</v>
      </c>
      <c r="AK532" s="21">
        <f t="shared" si="35"/>
        <v>0</v>
      </c>
    </row>
    <row r="533" spans="34:37">
      <c r="AH533" s="20">
        <f t="shared" si="32"/>
        <v>0</v>
      </c>
      <c r="AI533" s="20">
        <f t="shared" si="33"/>
        <v>0</v>
      </c>
      <c r="AJ533" s="21">
        <f t="shared" si="34"/>
        <v>0</v>
      </c>
      <c r="AK533" s="21">
        <f t="shared" si="35"/>
        <v>0</v>
      </c>
    </row>
    <row r="534" spans="34:37">
      <c r="AH534" s="20">
        <f t="shared" si="32"/>
        <v>0</v>
      </c>
      <c r="AI534" s="20">
        <f t="shared" si="33"/>
        <v>0</v>
      </c>
      <c r="AJ534" s="21">
        <f t="shared" si="34"/>
        <v>0</v>
      </c>
      <c r="AK534" s="21">
        <f t="shared" si="35"/>
        <v>0</v>
      </c>
    </row>
    <row r="535" spans="34:37">
      <c r="AH535" s="20">
        <f t="shared" si="32"/>
        <v>0</v>
      </c>
      <c r="AI535" s="20">
        <f t="shared" si="33"/>
        <v>0</v>
      </c>
      <c r="AJ535" s="21">
        <f t="shared" si="34"/>
        <v>0</v>
      </c>
      <c r="AK535" s="21">
        <f t="shared" si="35"/>
        <v>0</v>
      </c>
    </row>
    <row r="536" spans="34:37">
      <c r="AH536" s="20">
        <f t="shared" si="32"/>
        <v>0</v>
      </c>
      <c r="AI536" s="20">
        <f t="shared" si="33"/>
        <v>0</v>
      </c>
      <c r="AJ536" s="21">
        <f t="shared" si="34"/>
        <v>0</v>
      </c>
      <c r="AK536" s="21">
        <f t="shared" si="35"/>
        <v>0</v>
      </c>
    </row>
    <row r="537" spans="34:37">
      <c r="AH537" s="20">
        <f t="shared" si="32"/>
        <v>0</v>
      </c>
      <c r="AI537" s="20">
        <f t="shared" si="33"/>
        <v>0</v>
      </c>
      <c r="AJ537" s="21">
        <f t="shared" si="34"/>
        <v>0</v>
      </c>
      <c r="AK537" s="21">
        <f t="shared" si="35"/>
        <v>0</v>
      </c>
    </row>
    <row r="538" spans="34:37">
      <c r="AH538" s="20">
        <f t="shared" si="32"/>
        <v>0</v>
      </c>
      <c r="AI538" s="20">
        <f t="shared" si="33"/>
        <v>0</v>
      </c>
      <c r="AJ538" s="21">
        <f t="shared" si="34"/>
        <v>0</v>
      </c>
      <c r="AK538" s="21">
        <f t="shared" si="35"/>
        <v>0</v>
      </c>
    </row>
    <row r="539" spans="34:37">
      <c r="AH539" s="20">
        <f t="shared" si="32"/>
        <v>0</v>
      </c>
      <c r="AI539" s="20">
        <f t="shared" si="33"/>
        <v>0</v>
      </c>
      <c r="AJ539" s="21">
        <f t="shared" si="34"/>
        <v>0</v>
      </c>
      <c r="AK539" s="21">
        <f t="shared" si="35"/>
        <v>0</v>
      </c>
    </row>
    <row r="540" spans="34:37">
      <c r="AH540" s="20">
        <f t="shared" si="32"/>
        <v>0</v>
      </c>
      <c r="AI540" s="20">
        <f t="shared" si="33"/>
        <v>0</v>
      </c>
      <c r="AJ540" s="21">
        <f t="shared" si="34"/>
        <v>0</v>
      </c>
      <c r="AK540" s="21">
        <f t="shared" si="35"/>
        <v>0</v>
      </c>
    </row>
    <row r="541" spans="34:37">
      <c r="AH541" s="20">
        <f t="shared" si="32"/>
        <v>0</v>
      </c>
      <c r="AI541" s="20">
        <f t="shared" si="33"/>
        <v>0</v>
      </c>
      <c r="AJ541" s="21">
        <f t="shared" si="34"/>
        <v>0</v>
      </c>
      <c r="AK541" s="21">
        <f t="shared" si="35"/>
        <v>0</v>
      </c>
    </row>
    <row r="542" spans="34:37">
      <c r="AH542" s="20">
        <f t="shared" si="32"/>
        <v>0</v>
      </c>
      <c r="AI542" s="20">
        <f t="shared" si="33"/>
        <v>0</v>
      </c>
      <c r="AJ542" s="21">
        <f t="shared" si="34"/>
        <v>0</v>
      </c>
      <c r="AK542" s="21">
        <f t="shared" si="35"/>
        <v>0</v>
      </c>
    </row>
    <row r="543" spans="34:37">
      <c r="AH543" s="20">
        <f t="shared" si="32"/>
        <v>0</v>
      </c>
      <c r="AI543" s="20">
        <f t="shared" si="33"/>
        <v>0</v>
      </c>
      <c r="AJ543" s="21">
        <f t="shared" si="34"/>
        <v>0</v>
      </c>
      <c r="AK543" s="21">
        <f t="shared" si="35"/>
        <v>0</v>
      </c>
    </row>
    <row r="544" spans="34:37">
      <c r="AH544" s="20">
        <f t="shared" si="32"/>
        <v>0</v>
      </c>
      <c r="AI544" s="20">
        <f t="shared" si="33"/>
        <v>0</v>
      </c>
      <c r="AJ544" s="21">
        <f t="shared" si="34"/>
        <v>0</v>
      </c>
      <c r="AK544" s="21">
        <f t="shared" si="35"/>
        <v>0</v>
      </c>
    </row>
    <row r="545" spans="34:37">
      <c r="AH545" s="20">
        <f t="shared" si="32"/>
        <v>0</v>
      </c>
      <c r="AI545" s="20">
        <f t="shared" si="33"/>
        <v>0</v>
      </c>
      <c r="AJ545" s="21">
        <f t="shared" si="34"/>
        <v>0</v>
      </c>
      <c r="AK545" s="21">
        <f t="shared" si="35"/>
        <v>0</v>
      </c>
    </row>
    <row r="546" spans="34:37">
      <c r="AH546" s="20">
        <f t="shared" si="32"/>
        <v>0</v>
      </c>
      <c r="AI546" s="20">
        <f t="shared" si="33"/>
        <v>0</v>
      </c>
      <c r="AJ546" s="21">
        <f t="shared" si="34"/>
        <v>0</v>
      </c>
      <c r="AK546" s="21">
        <f t="shared" si="35"/>
        <v>0</v>
      </c>
    </row>
    <row r="547" spans="34:37">
      <c r="AH547" s="20">
        <f t="shared" si="32"/>
        <v>0</v>
      </c>
      <c r="AI547" s="20">
        <f t="shared" si="33"/>
        <v>0</v>
      </c>
      <c r="AJ547" s="21">
        <f t="shared" si="34"/>
        <v>0</v>
      </c>
      <c r="AK547" s="21">
        <f t="shared" si="35"/>
        <v>0</v>
      </c>
    </row>
    <row r="548" spans="34:37">
      <c r="AH548" s="20">
        <f t="shared" si="32"/>
        <v>0</v>
      </c>
      <c r="AI548" s="20">
        <f t="shared" si="33"/>
        <v>0</v>
      </c>
      <c r="AJ548" s="21">
        <f t="shared" si="34"/>
        <v>0</v>
      </c>
      <c r="AK548" s="21">
        <f t="shared" si="35"/>
        <v>0</v>
      </c>
    </row>
    <row r="549" spans="34:37">
      <c r="AH549" s="20">
        <f t="shared" si="32"/>
        <v>0</v>
      </c>
      <c r="AI549" s="20">
        <f t="shared" si="33"/>
        <v>0</v>
      </c>
      <c r="AJ549" s="21">
        <f t="shared" si="34"/>
        <v>0</v>
      </c>
      <c r="AK549" s="21">
        <f t="shared" si="35"/>
        <v>0</v>
      </c>
    </row>
    <row r="550" spans="34:37">
      <c r="AH550" s="20">
        <f t="shared" si="32"/>
        <v>0</v>
      </c>
      <c r="AI550" s="20">
        <f t="shared" si="33"/>
        <v>0</v>
      </c>
      <c r="AJ550" s="21">
        <f t="shared" si="34"/>
        <v>0</v>
      </c>
      <c r="AK550" s="21">
        <f t="shared" si="35"/>
        <v>0</v>
      </c>
    </row>
    <row r="551" spans="34:37">
      <c r="AH551" s="20">
        <f t="shared" si="32"/>
        <v>0</v>
      </c>
      <c r="AI551" s="20">
        <f t="shared" si="33"/>
        <v>0</v>
      </c>
      <c r="AJ551" s="21">
        <f t="shared" si="34"/>
        <v>0</v>
      </c>
      <c r="AK551" s="21">
        <f t="shared" si="35"/>
        <v>0</v>
      </c>
    </row>
    <row r="552" spans="34:37">
      <c r="AH552" s="20">
        <f t="shared" si="32"/>
        <v>0</v>
      </c>
      <c r="AI552" s="20">
        <f t="shared" si="33"/>
        <v>0</v>
      </c>
      <c r="AJ552" s="21">
        <f t="shared" si="34"/>
        <v>0</v>
      </c>
      <c r="AK552" s="21">
        <f t="shared" si="35"/>
        <v>0</v>
      </c>
    </row>
    <row r="553" spans="34:37">
      <c r="AH553" s="20">
        <f t="shared" si="32"/>
        <v>0</v>
      </c>
      <c r="AI553" s="20">
        <f t="shared" si="33"/>
        <v>0</v>
      </c>
      <c r="AJ553" s="21">
        <f t="shared" si="34"/>
        <v>0</v>
      </c>
      <c r="AK553" s="21">
        <f t="shared" si="35"/>
        <v>0</v>
      </c>
    </row>
    <row r="554" spans="34:37">
      <c r="AH554" s="20">
        <f t="shared" si="32"/>
        <v>0</v>
      </c>
      <c r="AI554" s="20">
        <f t="shared" si="33"/>
        <v>0</v>
      </c>
      <c r="AJ554" s="21">
        <f t="shared" si="34"/>
        <v>0</v>
      </c>
      <c r="AK554" s="21">
        <f t="shared" si="35"/>
        <v>0</v>
      </c>
    </row>
    <row r="555" spans="34:37">
      <c r="AH555" s="20">
        <f t="shared" si="32"/>
        <v>0</v>
      </c>
      <c r="AI555" s="20">
        <f t="shared" si="33"/>
        <v>0</v>
      </c>
      <c r="AJ555" s="21">
        <f t="shared" si="34"/>
        <v>0</v>
      </c>
      <c r="AK555" s="21">
        <f t="shared" si="35"/>
        <v>0</v>
      </c>
    </row>
    <row r="556" spans="34:37">
      <c r="AH556" s="20">
        <f t="shared" si="32"/>
        <v>0</v>
      </c>
      <c r="AI556" s="20">
        <f t="shared" si="33"/>
        <v>0</v>
      </c>
      <c r="AJ556" s="21">
        <f t="shared" si="34"/>
        <v>0</v>
      </c>
      <c r="AK556" s="21">
        <f t="shared" si="35"/>
        <v>0</v>
      </c>
    </row>
    <row r="557" spans="34:37">
      <c r="AH557" s="20">
        <f t="shared" si="32"/>
        <v>0</v>
      </c>
      <c r="AI557" s="20">
        <f t="shared" si="33"/>
        <v>0</v>
      </c>
      <c r="AJ557" s="21">
        <f t="shared" si="34"/>
        <v>0</v>
      </c>
      <c r="AK557" s="21">
        <f t="shared" si="35"/>
        <v>0</v>
      </c>
    </row>
    <row r="558" spans="34:37">
      <c r="AH558" s="20">
        <f t="shared" si="32"/>
        <v>0</v>
      </c>
      <c r="AI558" s="20">
        <f t="shared" si="33"/>
        <v>0</v>
      </c>
      <c r="AJ558" s="21">
        <f t="shared" si="34"/>
        <v>0</v>
      </c>
      <c r="AK558" s="21">
        <f t="shared" si="35"/>
        <v>0</v>
      </c>
    </row>
    <row r="559" spans="34:37">
      <c r="AH559" s="20">
        <f t="shared" si="32"/>
        <v>0</v>
      </c>
      <c r="AI559" s="20">
        <f t="shared" si="33"/>
        <v>0</v>
      </c>
      <c r="AJ559" s="21">
        <f t="shared" si="34"/>
        <v>0</v>
      </c>
      <c r="AK559" s="21">
        <f t="shared" si="35"/>
        <v>0</v>
      </c>
    </row>
    <row r="560" spans="34:37">
      <c r="AH560" s="20">
        <f t="shared" si="32"/>
        <v>0</v>
      </c>
      <c r="AI560" s="20">
        <f t="shared" si="33"/>
        <v>0</v>
      </c>
      <c r="AJ560" s="21">
        <f t="shared" si="34"/>
        <v>0</v>
      </c>
      <c r="AK560" s="21">
        <f t="shared" si="35"/>
        <v>0</v>
      </c>
    </row>
    <row r="561" spans="34:37">
      <c r="AH561" s="20">
        <f t="shared" si="32"/>
        <v>0</v>
      </c>
      <c r="AI561" s="20">
        <f t="shared" si="33"/>
        <v>0</v>
      </c>
      <c r="AJ561" s="21">
        <f t="shared" si="34"/>
        <v>0</v>
      </c>
      <c r="AK561" s="21">
        <f t="shared" si="35"/>
        <v>0</v>
      </c>
    </row>
    <row r="562" spans="34:37">
      <c r="AH562" s="20">
        <f t="shared" si="32"/>
        <v>0</v>
      </c>
      <c r="AI562" s="20">
        <f t="shared" si="33"/>
        <v>0</v>
      </c>
      <c r="AJ562" s="21">
        <f t="shared" si="34"/>
        <v>0</v>
      </c>
      <c r="AK562" s="21">
        <f t="shared" si="35"/>
        <v>0</v>
      </c>
    </row>
    <row r="563" spans="34:37">
      <c r="AH563" s="20">
        <f t="shared" si="32"/>
        <v>0</v>
      </c>
      <c r="AI563" s="20">
        <f t="shared" si="33"/>
        <v>0</v>
      </c>
      <c r="AJ563" s="21">
        <f t="shared" si="34"/>
        <v>0</v>
      </c>
      <c r="AK563" s="21">
        <f t="shared" si="35"/>
        <v>0</v>
      </c>
    </row>
    <row r="564" spans="34:37">
      <c r="AH564" s="20">
        <f t="shared" si="32"/>
        <v>0</v>
      </c>
      <c r="AI564" s="20">
        <f t="shared" si="33"/>
        <v>0</v>
      </c>
      <c r="AJ564" s="21">
        <f t="shared" si="34"/>
        <v>0</v>
      </c>
      <c r="AK564" s="21">
        <f t="shared" si="35"/>
        <v>0</v>
      </c>
    </row>
    <row r="565" spans="34:37">
      <c r="AH565" s="20">
        <f t="shared" si="32"/>
        <v>0</v>
      </c>
      <c r="AI565" s="20">
        <f t="shared" si="33"/>
        <v>0</v>
      </c>
      <c r="AJ565" s="21">
        <f t="shared" si="34"/>
        <v>0</v>
      </c>
      <c r="AK565" s="21">
        <f t="shared" si="35"/>
        <v>0</v>
      </c>
    </row>
    <row r="566" spans="34:37">
      <c r="AH566" s="20">
        <f t="shared" si="32"/>
        <v>0</v>
      </c>
      <c r="AI566" s="20">
        <f t="shared" si="33"/>
        <v>0</v>
      </c>
      <c r="AJ566" s="21">
        <f t="shared" si="34"/>
        <v>0</v>
      </c>
      <c r="AK566" s="21">
        <f t="shared" si="35"/>
        <v>0</v>
      </c>
    </row>
    <row r="567" spans="34:37">
      <c r="AH567" s="20">
        <f t="shared" si="32"/>
        <v>0</v>
      </c>
      <c r="AI567" s="20">
        <f t="shared" si="33"/>
        <v>0</v>
      </c>
      <c r="AJ567" s="21">
        <f t="shared" si="34"/>
        <v>0</v>
      </c>
      <c r="AK567" s="21">
        <f t="shared" si="35"/>
        <v>0</v>
      </c>
    </row>
    <row r="568" spans="34:37">
      <c r="AH568" s="20">
        <f t="shared" si="32"/>
        <v>0</v>
      </c>
      <c r="AI568" s="20">
        <f t="shared" si="33"/>
        <v>0</v>
      </c>
      <c r="AJ568" s="21">
        <f t="shared" si="34"/>
        <v>0</v>
      </c>
      <c r="AK568" s="21">
        <f t="shared" si="35"/>
        <v>0</v>
      </c>
    </row>
    <row r="569" spans="34:37">
      <c r="AH569" s="20">
        <f t="shared" si="32"/>
        <v>0</v>
      </c>
      <c r="AI569" s="20">
        <f t="shared" si="33"/>
        <v>0</v>
      </c>
      <c r="AJ569" s="21">
        <f t="shared" si="34"/>
        <v>0</v>
      </c>
      <c r="AK569" s="21">
        <f t="shared" si="35"/>
        <v>0</v>
      </c>
    </row>
    <row r="570" spans="34:37">
      <c r="AH570" s="20">
        <f t="shared" si="32"/>
        <v>0</v>
      </c>
      <c r="AI570" s="20">
        <f t="shared" si="33"/>
        <v>0</v>
      </c>
      <c r="AJ570" s="21">
        <f t="shared" si="34"/>
        <v>0</v>
      </c>
      <c r="AK570" s="21">
        <f t="shared" si="35"/>
        <v>0</v>
      </c>
    </row>
    <row r="571" spans="34:37">
      <c r="AH571" s="20">
        <f t="shared" si="32"/>
        <v>0</v>
      </c>
      <c r="AI571" s="20">
        <f t="shared" si="33"/>
        <v>0</v>
      </c>
      <c r="AJ571" s="21">
        <f t="shared" si="34"/>
        <v>0</v>
      </c>
      <c r="AK571" s="21">
        <f t="shared" si="35"/>
        <v>0</v>
      </c>
    </row>
    <row r="572" spans="34:37">
      <c r="AH572" s="20">
        <f t="shared" si="32"/>
        <v>0</v>
      </c>
      <c r="AI572" s="20">
        <f t="shared" si="33"/>
        <v>0</v>
      </c>
      <c r="AJ572" s="21">
        <f t="shared" si="34"/>
        <v>0</v>
      </c>
      <c r="AK572" s="21">
        <f t="shared" si="35"/>
        <v>0</v>
      </c>
    </row>
    <row r="573" spans="34:37">
      <c r="AH573" s="20">
        <f t="shared" si="32"/>
        <v>0</v>
      </c>
      <c r="AI573" s="20">
        <f t="shared" si="33"/>
        <v>0</v>
      </c>
      <c r="AJ573" s="21">
        <f t="shared" si="34"/>
        <v>0</v>
      </c>
      <c r="AK573" s="21">
        <f t="shared" si="35"/>
        <v>0</v>
      </c>
    </row>
    <row r="574" spans="34:37">
      <c r="AH574" s="20">
        <f t="shared" si="32"/>
        <v>0</v>
      </c>
      <c r="AI574" s="20">
        <f t="shared" si="33"/>
        <v>0</v>
      </c>
      <c r="AJ574" s="21">
        <f t="shared" si="34"/>
        <v>0</v>
      </c>
      <c r="AK574" s="21">
        <f t="shared" si="35"/>
        <v>0</v>
      </c>
    </row>
    <row r="575" spans="34:37">
      <c r="AH575" s="20">
        <f t="shared" si="32"/>
        <v>0</v>
      </c>
      <c r="AI575" s="20">
        <f t="shared" si="33"/>
        <v>0</v>
      </c>
      <c r="AJ575" s="21">
        <f t="shared" si="34"/>
        <v>0</v>
      </c>
      <c r="AK575" s="21">
        <f t="shared" si="35"/>
        <v>0</v>
      </c>
    </row>
    <row r="576" spans="34:37">
      <c r="AH576" s="20">
        <f t="shared" si="32"/>
        <v>0</v>
      </c>
      <c r="AI576" s="20">
        <f t="shared" si="33"/>
        <v>0</v>
      </c>
      <c r="AJ576" s="21">
        <f t="shared" si="34"/>
        <v>0</v>
      </c>
      <c r="AK576" s="21">
        <f t="shared" si="35"/>
        <v>0</v>
      </c>
    </row>
    <row r="577" spans="34:37">
      <c r="AH577" s="20">
        <f t="shared" si="32"/>
        <v>0</v>
      </c>
      <c r="AI577" s="20">
        <f t="shared" si="33"/>
        <v>0</v>
      </c>
      <c r="AJ577" s="21">
        <f t="shared" si="34"/>
        <v>0</v>
      </c>
      <c r="AK577" s="21">
        <f t="shared" si="35"/>
        <v>0</v>
      </c>
    </row>
    <row r="578" spans="34:37">
      <c r="AH578" s="20">
        <f t="shared" si="32"/>
        <v>0</v>
      </c>
      <c r="AI578" s="20">
        <f t="shared" si="33"/>
        <v>0</v>
      </c>
      <c r="AJ578" s="21">
        <f t="shared" si="34"/>
        <v>0</v>
      </c>
      <c r="AK578" s="21">
        <f t="shared" si="35"/>
        <v>0</v>
      </c>
    </row>
    <row r="579" spans="34:37">
      <c r="AH579" s="20">
        <f t="shared" ref="AH579:AH642" si="36">IF($B579="oui",IF($R579="R",IF($Q579&gt;30,1,0),0),0)</f>
        <v>0</v>
      </c>
      <c r="AI579" s="20">
        <f t="shared" ref="AI579:AI642" si="37">IF($B579="oui",IF($R579="AR",IF($Q579&gt;30,1,0),0),0)</f>
        <v>0</v>
      </c>
      <c r="AJ579" s="21">
        <f t="shared" ref="AJ579:AJ642" si="38">IF($B579="oui",IF($R579="EC",1,0),0)</f>
        <v>0</v>
      </c>
      <c r="AK579" s="21">
        <f t="shared" ref="AK579:AK642" si="39">IF(M579&lt;&gt;"",IF(ISBLANK(P579),1,0),0)</f>
        <v>0</v>
      </c>
    </row>
    <row r="580" spans="34:37">
      <c r="AH580" s="20">
        <f t="shared" si="36"/>
        <v>0</v>
      </c>
      <c r="AI580" s="20">
        <f t="shared" si="37"/>
        <v>0</v>
      </c>
      <c r="AJ580" s="21">
        <f t="shared" si="38"/>
        <v>0</v>
      </c>
      <c r="AK580" s="21">
        <f t="shared" si="39"/>
        <v>0</v>
      </c>
    </row>
    <row r="581" spans="34:37">
      <c r="AH581" s="20">
        <f t="shared" si="36"/>
        <v>0</v>
      </c>
      <c r="AI581" s="20">
        <f t="shared" si="37"/>
        <v>0</v>
      </c>
      <c r="AJ581" s="21">
        <f t="shared" si="38"/>
        <v>0</v>
      </c>
      <c r="AK581" s="21">
        <f t="shared" si="39"/>
        <v>0</v>
      </c>
    </row>
    <row r="582" spans="34:37">
      <c r="AH582" s="20">
        <f t="shared" si="36"/>
        <v>0</v>
      </c>
      <c r="AI582" s="20">
        <f t="shared" si="37"/>
        <v>0</v>
      </c>
      <c r="AJ582" s="21">
        <f t="shared" si="38"/>
        <v>0</v>
      </c>
      <c r="AK582" s="21">
        <f t="shared" si="39"/>
        <v>0</v>
      </c>
    </row>
    <row r="583" spans="34:37">
      <c r="AH583" s="20">
        <f t="shared" si="36"/>
        <v>0</v>
      </c>
      <c r="AI583" s="20">
        <f t="shared" si="37"/>
        <v>0</v>
      </c>
      <c r="AJ583" s="21">
        <f t="shared" si="38"/>
        <v>0</v>
      </c>
      <c r="AK583" s="21">
        <f t="shared" si="39"/>
        <v>0</v>
      </c>
    </row>
    <row r="584" spans="34:37">
      <c r="AH584" s="20">
        <f t="shared" si="36"/>
        <v>0</v>
      </c>
      <c r="AI584" s="20">
        <f t="shared" si="37"/>
        <v>0</v>
      </c>
      <c r="AJ584" s="21">
        <f t="shared" si="38"/>
        <v>0</v>
      </c>
      <c r="AK584" s="21">
        <f t="shared" si="39"/>
        <v>0</v>
      </c>
    </row>
    <row r="585" spans="34:37">
      <c r="AH585" s="20">
        <f t="shared" si="36"/>
        <v>0</v>
      </c>
      <c r="AI585" s="20">
        <f t="shared" si="37"/>
        <v>0</v>
      </c>
      <c r="AJ585" s="21">
        <f t="shared" si="38"/>
        <v>0</v>
      </c>
      <c r="AK585" s="21">
        <f t="shared" si="39"/>
        <v>0</v>
      </c>
    </row>
    <row r="586" spans="34:37">
      <c r="AH586" s="20">
        <f t="shared" si="36"/>
        <v>0</v>
      </c>
      <c r="AI586" s="20">
        <f t="shared" si="37"/>
        <v>0</v>
      </c>
      <c r="AJ586" s="21">
        <f t="shared" si="38"/>
        <v>0</v>
      </c>
      <c r="AK586" s="21">
        <f t="shared" si="39"/>
        <v>0</v>
      </c>
    </row>
    <row r="587" spans="34:37">
      <c r="AH587" s="20">
        <f t="shared" si="36"/>
        <v>0</v>
      </c>
      <c r="AI587" s="20">
        <f t="shared" si="37"/>
        <v>0</v>
      </c>
      <c r="AJ587" s="21">
        <f t="shared" si="38"/>
        <v>0</v>
      </c>
      <c r="AK587" s="21">
        <f t="shared" si="39"/>
        <v>0</v>
      </c>
    </row>
    <row r="588" spans="34:37">
      <c r="AH588" s="20">
        <f t="shared" si="36"/>
        <v>0</v>
      </c>
      <c r="AI588" s="20">
        <f t="shared" si="37"/>
        <v>0</v>
      </c>
      <c r="AJ588" s="21">
        <f t="shared" si="38"/>
        <v>0</v>
      </c>
      <c r="AK588" s="21">
        <f t="shared" si="39"/>
        <v>0</v>
      </c>
    </row>
    <row r="589" spans="34:37">
      <c r="AH589" s="20">
        <f t="shared" si="36"/>
        <v>0</v>
      </c>
      <c r="AI589" s="20">
        <f t="shared" si="37"/>
        <v>0</v>
      </c>
      <c r="AJ589" s="21">
        <f t="shared" si="38"/>
        <v>0</v>
      </c>
      <c r="AK589" s="21">
        <f t="shared" si="39"/>
        <v>0</v>
      </c>
    </row>
    <row r="590" spans="34:37">
      <c r="AH590" s="20">
        <f t="shared" si="36"/>
        <v>0</v>
      </c>
      <c r="AI590" s="20">
        <f t="shared" si="37"/>
        <v>0</v>
      </c>
      <c r="AJ590" s="21">
        <f t="shared" si="38"/>
        <v>0</v>
      </c>
      <c r="AK590" s="21">
        <f t="shared" si="39"/>
        <v>0</v>
      </c>
    </row>
    <row r="591" spans="34:37">
      <c r="AH591" s="20">
        <f t="shared" si="36"/>
        <v>0</v>
      </c>
      <c r="AI591" s="20">
        <f t="shared" si="37"/>
        <v>0</v>
      </c>
      <c r="AJ591" s="21">
        <f t="shared" si="38"/>
        <v>0</v>
      </c>
      <c r="AK591" s="21">
        <f t="shared" si="39"/>
        <v>0</v>
      </c>
    </row>
    <row r="592" spans="34:37">
      <c r="AH592" s="20">
        <f t="shared" si="36"/>
        <v>0</v>
      </c>
      <c r="AI592" s="20">
        <f t="shared" si="37"/>
        <v>0</v>
      </c>
      <c r="AJ592" s="21">
        <f t="shared" si="38"/>
        <v>0</v>
      </c>
      <c r="AK592" s="21">
        <f t="shared" si="39"/>
        <v>0</v>
      </c>
    </row>
    <row r="593" spans="34:37">
      <c r="AH593" s="20">
        <f t="shared" si="36"/>
        <v>0</v>
      </c>
      <c r="AI593" s="20">
        <f t="shared" si="37"/>
        <v>0</v>
      </c>
      <c r="AJ593" s="21">
        <f t="shared" si="38"/>
        <v>0</v>
      </c>
      <c r="AK593" s="21">
        <f t="shared" si="39"/>
        <v>0</v>
      </c>
    </row>
    <row r="594" spans="34:37">
      <c r="AH594" s="20">
        <f t="shared" si="36"/>
        <v>0</v>
      </c>
      <c r="AI594" s="20">
        <f t="shared" si="37"/>
        <v>0</v>
      </c>
      <c r="AJ594" s="21">
        <f t="shared" si="38"/>
        <v>0</v>
      </c>
      <c r="AK594" s="21">
        <f t="shared" si="39"/>
        <v>0</v>
      </c>
    </row>
    <row r="595" spans="34:37">
      <c r="AH595" s="20">
        <f t="shared" si="36"/>
        <v>0</v>
      </c>
      <c r="AI595" s="20">
        <f t="shared" si="37"/>
        <v>0</v>
      </c>
      <c r="AJ595" s="21">
        <f t="shared" si="38"/>
        <v>0</v>
      </c>
      <c r="AK595" s="21">
        <f t="shared" si="39"/>
        <v>0</v>
      </c>
    </row>
    <row r="596" spans="34:37">
      <c r="AH596" s="20">
        <f t="shared" si="36"/>
        <v>0</v>
      </c>
      <c r="AI596" s="20">
        <f t="shared" si="37"/>
        <v>0</v>
      </c>
      <c r="AJ596" s="21">
        <f t="shared" si="38"/>
        <v>0</v>
      </c>
      <c r="AK596" s="21">
        <f t="shared" si="39"/>
        <v>0</v>
      </c>
    </row>
    <row r="597" spans="34:37">
      <c r="AH597" s="20">
        <f t="shared" si="36"/>
        <v>0</v>
      </c>
      <c r="AI597" s="20">
        <f t="shared" si="37"/>
        <v>0</v>
      </c>
      <c r="AJ597" s="21">
        <f t="shared" si="38"/>
        <v>0</v>
      </c>
      <c r="AK597" s="21">
        <f t="shared" si="39"/>
        <v>0</v>
      </c>
    </row>
    <row r="598" spans="34:37">
      <c r="AH598" s="20">
        <f t="shared" si="36"/>
        <v>0</v>
      </c>
      <c r="AI598" s="20">
        <f t="shared" si="37"/>
        <v>0</v>
      </c>
      <c r="AJ598" s="21">
        <f t="shared" si="38"/>
        <v>0</v>
      </c>
      <c r="AK598" s="21">
        <f t="shared" si="39"/>
        <v>0</v>
      </c>
    </row>
    <row r="599" spans="34:37">
      <c r="AH599" s="20">
        <f t="shared" si="36"/>
        <v>0</v>
      </c>
      <c r="AI599" s="20">
        <f t="shared" si="37"/>
        <v>0</v>
      </c>
      <c r="AJ599" s="21">
        <f t="shared" si="38"/>
        <v>0</v>
      </c>
      <c r="AK599" s="21">
        <f t="shared" si="39"/>
        <v>0</v>
      </c>
    </row>
    <row r="600" spans="34:37">
      <c r="AH600" s="20">
        <f t="shared" si="36"/>
        <v>0</v>
      </c>
      <c r="AI600" s="20">
        <f t="shared" si="37"/>
        <v>0</v>
      </c>
      <c r="AJ600" s="21">
        <f t="shared" si="38"/>
        <v>0</v>
      </c>
      <c r="AK600" s="21">
        <f t="shared" si="39"/>
        <v>0</v>
      </c>
    </row>
    <row r="601" spans="34:37">
      <c r="AH601" s="20">
        <f t="shared" si="36"/>
        <v>0</v>
      </c>
      <c r="AI601" s="20">
        <f t="shared" si="37"/>
        <v>0</v>
      </c>
      <c r="AJ601" s="21">
        <f t="shared" si="38"/>
        <v>0</v>
      </c>
      <c r="AK601" s="21">
        <f t="shared" si="39"/>
        <v>0</v>
      </c>
    </row>
    <row r="602" spans="34:37">
      <c r="AH602" s="20">
        <f t="shared" si="36"/>
        <v>0</v>
      </c>
      <c r="AI602" s="20">
        <f t="shared" si="37"/>
        <v>0</v>
      </c>
      <c r="AJ602" s="21">
        <f t="shared" si="38"/>
        <v>0</v>
      </c>
      <c r="AK602" s="21">
        <f t="shared" si="39"/>
        <v>0</v>
      </c>
    </row>
    <row r="603" spans="34:37">
      <c r="AH603" s="20">
        <f t="shared" si="36"/>
        <v>0</v>
      </c>
      <c r="AI603" s="20">
        <f t="shared" si="37"/>
        <v>0</v>
      </c>
      <c r="AJ603" s="21">
        <f t="shared" si="38"/>
        <v>0</v>
      </c>
      <c r="AK603" s="21">
        <f t="shared" si="39"/>
        <v>0</v>
      </c>
    </row>
    <row r="604" spans="34:37">
      <c r="AH604" s="20">
        <f t="shared" si="36"/>
        <v>0</v>
      </c>
      <c r="AI604" s="20">
        <f t="shared" si="37"/>
        <v>0</v>
      </c>
      <c r="AJ604" s="21">
        <f t="shared" si="38"/>
        <v>0</v>
      </c>
      <c r="AK604" s="21">
        <f t="shared" si="39"/>
        <v>0</v>
      </c>
    </row>
    <row r="605" spans="34:37">
      <c r="AH605" s="20">
        <f t="shared" si="36"/>
        <v>0</v>
      </c>
      <c r="AI605" s="20">
        <f t="shared" si="37"/>
        <v>0</v>
      </c>
      <c r="AJ605" s="21">
        <f t="shared" si="38"/>
        <v>0</v>
      </c>
      <c r="AK605" s="21">
        <f t="shared" si="39"/>
        <v>0</v>
      </c>
    </row>
    <row r="606" spans="34:37">
      <c r="AH606" s="20">
        <f t="shared" si="36"/>
        <v>0</v>
      </c>
      <c r="AI606" s="20">
        <f t="shared" si="37"/>
        <v>0</v>
      </c>
      <c r="AJ606" s="21">
        <f t="shared" si="38"/>
        <v>0</v>
      </c>
      <c r="AK606" s="21">
        <f t="shared" si="39"/>
        <v>0</v>
      </c>
    </row>
    <row r="607" spans="34:37">
      <c r="AH607" s="20">
        <f t="shared" si="36"/>
        <v>0</v>
      </c>
      <c r="AI607" s="20">
        <f t="shared" si="37"/>
        <v>0</v>
      </c>
      <c r="AJ607" s="21">
        <f t="shared" si="38"/>
        <v>0</v>
      </c>
      <c r="AK607" s="21">
        <f t="shared" si="39"/>
        <v>0</v>
      </c>
    </row>
    <row r="608" spans="34:37">
      <c r="AH608" s="20">
        <f t="shared" si="36"/>
        <v>0</v>
      </c>
      <c r="AI608" s="20">
        <f t="shared" si="37"/>
        <v>0</v>
      </c>
      <c r="AJ608" s="21">
        <f t="shared" si="38"/>
        <v>0</v>
      </c>
      <c r="AK608" s="21">
        <f t="shared" si="39"/>
        <v>0</v>
      </c>
    </row>
    <row r="609" spans="34:37">
      <c r="AH609" s="20">
        <f t="shared" si="36"/>
        <v>0</v>
      </c>
      <c r="AI609" s="20">
        <f t="shared" si="37"/>
        <v>0</v>
      </c>
      <c r="AJ609" s="21">
        <f t="shared" si="38"/>
        <v>0</v>
      </c>
      <c r="AK609" s="21">
        <f t="shared" si="39"/>
        <v>0</v>
      </c>
    </row>
    <row r="610" spans="34:37">
      <c r="AH610" s="20">
        <f t="shared" si="36"/>
        <v>0</v>
      </c>
      <c r="AI610" s="20">
        <f t="shared" si="37"/>
        <v>0</v>
      </c>
      <c r="AJ610" s="21">
        <f t="shared" si="38"/>
        <v>0</v>
      </c>
      <c r="AK610" s="21">
        <f t="shared" si="39"/>
        <v>0</v>
      </c>
    </row>
    <row r="611" spans="34:37">
      <c r="AH611" s="20">
        <f t="shared" si="36"/>
        <v>0</v>
      </c>
      <c r="AI611" s="20">
        <f t="shared" si="37"/>
        <v>0</v>
      </c>
      <c r="AJ611" s="21">
        <f t="shared" si="38"/>
        <v>0</v>
      </c>
      <c r="AK611" s="21">
        <f t="shared" si="39"/>
        <v>0</v>
      </c>
    </row>
    <row r="612" spans="34:37">
      <c r="AH612" s="20">
        <f t="shared" si="36"/>
        <v>0</v>
      </c>
      <c r="AI612" s="20">
        <f t="shared" si="37"/>
        <v>0</v>
      </c>
      <c r="AJ612" s="21">
        <f t="shared" si="38"/>
        <v>0</v>
      </c>
      <c r="AK612" s="21">
        <f t="shared" si="39"/>
        <v>0</v>
      </c>
    </row>
    <row r="613" spans="34:37">
      <c r="AH613" s="20">
        <f t="shared" si="36"/>
        <v>0</v>
      </c>
      <c r="AI613" s="20">
        <f t="shared" si="37"/>
        <v>0</v>
      </c>
      <c r="AJ613" s="21">
        <f t="shared" si="38"/>
        <v>0</v>
      </c>
      <c r="AK613" s="21">
        <f t="shared" si="39"/>
        <v>0</v>
      </c>
    </row>
    <row r="614" spans="34:37">
      <c r="AH614" s="20">
        <f t="shared" si="36"/>
        <v>0</v>
      </c>
      <c r="AI614" s="20">
        <f t="shared" si="37"/>
        <v>0</v>
      </c>
      <c r="AJ614" s="21">
        <f t="shared" si="38"/>
        <v>0</v>
      </c>
      <c r="AK614" s="21">
        <f t="shared" si="39"/>
        <v>0</v>
      </c>
    </row>
    <row r="615" spans="34:37">
      <c r="AH615" s="20">
        <f t="shared" si="36"/>
        <v>0</v>
      </c>
      <c r="AI615" s="20">
        <f t="shared" si="37"/>
        <v>0</v>
      </c>
      <c r="AJ615" s="21">
        <f t="shared" si="38"/>
        <v>0</v>
      </c>
      <c r="AK615" s="21">
        <f t="shared" si="39"/>
        <v>0</v>
      </c>
    </row>
    <row r="616" spans="34:37">
      <c r="AH616" s="20">
        <f t="shared" si="36"/>
        <v>0</v>
      </c>
      <c r="AI616" s="20">
        <f t="shared" si="37"/>
        <v>0</v>
      </c>
      <c r="AJ616" s="21">
        <f t="shared" si="38"/>
        <v>0</v>
      </c>
      <c r="AK616" s="21">
        <f t="shared" si="39"/>
        <v>0</v>
      </c>
    </row>
    <row r="617" spans="34:37">
      <c r="AH617" s="20">
        <f t="shared" si="36"/>
        <v>0</v>
      </c>
      <c r="AI617" s="20">
        <f t="shared" si="37"/>
        <v>0</v>
      </c>
      <c r="AJ617" s="21">
        <f t="shared" si="38"/>
        <v>0</v>
      </c>
      <c r="AK617" s="21">
        <f t="shared" si="39"/>
        <v>0</v>
      </c>
    </row>
    <row r="618" spans="34:37">
      <c r="AH618" s="20">
        <f t="shared" si="36"/>
        <v>0</v>
      </c>
      <c r="AI618" s="20">
        <f t="shared" si="37"/>
        <v>0</v>
      </c>
      <c r="AJ618" s="21">
        <f t="shared" si="38"/>
        <v>0</v>
      </c>
      <c r="AK618" s="21">
        <f t="shared" si="39"/>
        <v>0</v>
      </c>
    </row>
    <row r="619" spans="34:37">
      <c r="AH619" s="20">
        <f t="shared" si="36"/>
        <v>0</v>
      </c>
      <c r="AI619" s="20">
        <f t="shared" si="37"/>
        <v>0</v>
      </c>
      <c r="AJ619" s="21">
        <f t="shared" si="38"/>
        <v>0</v>
      </c>
      <c r="AK619" s="21">
        <f t="shared" si="39"/>
        <v>0</v>
      </c>
    </row>
    <row r="620" spans="34:37">
      <c r="AH620" s="20">
        <f t="shared" si="36"/>
        <v>0</v>
      </c>
      <c r="AI620" s="20">
        <f t="shared" si="37"/>
        <v>0</v>
      </c>
      <c r="AJ620" s="21">
        <f t="shared" si="38"/>
        <v>0</v>
      </c>
      <c r="AK620" s="21">
        <f t="shared" si="39"/>
        <v>0</v>
      </c>
    </row>
    <row r="621" spans="34:37">
      <c r="AH621" s="20">
        <f t="shared" si="36"/>
        <v>0</v>
      </c>
      <c r="AI621" s="20">
        <f t="shared" si="37"/>
        <v>0</v>
      </c>
      <c r="AJ621" s="21">
        <f t="shared" si="38"/>
        <v>0</v>
      </c>
      <c r="AK621" s="21">
        <f t="shared" si="39"/>
        <v>0</v>
      </c>
    </row>
    <row r="622" spans="34:37">
      <c r="AH622" s="20">
        <f t="shared" si="36"/>
        <v>0</v>
      </c>
      <c r="AI622" s="20">
        <f t="shared" si="37"/>
        <v>0</v>
      </c>
      <c r="AJ622" s="21">
        <f t="shared" si="38"/>
        <v>0</v>
      </c>
      <c r="AK622" s="21">
        <f t="shared" si="39"/>
        <v>0</v>
      </c>
    </row>
    <row r="623" spans="34:37">
      <c r="AH623" s="20">
        <f t="shared" si="36"/>
        <v>0</v>
      </c>
      <c r="AI623" s="20">
        <f t="shared" si="37"/>
        <v>0</v>
      </c>
      <c r="AJ623" s="21">
        <f t="shared" si="38"/>
        <v>0</v>
      </c>
      <c r="AK623" s="21">
        <f t="shared" si="39"/>
        <v>0</v>
      </c>
    </row>
    <row r="624" spans="34:37">
      <c r="AH624" s="20">
        <f t="shared" si="36"/>
        <v>0</v>
      </c>
      <c r="AI624" s="20">
        <f t="shared" si="37"/>
        <v>0</v>
      </c>
      <c r="AJ624" s="21">
        <f t="shared" si="38"/>
        <v>0</v>
      </c>
      <c r="AK624" s="21">
        <f t="shared" si="39"/>
        <v>0</v>
      </c>
    </row>
    <row r="625" spans="34:37">
      <c r="AH625" s="20">
        <f t="shared" si="36"/>
        <v>0</v>
      </c>
      <c r="AI625" s="20">
        <f t="shared" si="37"/>
        <v>0</v>
      </c>
      <c r="AJ625" s="21">
        <f t="shared" si="38"/>
        <v>0</v>
      </c>
      <c r="AK625" s="21">
        <f t="shared" si="39"/>
        <v>0</v>
      </c>
    </row>
    <row r="626" spans="34:37">
      <c r="AH626" s="20">
        <f t="shared" si="36"/>
        <v>0</v>
      </c>
      <c r="AI626" s="20">
        <f t="shared" si="37"/>
        <v>0</v>
      </c>
      <c r="AJ626" s="21">
        <f t="shared" si="38"/>
        <v>0</v>
      </c>
      <c r="AK626" s="21">
        <f t="shared" si="39"/>
        <v>0</v>
      </c>
    </row>
    <row r="627" spans="34:37">
      <c r="AH627" s="20">
        <f t="shared" si="36"/>
        <v>0</v>
      </c>
      <c r="AI627" s="20">
        <f t="shared" si="37"/>
        <v>0</v>
      </c>
      <c r="AJ627" s="21">
        <f t="shared" si="38"/>
        <v>0</v>
      </c>
      <c r="AK627" s="21">
        <f t="shared" si="39"/>
        <v>0</v>
      </c>
    </row>
    <row r="628" spans="34:37">
      <c r="AH628" s="20">
        <f t="shared" si="36"/>
        <v>0</v>
      </c>
      <c r="AI628" s="20">
        <f t="shared" si="37"/>
        <v>0</v>
      </c>
      <c r="AJ628" s="21">
        <f t="shared" si="38"/>
        <v>0</v>
      </c>
      <c r="AK628" s="21">
        <f t="shared" si="39"/>
        <v>0</v>
      </c>
    </row>
    <row r="629" spans="34:37">
      <c r="AH629" s="20">
        <f t="shared" si="36"/>
        <v>0</v>
      </c>
      <c r="AI629" s="20">
        <f t="shared" si="37"/>
        <v>0</v>
      </c>
      <c r="AJ629" s="21">
        <f t="shared" si="38"/>
        <v>0</v>
      </c>
      <c r="AK629" s="21">
        <f t="shared" si="39"/>
        <v>0</v>
      </c>
    </row>
    <row r="630" spans="34:37">
      <c r="AH630" s="20">
        <f t="shared" si="36"/>
        <v>0</v>
      </c>
      <c r="AI630" s="20">
        <f t="shared" si="37"/>
        <v>0</v>
      </c>
      <c r="AJ630" s="21">
        <f t="shared" si="38"/>
        <v>0</v>
      </c>
      <c r="AK630" s="21">
        <f t="shared" si="39"/>
        <v>0</v>
      </c>
    </row>
    <row r="631" spans="34:37">
      <c r="AH631" s="20">
        <f t="shared" si="36"/>
        <v>0</v>
      </c>
      <c r="AI631" s="20">
        <f t="shared" si="37"/>
        <v>0</v>
      </c>
      <c r="AJ631" s="21">
        <f t="shared" si="38"/>
        <v>0</v>
      </c>
      <c r="AK631" s="21">
        <f t="shared" si="39"/>
        <v>0</v>
      </c>
    </row>
    <row r="632" spans="34:37">
      <c r="AH632" s="20">
        <f t="shared" si="36"/>
        <v>0</v>
      </c>
      <c r="AI632" s="20">
        <f t="shared" si="37"/>
        <v>0</v>
      </c>
      <c r="AJ632" s="21">
        <f t="shared" si="38"/>
        <v>0</v>
      </c>
      <c r="AK632" s="21">
        <f t="shared" si="39"/>
        <v>0</v>
      </c>
    </row>
    <row r="633" spans="34:37">
      <c r="AH633" s="20">
        <f t="shared" si="36"/>
        <v>0</v>
      </c>
      <c r="AI633" s="20">
        <f t="shared" si="37"/>
        <v>0</v>
      </c>
      <c r="AJ633" s="21">
        <f t="shared" si="38"/>
        <v>0</v>
      </c>
      <c r="AK633" s="21">
        <f t="shared" si="39"/>
        <v>0</v>
      </c>
    </row>
    <row r="634" spans="34:37">
      <c r="AH634" s="20">
        <f t="shared" si="36"/>
        <v>0</v>
      </c>
      <c r="AI634" s="20">
        <f t="shared" si="37"/>
        <v>0</v>
      </c>
      <c r="AJ634" s="21">
        <f t="shared" si="38"/>
        <v>0</v>
      </c>
      <c r="AK634" s="21">
        <f t="shared" si="39"/>
        <v>0</v>
      </c>
    </row>
    <row r="635" spans="34:37">
      <c r="AH635" s="20">
        <f t="shared" si="36"/>
        <v>0</v>
      </c>
      <c r="AI635" s="20">
        <f t="shared" si="37"/>
        <v>0</v>
      </c>
      <c r="AJ635" s="21">
        <f t="shared" si="38"/>
        <v>0</v>
      </c>
      <c r="AK635" s="21">
        <f t="shared" si="39"/>
        <v>0</v>
      </c>
    </row>
    <row r="636" spans="34:37">
      <c r="AH636" s="20">
        <f t="shared" si="36"/>
        <v>0</v>
      </c>
      <c r="AI636" s="20">
        <f t="shared" si="37"/>
        <v>0</v>
      </c>
      <c r="AJ636" s="21">
        <f t="shared" si="38"/>
        <v>0</v>
      </c>
      <c r="AK636" s="21">
        <f t="shared" si="39"/>
        <v>0</v>
      </c>
    </row>
    <row r="637" spans="34:37">
      <c r="AH637" s="20">
        <f t="shared" si="36"/>
        <v>0</v>
      </c>
      <c r="AI637" s="20">
        <f t="shared" si="37"/>
        <v>0</v>
      </c>
      <c r="AJ637" s="21">
        <f t="shared" si="38"/>
        <v>0</v>
      </c>
      <c r="AK637" s="21">
        <f t="shared" si="39"/>
        <v>0</v>
      </c>
    </row>
    <row r="638" spans="34:37">
      <c r="AH638" s="20">
        <f t="shared" si="36"/>
        <v>0</v>
      </c>
      <c r="AI638" s="20">
        <f t="shared" si="37"/>
        <v>0</v>
      </c>
      <c r="AJ638" s="21">
        <f t="shared" si="38"/>
        <v>0</v>
      </c>
      <c r="AK638" s="21">
        <f t="shared" si="39"/>
        <v>0</v>
      </c>
    </row>
    <row r="639" spans="34:37">
      <c r="AH639" s="20">
        <f t="shared" si="36"/>
        <v>0</v>
      </c>
      <c r="AI639" s="20">
        <f t="shared" si="37"/>
        <v>0</v>
      </c>
      <c r="AJ639" s="21">
        <f t="shared" si="38"/>
        <v>0</v>
      </c>
      <c r="AK639" s="21">
        <f t="shared" si="39"/>
        <v>0</v>
      </c>
    </row>
    <row r="640" spans="34:37">
      <c r="AH640" s="20">
        <f t="shared" si="36"/>
        <v>0</v>
      </c>
      <c r="AI640" s="20">
        <f t="shared" si="37"/>
        <v>0</v>
      </c>
      <c r="AJ640" s="21">
        <f t="shared" si="38"/>
        <v>0</v>
      </c>
      <c r="AK640" s="21">
        <f t="shared" si="39"/>
        <v>0</v>
      </c>
    </row>
    <row r="641" spans="34:37">
      <c r="AH641" s="20">
        <f t="shared" si="36"/>
        <v>0</v>
      </c>
      <c r="AI641" s="20">
        <f t="shared" si="37"/>
        <v>0</v>
      </c>
      <c r="AJ641" s="21">
        <f t="shared" si="38"/>
        <v>0</v>
      </c>
      <c r="AK641" s="21">
        <f t="shared" si="39"/>
        <v>0</v>
      </c>
    </row>
    <row r="642" spans="34:37">
      <c r="AH642" s="20">
        <f t="shared" si="36"/>
        <v>0</v>
      </c>
      <c r="AI642" s="20">
        <f t="shared" si="37"/>
        <v>0</v>
      </c>
      <c r="AJ642" s="21">
        <f t="shared" si="38"/>
        <v>0</v>
      </c>
      <c r="AK642" s="21">
        <f t="shared" si="39"/>
        <v>0</v>
      </c>
    </row>
    <row r="643" spans="34:37">
      <c r="AH643" s="20">
        <f t="shared" ref="AH643:AH706" si="40">IF($B643="oui",IF($R643="R",IF($Q643&gt;30,1,0),0),0)</f>
        <v>0</v>
      </c>
      <c r="AI643" s="20">
        <f t="shared" ref="AI643:AI706" si="41">IF($B643="oui",IF($R643="AR",IF($Q643&gt;30,1,0),0),0)</f>
        <v>0</v>
      </c>
      <c r="AJ643" s="21">
        <f t="shared" ref="AJ643:AJ706" si="42">IF($B643="oui",IF($R643="EC",1,0),0)</f>
        <v>0</v>
      </c>
      <c r="AK643" s="21">
        <f t="shared" ref="AK643:AK706" si="43">IF(M643&lt;&gt;"",IF(ISBLANK(P643),1,0),0)</f>
        <v>0</v>
      </c>
    </row>
    <row r="644" spans="34:37">
      <c r="AH644" s="20">
        <f t="shared" si="40"/>
        <v>0</v>
      </c>
      <c r="AI644" s="20">
        <f t="shared" si="41"/>
        <v>0</v>
      </c>
      <c r="AJ644" s="21">
        <f t="shared" si="42"/>
        <v>0</v>
      </c>
      <c r="AK644" s="21">
        <f t="shared" si="43"/>
        <v>0</v>
      </c>
    </row>
    <row r="645" spans="34:37">
      <c r="AH645" s="20">
        <f t="shared" si="40"/>
        <v>0</v>
      </c>
      <c r="AI645" s="20">
        <f t="shared" si="41"/>
        <v>0</v>
      </c>
      <c r="AJ645" s="21">
        <f t="shared" si="42"/>
        <v>0</v>
      </c>
      <c r="AK645" s="21">
        <f t="shared" si="43"/>
        <v>0</v>
      </c>
    </row>
    <row r="646" spans="34:37">
      <c r="AH646" s="20">
        <f t="shared" si="40"/>
        <v>0</v>
      </c>
      <c r="AI646" s="20">
        <f t="shared" si="41"/>
        <v>0</v>
      </c>
      <c r="AJ646" s="21">
        <f t="shared" si="42"/>
        <v>0</v>
      </c>
      <c r="AK646" s="21">
        <f t="shared" si="43"/>
        <v>0</v>
      </c>
    </row>
    <row r="647" spans="34:37">
      <c r="AH647" s="20">
        <f t="shared" si="40"/>
        <v>0</v>
      </c>
      <c r="AI647" s="20">
        <f t="shared" si="41"/>
        <v>0</v>
      </c>
      <c r="AJ647" s="21">
        <f t="shared" si="42"/>
        <v>0</v>
      </c>
      <c r="AK647" s="21">
        <f t="shared" si="43"/>
        <v>0</v>
      </c>
    </row>
    <row r="648" spans="34:37">
      <c r="AH648" s="20">
        <f t="shared" si="40"/>
        <v>0</v>
      </c>
      <c r="AI648" s="20">
        <f t="shared" si="41"/>
        <v>0</v>
      </c>
      <c r="AJ648" s="21">
        <f t="shared" si="42"/>
        <v>0</v>
      </c>
      <c r="AK648" s="21">
        <f t="shared" si="43"/>
        <v>0</v>
      </c>
    </row>
    <row r="649" spans="34:37">
      <c r="AH649" s="20">
        <f t="shared" si="40"/>
        <v>0</v>
      </c>
      <c r="AI649" s="20">
        <f t="shared" si="41"/>
        <v>0</v>
      </c>
      <c r="AJ649" s="21">
        <f t="shared" si="42"/>
        <v>0</v>
      </c>
      <c r="AK649" s="21">
        <f t="shared" si="43"/>
        <v>0</v>
      </c>
    </row>
    <row r="650" spans="34:37">
      <c r="AH650" s="20">
        <f t="shared" si="40"/>
        <v>0</v>
      </c>
      <c r="AI650" s="20">
        <f t="shared" si="41"/>
        <v>0</v>
      </c>
      <c r="AJ650" s="21">
        <f t="shared" si="42"/>
        <v>0</v>
      </c>
      <c r="AK650" s="21">
        <f t="shared" si="43"/>
        <v>0</v>
      </c>
    </row>
    <row r="651" spans="34:37">
      <c r="AH651" s="20">
        <f t="shared" si="40"/>
        <v>0</v>
      </c>
      <c r="AI651" s="20">
        <f t="shared" si="41"/>
        <v>0</v>
      </c>
      <c r="AJ651" s="21">
        <f t="shared" si="42"/>
        <v>0</v>
      </c>
      <c r="AK651" s="21">
        <f t="shared" si="43"/>
        <v>0</v>
      </c>
    </row>
    <row r="652" spans="34:37">
      <c r="AH652" s="20">
        <f t="shared" si="40"/>
        <v>0</v>
      </c>
      <c r="AI652" s="20">
        <f t="shared" si="41"/>
        <v>0</v>
      </c>
      <c r="AJ652" s="21">
        <f t="shared" si="42"/>
        <v>0</v>
      </c>
      <c r="AK652" s="21">
        <f t="shared" si="43"/>
        <v>0</v>
      </c>
    </row>
    <row r="653" spans="34:37">
      <c r="AH653" s="20">
        <f t="shared" si="40"/>
        <v>0</v>
      </c>
      <c r="AI653" s="20">
        <f t="shared" si="41"/>
        <v>0</v>
      </c>
      <c r="AJ653" s="21">
        <f t="shared" si="42"/>
        <v>0</v>
      </c>
      <c r="AK653" s="21">
        <f t="shared" si="43"/>
        <v>0</v>
      </c>
    </row>
    <row r="654" spans="34:37">
      <c r="AH654" s="20">
        <f t="shared" si="40"/>
        <v>0</v>
      </c>
      <c r="AI654" s="20">
        <f t="shared" si="41"/>
        <v>0</v>
      </c>
      <c r="AJ654" s="21">
        <f t="shared" si="42"/>
        <v>0</v>
      </c>
      <c r="AK654" s="21">
        <f t="shared" si="43"/>
        <v>0</v>
      </c>
    </row>
    <row r="655" spans="34:37">
      <c r="AH655" s="20">
        <f t="shared" si="40"/>
        <v>0</v>
      </c>
      <c r="AI655" s="20">
        <f t="shared" si="41"/>
        <v>0</v>
      </c>
      <c r="AJ655" s="21">
        <f t="shared" si="42"/>
        <v>0</v>
      </c>
      <c r="AK655" s="21">
        <f t="shared" si="43"/>
        <v>0</v>
      </c>
    </row>
    <row r="656" spans="34:37">
      <c r="AH656" s="20">
        <f t="shared" si="40"/>
        <v>0</v>
      </c>
      <c r="AI656" s="20">
        <f t="shared" si="41"/>
        <v>0</v>
      </c>
      <c r="AJ656" s="21">
        <f t="shared" si="42"/>
        <v>0</v>
      </c>
      <c r="AK656" s="21">
        <f t="shared" si="43"/>
        <v>0</v>
      </c>
    </row>
    <row r="657" spans="34:37">
      <c r="AH657" s="20">
        <f t="shared" si="40"/>
        <v>0</v>
      </c>
      <c r="AI657" s="20">
        <f t="shared" si="41"/>
        <v>0</v>
      </c>
      <c r="AJ657" s="21">
        <f t="shared" si="42"/>
        <v>0</v>
      </c>
      <c r="AK657" s="21">
        <f t="shared" si="43"/>
        <v>0</v>
      </c>
    </row>
    <row r="658" spans="34:37">
      <c r="AH658" s="20">
        <f t="shared" si="40"/>
        <v>0</v>
      </c>
      <c r="AI658" s="20">
        <f t="shared" si="41"/>
        <v>0</v>
      </c>
      <c r="AJ658" s="21">
        <f t="shared" si="42"/>
        <v>0</v>
      </c>
      <c r="AK658" s="21">
        <f t="shared" si="43"/>
        <v>0</v>
      </c>
    </row>
    <row r="659" spans="34:37">
      <c r="AH659" s="20">
        <f t="shared" si="40"/>
        <v>0</v>
      </c>
      <c r="AI659" s="20">
        <f t="shared" si="41"/>
        <v>0</v>
      </c>
      <c r="AJ659" s="21">
        <f t="shared" si="42"/>
        <v>0</v>
      </c>
      <c r="AK659" s="21">
        <f t="shared" si="43"/>
        <v>0</v>
      </c>
    </row>
    <row r="660" spans="34:37">
      <c r="AH660" s="20">
        <f t="shared" si="40"/>
        <v>0</v>
      </c>
      <c r="AI660" s="20">
        <f t="shared" si="41"/>
        <v>0</v>
      </c>
      <c r="AJ660" s="21">
        <f t="shared" si="42"/>
        <v>0</v>
      </c>
      <c r="AK660" s="21">
        <f t="shared" si="43"/>
        <v>0</v>
      </c>
    </row>
    <row r="661" spans="34:37">
      <c r="AH661" s="20">
        <f t="shared" si="40"/>
        <v>0</v>
      </c>
      <c r="AI661" s="20">
        <f t="shared" si="41"/>
        <v>0</v>
      </c>
      <c r="AJ661" s="21">
        <f t="shared" si="42"/>
        <v>0</v>
      </c>
      <c r="AK661" s="21">
        <f t="shared" si="43"/>
        <v>0</v>
      </c>
    </row>
    <row r="662" spans="34:37">
      <c r="AH662" s="20">
        <f t="shared" si="40"/>
        <v>0</v>
      </c>
      <c r="AI662" s="20">
        <f t="shared" si="41"/>
        <v>0</v>
      </c>
      <c r="AJ662" s="21">
        <f t="shared" si="42"/>
        <v>0</v>
      </c>
      <c r="AK662" s="21">
        <f t="shared" si="43"/>
        <v>0</v>
      </c>
    </row>
    <row r="663" spans="34:37">
      <c r="AH663" s="20">
        <f t="shared" si="40"/>
        <v>0</v>
      </c>
      <c r="AI663" s="20">
        <f t="shared" si="41"/>
        <v>0</v>
      </c>
      <c r="AJ663" s="21">
        <f t="shared" si="42"/>
        <v>0</v>
      </c>
      <c r="AK663" s="21">
        <f t="shared" si="43"/>
        <v>0</v>
      </c>
    </row>
    <row r="664" spans="34:37">
      <c r="AH664" s="20">
        <f t="shared" si="40"/>
        <v>0</v>
      </c>
      <c r="AI664" s="20">
        <f t="shared" si="41"/>
        <v>0</v>
      </c>
      <c r="AJ664" s="21">
        <f t="shared" si="42"/>
        <v>0</v>
      </c>
      <c r="AK664" s="21">
        <f t="shared" si="43"/>
        <v>0</v>
      </c>
    </row>
    <row r="665" spans="34:37">
      <c r="AH665" s="20">
        <f t="shared" si="40"/>
        <v>0</v>
      </c>
      <c r="AI665" s="20">
        <f t="shared" si="41"/>
        <v>0</v>
      </c>
      <c r="AJ665" s="21">
        <f t="shared" si="42"/>
        <v>0</v>
      </c>
      <c r="AK665" s="21">
        <f t="shared" si="43"/>
        <v>0</v>
      </c>
    </row>
    <row r="666" spans="34:37">
      <c r="AH666" s="20">
        <f t="shared" si="40"/>
        <v>0</v>
      </c>
      <c r="AI666" s="20">
        <f t="shared" si="41"/>
        <v>0</v>
      </c>
      <c r="AJ666" s="21">
        <f t="shared" si="42"/>
        <v>0</v>
      </c>
      <c r="AK666" s="21">
        <f t="shared" si="43"/>
        <v>0</v>
      </c>
    </row>
    <row r="667" spans="34:37">
      <c r="AH667" s="20">
        <f t="shared" si="40"/>
        <v>0</v>
      </c>
      <c r="AI667" s="20">
        <f t="shared" si="41"/>
        <v>0</v>
      </c>
      <c r="AJ667" s="21">
        <f t="shared" si="42"/>
        <v>0</v>
      </c>
      <c r="AK667" s="21">
        <f t="shared" si="43"/>
        <v>0</v>
      </c>
    </row>
    <row r="668" spans="34:37">
      <c r="AH668" s="20">
        <f t="shared" si="40"/>
        <v>0</v>
      </c>
      <c r="AI668" s="20">
        <f t="shared" si="41"/>
        <v>0</v>
      </c>
      <c r="AJ668" s="21">
        <f t="shared" si="42"/>
        <v>0</v>
      </c>
      <c r="AK668" s="21">
        <f t="shared" si="43"/>
        <v>0</v>
      </c>
    </row>
    <row r="669" spans="34:37">
      <c r="AH669" s="20">
        <f t="shared" si="40"/>
        <v>0</v>
      </c>
      <c r="AI669" s="20">
        <f t="shared" si="41"/>
        <v>0</v>
      </c>
      <c r="AJ669" s="21">
        <f t="shared" si="42"/>
        <v>0</v>
      </c>
      <c r="AK669" s="21">
        <f t="shared" si="43"/>
        <v>0</v>
      </c>
    </row>
    <row r="670" spans="34:37">
      <c r="AH670" s="20">
        <f t="shared" si="40"/>
        <v>0</v>
      </c>
      <c r="AI670" s="20">
        <f t="shared" si="41"/>
        <v>0</v>
      </c>
      <c r="AJ670" s="21">
        <f t="shared" si="42"/>
        <v>0</v>
      </c>
      <c r="AK670" s="21">
        <f t="shared" si="43"/>
        <v>0</v>
      </c>
    </row>
    <row r="671" spans="34:37">
      <c r="AH671" s="20">
        <f t="shared" si="40"/>
        <v>0</v>
      </c>
      <c r="AI671" s="20">
        <f t="shared" si="41"/>
        <v>0</v>
      </c>
      <c r="AJ671" s="21">
        <f t="shared" si="42"/>
        <v>0</v>
      </c>
      <c r="AK671" s="21">
        <f t="shared" si="43"/>
        <v>0</v>
      </c>
    </row>
    <row r="672" spans="34:37">
      <c r="AH672" s="20">
        <f t="shared" si="40"/>
        <v>0</v>
      </c>
      <c r="AI672" s="20">
        <f t="shared" si="41"/>
        <v>0</v>
      </c>
      <c r="AJ672" s="21">
        <f t="shared" si="42"/>
        <v>0</v>
      </c>
      <c r="AK672" s="21">
        <f t="shared" si="43"/>
        <v>0</v>
      </c>
    </row>
    <row r="673" spans="34:37">
      <c r="AH673" s="20">
        <f t="shared" si="40"/>
        <v>0</v>
      </c>
      <c r="AI673" s="20">
        <f t="shared" si="41"/>
        <v>0</v>
      </c>
      <c r="AJ673" s="21">
        <f t="shared" si="42"/>
        <v>0</v>
      </c>
      <c r="AK673" s="21">
        <f t="shared" si="43"/>
        <v>0</v>
      </c>
    </row>
    <row r="674" spans="34:37">
      <c r="AH674" s="20">
        <f t="shared" si="40"/>
        <v>0</v>
      </c>
      <c r="AI674" s="20">
        <f t="shared" si="41"/>
        <v>0</v>
      </c>
      <c r="AJ674" s="21">
        <f t="shared" si="42"/>
        <v>0</v>
      </c>
      <c r="AK674" s="21">
        <f t="shared" si="43"/>
        <v>0</v>
      </c>
    </row>
    <row r="675" spans="34:37">
      <c r="AH675" s="20">
        <f t="shared" si="40"/>
        <v>0</v>
      </c>
      <c r="AI675" s="20">
        <f t="shared" si="41"/>
        <v>0</v>
      </c>
      <c r="AJ675" s="21">
        <f t="shared" si="42"/>
        <v>0</v>
      </c>
      <c r="AK675" s="21">
        <f t="shared" si="43"/>
        <v>0</v>
      </c>
    </row>
    <row r="676" spans="34:37">
      <c r="AH676" s="20">
        <f t="shared" si="40"/>
        <v>0</v>
      </c>
      <c r="AI676" s="20">
        <f t="shared" si="41"/>
        <v>0</v>
      </c>
      <c r="AJ676" s="21">
        <f t="shared" si="42"/>
        <v>0</v>
      </c>
      <c r="AK676" s="21">
        <f t="shared" si="43"/>
        <v>0</v>
      </c>
    </row>
    <row r="677" spans="34:37">
      <c r="AH677" s="20">
        <f t="shared" si="40"/>
        <v>0</v>
      </c>
      <c r="AI677" s="20">
        <f t="shared" si="41"/>
        <v>0</v>
      </c>
      <c r="AJ677" s="21">
        <f t="shared" si="42"/>
        <v>0</v>
      </c>
      <c r="AK677" s="21">
        <f t="shared" si="43"/>
        <v>0</v>
      </c>
    </row>
    <row r="678" spans="34:37">
      <c r="AH678" s="20">
        <f t="shared" si="40"/>
        <v>0</v>
      </c>
      <c r="AI678" s="20">
        <f t="shared" si="41"/>
        <v>0</v>
      </c>
      <c r="AJ678" s="21">
        <f t="shared" si="42"/>
        <v>0</v>
      </c>
      <c r="AK678" s="21">
        <f t="shared" si="43"/>
        <v>0</v>
      </c>
    </row>
    <row r="679" spans="34:37">
      <c r="AH679" s="20">
        <f t="shared" si="40"/>
        <v>0</v>
      </c>
      <c r="AI679" s="20">
        <f t="shared" si="41"/>
        <v>0</v>
      </c>
      <c r="AJ679" s="21">
        <f t="shared" si="42"/>
        <v>0</v>
      </c>
      <c r="AK679" s="21">
        <f t="shared" si="43"/>
        <v>0</v>
      </c>
    </row>
    <row r="680" spans="34:37">
      <c r="AH680" s="20">
        <f t="shared" si="40"/>
        <v>0</v>
      </c>
      <c r="AI680" s="20">
        <f t="shared" si="41"/>
        <v>0</v>
      </c>
      <c r="AJ680" s="21">
        <f t="shared" si="42"/>
        <v>0</v>
      </c>
      <c r="AK680" s="21">
        <f t="shared" si="43"/>
        <v>0</v>
      </c>
    </row>
    <row r="681" spans="34:37">
      <c r="AH681" s="20">
        <f t="shared" si="40"/>
        <v>0</v>
      </c>
      <c r="AI681" s="20">
        <f t="shared" si="41"/>
        <v>0</v>
      </c>
      <c r="AJ681" s="21">
        <f t="shared" si="42"/>
        <v>0</v>
      </c>
      <c r="AK681" s="21">
        <f t="shared" si="43"/>
        <v>0</v>
      </c>
    </row>
    <row r="682" spans="34:37">
      <c r="AH682" s="20">
        <f t="shared" si="40"/>
        <v>0</v>
      </c>
      <c r="AI682" s="20">
        <f t="shared" si="41"/>
        <v>0</v>
      </c>
      <c r="AJ682" s="21">
        <f t="shared" si="42"/>
        <v>0</v>
      </c>
      <c r="AK682" s="21">
        <f t="shared" si="43"/>
        <v>0</v>
      </c>
    </row>
    <row r="683" spans="34:37">
      <c r="AH683" s="20">
        <f t="shared" si="40"/>
        <v>0</v>
      </c>
      <c r="AI683" s="20">
        <f t="shared" si="41"/>
        <v>0</v>
      </c>
      <c r="AJ683" s="21">
        <f t="shared" si="42"/>
        <v>0</v>
      </c>
      <c r="AK683" s="21">
        <f t="shared" si="43"/>
        <v>0</v>
      </c>
    </row>
    <row r="684" spans="34:37">
      <c r="AH684" s="20">
        <f t="shared" si="40"/>
        <v>0</v>
      </c>
      <c r="AI684" s="20">
        <f t="shared" si="41"/>
        <v>0</v>
      </c>
      <c r="AJ684" s="21">
        <f t="shared" si="42"/>
        <v>0</v>
      </c>
      <c r="AK684" s="21">
        <f t="shared" si="43"/>
        <v>0</v>
      </c>
    </row>
    <row r="685" spans="34:37">
      <c r="AH685" s="20">
        <f t="shared" si="40"/>
        <v>0</v>
      </c>
      <c r="AI685" s="20">
        <f t="shared" si="41"/>
        <v>0</v>
      </c>
      <c r="AJ685" s="21">
        <f t="shared" si="42"/>
        <v>0</v>
      </c>
      <c r="AK685" s="21">
        <f t="shared" si="43"/>
        <v>0</v>
      </c>
    </row>
    <row r="686" spans="34:37">
      <c r="AH686" s="20">
        <f t="shared" si="40"/>
        <v>0</v>
      </c>
      <c r="AI686" s="20">
        <f t="shared" si="41"/>
        <v>0</v>
      </c>
      <c r="AJ686" s="21">
        <f t="shared" si="42"/>
        <v>0</v>
      </c>
      <c r="AK686" s="21">
        <f t="shared" si="43"/>
        <v>0</v>
      </c>
    </row>
    <row r="687" spans="34:37">
      <c r="AH687" s="20">
        <f t="shared" si="40"/>
        <v>0</v>
      </c>
      <c r="AI687" s="20">
        <f t="shared" si="41"/>
        <v>0</v>
      </c>
      <c r="AJ687" s="21">
        <f t="shared" si="42"/>
        <v>0</v>
      </c>
      <c r="AK687" s="21">
        <f t="shared" si="43"/>
        <v>0</v>
      </c>
    </row>
    <row r="688" spans="34:37">
      <c r="AH688" s="20">
        <f t="shared" si="40"/>
        <v>0</v>
      </c>
      <c r="AI688" s="20">
        <f t="shared" si="41"/>
        <v>0</v>
      </c>
      <c r="AJ688" s="21">
        <f t="shared" si="42"/>
        <v>0</v>
      </c>
      <c r="AK688" s="21">
        <f t="shared" si="43"/>
        <v>0</v>
      </c>
    </row>
    <row r="689" spans="34:37">
      <c r="AH689" s="20">
        <f t="shared" si="40"/>
        <v>0</v>
      </c>
      <c r="AI689" s="20">
        <f t="shared" si="41"/>
        <v>0</v>
      </c>
      <c r="AJ689" s="21">
        <f t="shared" si="42"/>
        <v>0</v>
      </c>
      <c r="AK689" s="21">
        <f t="shared" si="43"/>
        <v>0</v>
      </c>
    </row>
    <row r="690" spans="34:37">
      <c r="AH690" s="20">
        <f t="shared" si="40"/>
        <v>0</v>
      </c>
      <c r="AI690" s="20">
        <f t="shared" si="41"/>
        <v>0</v>
      </c>
      <c r="AJ690" s="21">
        <f t="shared" si="42"/>
        <v>0</v>
      </c>
      <c r="AK690" s="21">
        <f t="shared" si="43"/>
        <v>0</v>
      </c>
    </row>
    <row r="691" spans="34:37">
      <c r="AH691" s="20">
        <f t="shared" si="40"/>
        <v>0</v>
      </c>
      <c r="AI691" s="20">
        <f t="shared" si="41"/>
        <v>0</v>
      </c>
      <c r="AJ691" s="21">
        <f t="shared" si="42"/>
        <v>0</v>
      </c>
      <c r="AK691" s="21">
        <f t="shared" si="43"/>
        <v>0</v>
      </c>
    </row>
    <row r="692" spans="34:37">
      <c r="AH692" s="20">
        <f t="shared" si="40"/>
        <v>0</v>
      </c>
      <c r="AI692" s="20">
        <f t="shared" si="41"/>
        <v>0</v>
      </c>
      <c r="AJ692" s="21">
        <f t="shared" si="42"/>
        <v>0</v>
      </c>
      <c r="AK692" s="21">
        <f t="shared" si="43"/>
        <v>0</v>
      </c>
    </row>
    <row r="693" spans="34:37">
      <c r="AH693" s="20">
        <f t="shared" si="40"/>
        <v>0</v>
      </c>
      <c r="AI693" s="20">
        <f t="shared" si="41"/>
        <v>0</v>
      </c>
      <c r="AJ693" s="21">
        <f t="shared" si="42"/>
        <v>0</v>
      </c>
      <c r="AK693" s="21">
        <f t="shared" si="43"/>
        <v>0</v>
      </c>
    </row>
    <row r="694" spans="34:37">
      <c r="AH694" s="20">
        <f t="shared" si="40"/>
        <v>0</v>
      </c>
      <c r="AI694" s="20">
        <f t="shared" si="41"/>
        <v>0</v>
      </c>
      <c r="AJ694" s="21">
        <f t="shared" si="42"/>
        <v>0</v>
      </c>
      <c r="AK694" s="21">
        <f t="shared" si="43"/>
        <v>0</v>
      </c>
    </row>
    <row r="695" spans="34:37">
      <c r="AH695" s="20">
        <f t="shared" si="40"/>
        <v>0</v>
      </c>
      <c r="AI695" s="20">
        <f t="shared" si="41"/>
        <v>0</v>
      </c>
      <c r="AJ695" s="21">
        <f t="shared" si="42"/>
        <v>0</v>
      </c>
      <c r="AK695" s="21">
        <f t="shared" si="43"/>
        <v>0</v>
      </c>
    </row>
    <row r="696" spans="34:37">
      <c r="AH696" s="20">
        <f t="shared" si="40"/>
        <v>0</v>
      </c>
      <c r="AI696" s="20">
        <f t="shared" si="41"/>
        <v>0</v>
      </c>
      <c r="AJ696" s="21">
        <f t="shared" si="42"/>
        <v>0</v>
      </c>
      <c r="AK696" s="21">
        <f t="shared" si="43"/>
        <v>0</v>
      </c>
    </row>
    <row r="697" spans="34:37">
      <c r="AH697" s="20">
        <f t="shared" si="40"/>
        <v>0</v>
      </c>
      <c r="AI697" s="20">
        <f t="shared" si="41"/>
        <v>0</v>
      </c>
      <c r="AJ697" s="21">
        <f t="shared" si="42"/>
        <v>0</v>
      </c>
      <c r="AK697" s="21">
        <f t="shared" si="43"/>
        <v>0</v>
      </c>
    </row>
    <row r="698" spans="34:37">
      <c r="AH698" s="20">
        <f t="shared" si="40"/>
        <v>0</v>
      </c>
      <c r="AI698" s="20">
        <f t="shared" si="41"/>
        <v>0</v>
      </c>
      <c r="AJ698" s="21">
        <f t="shared" si="42"/>
        <v>0</v>
      </c>
      <c r="AK698" s="21">
        <f t="shared" si="43"/>
        <v>0</v>
      </c>
    </row>
    <row r="699" spans="34:37">
      <c r="AH699" s="20">
        <f t="shared" si="40"/>
        <v>0</v>
      </c>
      <c r="AI699" s="20">
        <f t="shared" si="41"/>
        <v>0</v>
      </c>
      <c r="AJ699" s="21">
        <f t="shared" si="42"/>
        <v>0</v>
      </c>
      <c r="AK699" s="21">
        <f t="shared" si="43"/>
        <v>0</v>
      </c>
    </row>
    <row r="700" spans="34:37">
      <c r="AH700" s="20">
        <f t="shared" si="40"/>
        <v>0</v>
      </c>
      <c r="AI700" s="20">
        <f t="shared" si="41"/>
        <v>0</v>
      </c>
      <c r="AJ700" s="21">
        <f t="shared" si="42"/>
        <v>0</v>
      </c>
      <c r="AK700" s="21">
        <f t="shared" si="43"/>
        <v>0</v>
      </c>
    </row>
    <row r="701" spans="34:37">
      <c r="AH701" s="20">
        <f t="shared" si="40"/>
        <v>0</v>
      </c>
      <c r="AI701" s="20">
        <f t="shared" si="41"/>
        <v>0</v>
      </c>
      <c r="AJ701" s="21">
        <f t="shared" si="42"/>
        <v>0</v>
      </c>
      <c r="AK701" s="21">
        <f t="shared" si="43"/>
        <v>0</v>
      </c>
    </row>
    <row r="702" spans="34:37">
      <c r="AH702" s="20">
        <f t="shared" si="40"/>
        <v>0</v>
      </c>
      <c r="AI702" s="20">
        <f t="shared" si="41"/>
        <v>0</v>
      </c>
      <c r="AJ702" s="21">
        <f t="shared" si="42"/>
        <v>0</v>
      </c>
      <c r="AK702" s="21">
        <f t="shared" si="43"/>
        <v>0</v>
      </c>
    </row>
    <row r="703" spans="34:37">
      <c r="AH703" s="20">
        <f t="shared" si="40"/>
        <v>0</v>
      </c>
      <c r="AI703" s="20">
        <f t="shared" si="41"/>
        <v>0</v>
      </c>
      <c r="AJ703" s="21">
        <f t="shared" si="42"/>
        <v>0</v>
      </c>
      <c r="AK703" s="21">
        <f t="shared" si="43"/>
        <v>0</v>
      </c>
    </row>
    <row r="704" spans="34:37">
      <c r="AH704" s="20">
        <f t="shared" si="40"/>
        <v>0</v>
      </c>
      <c r="AI704" s="20">
        <f t="shared" si="41"/>
        <v>0</v>
      </c>
      <c r="AJ704" s="21">
        <f t="shared" si="42"/>
        <v>0</v>
      </c>
      <c r="AK704" s="21">
        <f t="shared" si="43"/>
        <v>0</v>
      </c>
    </row>
    <row r="705" spans="34:37">
      <c r="AH705" s="20">
        <f t="shared" si="40"/>
        <v>0</v>
      </c>
      <c r="AI705" s="20">
        <f t="shared" si="41"/>
        <v>0</v>
      </c>
      <c r="AJ705" s="21">
        <f t="shared" si="42"/>
        <v>0</v>
      </c>
      <c r="AK705" s="21">
        <f t="shared" si="43"/>
        <v>0</v>
      </c>
    </row>
    <row r="706" spans="34:37">
      <c r="AH706" s="20">
        <f t="shared" si="40"/>
        <v>0</v>
      </c>
      <c r="AI706" s="20">
        <f t="shared" si="41"/>
        <v>0</v>
      </c>
      <c r="AJ706" s="21">
        <f t="shared" si="42"/>
        <v>0</v>
      </c>
      <c r="AK706" s="21">
        <f t="shared" si="43"/>
        <v>0</v>
      </c>
    </row>
    <row r="707" spans="34:37">
      <c r="AH707" s="20">
        <f t="shared" ref="AH707:AH770" si="44">IF($B707="oui",IF($R707="R",IF($Q707&gt;30,1,0),0),0)</f>
        <v>0</v>
      </c>
      <c r="AI707" s="20">
        <f t="shared" ref="AI707:AI770" si="45">IF($B707="oui",IF($R707="AR",IF($Q707&gt;30,1,0),0),0)</f>
        <v>0</v>
      </c>
      <c r="AJ707" s="21">
        <f t="shared" ref="AJ707:AJ770" si="46">IF($B707="oui",IF($R707="EC",1,0),0)</f>
        <v>0</v>
      </c>
      <c r="AK707" s="21">
        <f t="shared" ref="AK707:AK770" si="47">IF(M707&lt;&gt;"",IF(ISBLANK(P707),1,0),0)</f>
        <v>0</v>
      </c>
    </row>
    <row r="708" spans="34:37">
      <c r="AH708" s="20">
        <f t="shared" si="44"/>
        <v>0</v>
      </c>
      <c r="AI708" s="20">
        <f t="shared" si="45"/>
        <v>0</v>
      </c>
      <c r="AJ708" s="21">
        <f t="shared" si="46"/>
        <v>0</v>
      </c>
      <c r="AK708" s="21">
        <f t="shared" si="47"/>
        <v>0</v>
      </c>
    </row>
    <row r="709" spans="34:37">
      <c r="AH709" s="20">
        <f t="shared" si="44"/>
        <v>0</v>
      </c>
      <c r="AI709" s="20">
        <f t="shared" si="45"/>
        <v>0</v>
      </c>
      <c r="AJ709" s="21">
        <f t="shared" si="46"/>
        <v>0</v>
      </c>
      <c r="AK709" s="21">
        <f t="shared" si="47"/>
        <v>0</v>
      </c>
    </row>
    <row r="710" spans="34:37">
      <c r="AH710" s="20">
        <f t="shared" si="44"/>
        <v>0</v>
      </c>
      <c r="AI710" s="20">
        <f t="shared" si="45"/>
        <v>0</v>
      </c>
      <c r="AJ710" s="21">
        <f t="shared" si="46"/>
        <v>0</v>
      </c>
      <c r="AK710" s="21">
        <f t="shared" si="47"/>
        <v>0</v>
      </c>
    </row>
    <row r="711" spans="34:37">
      <c r="AH711" s="20">
        <f t="shared" si="44"/>
        <v>0</v>
      </c>
      <c r="AI711" s="20">
        <f t="shared" si="45"/>
        <v>0</v>
      </c>
      <c r="AJ711" s="21">
        <f t="shared" si="46"/>
        <v>0</v>
      </c>
      <c r="AK711" s="21">
        <f t="shared" si="47"/>
        <v>0</v>
      </c>
    </row>
    <row r="712" spans="34:37">
      <c r="AH712" s="20">
        <f t="shared" si="44"/>
        <v>0</v>
      </c>
      <c r="AI712" s="20">
        <f t="shared" si="45"/>
        <v>0</v>
      </c>
      <c r="AJ712" s="21">
        <f t="shared" si="46"/>
        <v>0</v>
      </c>
      <c r="AK712" s="21">
        <f t="shared" si="47"/>
        <v>0</v>
      </c>
    </row>
    <row r="713" spans="34:37">
      <c r="AH713" s="20">
        <f t="shared" si="44"/>
        <v>0</v>
      </c>
      <c r="AI713" s="20">
        <f t="shared" si="45"/>
        <v>0</v>
      </c>
      <c r="AJ713" s="21">
        <f t="shared" si="46"/>
        <v>0</v>
      </c>
      <c r="AK713" s="21">
        <f t="shared" si="47"/>
        <v>0</v>
      </c>
    </row>
    <row r="714" spans="34:37">
      <c r="AH714" s="20">
        <f t="shared" si="44"/>
        <v>0</v>
      </c>
      <c r="AI714" s="20">
        <f t="shared" si="45"/>
        <v>0</v>
      </c>
      <c r="AJ714" s="21">
        <f t="shared" si="46"/>
        <v>0</v>
      </c>
      <c r="AK714" s="21">
        <f t="shared" si="47"/>
        <v>0</v>
      </c>
    </row>
    <row r="715" spans="34:37">
      <c r="AH715" s="20">
        <f t="shared" si="44"/>
        <v>0</v>
      </c>
      <c r="AI715" s="20">
        <f t="shared" si="45"/>
        <v>0</v>
      </c>
      <c r="AJ715" s="21">
        <f t="shared" si="46"/>
        <v>0</v>
      </c>
      <c r="AK715" s="21">
        <f t="shared" si="47"/>
        <v>0</v>
      </c>
    </row>
    <row r="716" spans="34:37">
      <c r="AH716" s="20">
        <f t="shared" si="44"/>
        <v>0</v>
      </c>
      <c r="AI716" s="20">
        <f t="shared" si="45"/>
        <v>0</v>
      </c>
      <c r="AJ716" s="21">
        <f t="shared" si="46"/>
        <v>0</v>
      </c>
      <c r="AK716" s="21">
        <f t="shared" si="47"/>
        <v>0</v>
      </c>
    </row>
    <row r="717" spans="34:37">
      <c r="AH717" s="20">
        <f t="shared" si="44"/>
        <v>0</v>
      </c>
      <c r="AI717" s="20">
        <f t="shared" si="45"/>
        <v>0</v>
      </c>
      <c r="AJ717" s="21">
        <f t="shared" si="46"/>
        <v>0</v>
      </c>
      <c r="AK717" s="21">
        <f t="shared" si="47"/>
        <v>0</v>
      </c>
    </row>
    <row r="718" spans="34:37">
      <c r="AH718" s="20">
        <f t="shared" si="44"/>
        <v>0</v>
      </c>
      <c r="AI718" s="20">
        <f t="shared" si="45"/>
        <v>0</v>
      </c>
      <c r="AJ718" s="21">
        <f t="shared" si="46"/>
        <v>0</v>
      </c>
      <c r="AK718" s="21">
        <f t="shared" si="47"/>
        <v>0</v>
      </c>
    </row>
    <row r="719" spans="34:37">
      <c r="AH719" s="20">
        <f t="shared" si="44"/>
        <v>0</v>
      </c>
      <c r="AI719" s="20">
        <f t="shared" si="45"/>
        <v>0</v>
      </c>
      <c r="AJ719" s="21">
        <f t="shared" si="46"/>
        <v>0</v>
      </c>
      <c r="AK719" s="21">
        <f t="shared" si="47"/>
        <v>0</v>
      </c>
    </row>
    <row r="720" spans="34:37">
      <c r="AH720" s="20">
        <f t="shared" si="44"/>
        <v>0</v>
      </c>
      <c r="AI720" s="20">
        <f t="shared" si="45"/>
        <v>0</v>
      </c>
      <c r="AJ720" s="21">
        <f t="shared" si="46"/>
        <v>0</v>
      </c>
      <c r="AK720" s="21">
        <f t="shared" si="47"/>
        <v>0</v>
      </c>
    </row>
    <row r="721" spans="34:37">
      <c r="AH721" s="20">
        <f t="shared" si="44"/>
        <v>0</v>
      </c>
      <c r="AI721" s="20">
        <f t="shared" si="45"/>
        <v>0</v>
      </c>
      <c r="AJ721" s="21">
        <f t="shared" si="46"/>
        <v>0</v>
      </c>
      <c r="AK721" s="21">
        <f t="shared" si="47"/>
        <v>0</v>
      </c>
    </row>
    <row r="722" spans="34:37">
      <c r="AH722" s="20">
        <f t="shared" si="44"/>
        <v>0</v>
      </c>
      <c r="AI722" s="20">
        <f t="shared" si="45"/>
        <v>0</v>
      </c>
      <c r="AJ722" s="21">
        <f t="shared" si="46"/>
        <v>0</v>
      </c>
      <c r="AK722" s="21">
        <f t="shared" si="47"/>
        <v>0</v>
      </c>
    </row>
    <row r="723" spans="34:37">
      <c r="AH723" s="20">
        <f t="shared" si="44"/>
        <v>0</v>
      </c>
      <c r="AI723" s="20">
        <f t="shared" si="45"/>
        <v>0</v>
      </c>
      <c r="AJ723" s="21">
        <f t="shared" si="46"/>
        <v>0</v>
      </c>
      <c r="AK723" s="21">
        <f t="shared" si="47"/>
        <v>0</v>
      </c>
    </row>
    <row r="724" spans="34:37">
      <c r="AH724" s="20">
        <f t="shared" si="44"/>
        <v>0</v>
      </c>
      <c r="AI724" s="20">
        <f t="shared" si="45"/>
        <v>0</v>
      </c>
      <c r="AJ724" s="21">
        <f t="shared" si="46"/>
        <v>0</v>
      </c>
      <c r="AK724" s="21">
        <f t="shared" si="47"/>
        <v>0</v>
      </c>
    </row>
    <row r="725" spans="34:37">
      <c r="AH725" s="20">
        <f t="shared" si="44"/>
        <v>0</v>
      </c>
      <c r="AI725" s="20">
        <f t="shared" si="45"/>
        <v>0</v>
      </c>
      <c r="AJ725" s="21">
        <f t="shared" si="46"/>
        <v>0</v>
      </c>
      <c r="AK725" s="21">
        <f t="shared" si="47"/>
        <v>0</v>
      </c>
    </row>
    <row r="726" spans="34:37">
      <c r="AH726" s="20">
        <f t="shared" si="44"/>
        <v>0</v>
      </c>
      <c r="AI726" s="20">
        <f t="shared" si="45"/>
        <v>0</v>
      </c>
      <c r="AJ726" s="21">
        <f t="shared" si="46"/>
        <v>0</v>
      </c>
      <c r="AK726" s="21">
        <f t="shared" si="47"/>
        <v>0</v>
      </c>
    </row>
    <row r="727" spans="34:37">
      <c r="AH727" s="20">
        <f t="shared" si="44"/>
        <v>0</v>
      </c>
      <c r="AI727" s="20">
        <f t="shared" si="45"/>
        <v>0</v>
      </c>
      <c r="AJ727" s="21">
        <f t="shared" si="46"/>
        <v>0</v>
      </c>
      <c r="AK727" s="21">
        <f t="shared" si="47"/>
        <v>0</v>
      </c>
    </row>
    <row r="728" spans="34:37">
      <c r="AH728" s="20">
        <f t="shared" si="44"/>
        <v>0</v>
      </c>
      <c r="AI728" s="20">
        <f t="shared" si="45"/>
        <v>0</v>
      </c>
      <c r="AJ728" s="21">
        <f t="shared" si="46"/>
        <v>0</v>
      </c>
      <c r="AK728" s="21">
        <f t="shared" si="47"/>
        <v>0</v>
      </c>
    </row>
    <row r="729" spans="34:37">
      <c r="AH729" s="20">
        <f t="shared" si="44"/>
        <v>0</v>
      </c>
      <c r="AI729" s="20">
        <f t="shared" si="45"/>
        <v>0</v>
      </c>
      <c r="AJ729" s="21">
        <f t="shared" si="46"/>
        <v>0</v>
      </c>
      <c r="AK729" s="21">
        <f t="shared" si="47"/>
        <v>0</v>
      </c>
    </row>
    <row r="730" spans="34:37">
      <c r="AH730" s="20">
        <f t="shared" si="44"/>
        <v>0</v>
      </c>
      <c r="AI730" s="20">
        <f t="shared" si="45"/>
        <v>0</v>
      </c>
      <c r="AJ730" s="21">
        <f t="shared" si="46"/>
        <v>0</v>
      </c>
      <c r="AK730" s="21">
        <f t="shared" si="47"/>
        <v>0</v>
      </c>
    </row>
    <row r="731" spans="34:37">
      <c r="AH731" s="20">
        <f t="shared" si="44"/>
        <v>0</v>
      </c>
      <c r="AI731" s="20">
        <f t="shared" si="45"/>
        <v>0</v>
      </c>
      <c r="AJ731" s="21">
        <f t="shared" si="46"/>
        <v>0</v>
      </c>
      <c r="AK731" s="21">
        <f t="shared" si="47"/>
        <v>0</v>
      </c>
    </row>
    <row r="732" spans="34:37">
      <c r="AH732" s="20">
        <f t="shared" si="44"/>
        <v>0</v>
      </c>
      <c r="AI732" s="20">
        <f t="shared" si="45"/>
        <v>0</v>
      </c>
      <c r="AJ732" s="21">
        <f t="shared" si="46"/>
        <v>0</v>
      </c>
      <c r="AK732" s="21">
        <f t="shared" si="47"/>
        <v>0</v>
      </c>
    </row>
    <row r="733" spans="34:37">
      <c r="AH733" s="20">
        <f t="shared" si="44"/>
        <v>0</v>
      </c>
      <c r="AI733" s="20">
        <f t="shared" si="45"/>
        <v>0</v>
      </c>
      <c r="AJ733" s="21">
        <f t="shared" si="46"/>
        <v>0</v>
      </c>
      <c r="AK733" s="21">
        <f t="shared" si="47"/>
        <v>0</v>
      </c>
    </row>
    <row r="734" spans="34:37">
      <c r="AH734" s="20">
        <f t="shared" si="44"/>
        <v>0</v>
      </c>
      <c r="AI734" s="20">
        <f t="shared" si="45"/>
        <v>0</v>
      </c>
      <c r="AJ734" s="21">
        <f t="shared" si="46"/>
        <v>0</v>
      </c>
      <c r="AK734" s="21">
        <f t="shared" si="47"/>
        <v>0</v>
      </c>
    </row>
    <row r="735" spans="34:37">
      <c r="AH735" s="20">
        <f t="shared" si="44"/>
        <v>0</v>
      </c>
      <c r="AI735" s="20">
        <f t="shared" si="45"/>
        <v>0</v>
      </c>
      <c r="AJ735" s="21">
        <f t="shared" si="46"/>
        <v>0</v>
      </c>
      <c r="AK735" s="21">
        <f t="shared" si="47"/>
        <v>0</v>
      </c>
    </row>
    <row r="736" spans="34:37">
      <c r="AH736" s="20">
        <f t="shared" si="44"/>
        <v>0</v>
      </c>
      <c r="AI736" s="20">
        <f t="shared" si="45"/>
        <v>0</v>
      </c>
      <c r="AJ736" s="21">
        <f t="shared" si="46"/>
        <v>0</v>
      </c>
      <c r="AK736" s="21">
        <f t="shared" si="47"/>
        <v>0</v>
      </c>
    </row>
    <row r="737" spans="34:37">
      <c r="AH737" s="20">
        <f t="shared" si="44"/>
        <v>0</v>
      </c>
      <c r="AI737" s="20">
        <f t="shared" si="45"/>
        <v>0</v>
      </c>
      <c r="AJ737" s="21">
        <f t="shared" si="46"/>
        <v>0</v>
      </c>
      <c r="AK737" s="21">
        <f t="shared" si="47"/>
        <v>0</v>
      </c>
    </row>
    <row r="738" spans="34:37">
      <c r="AH738" s="20">
        <f t="shared" si="44"/>
        <v>0</v>
      </c>
      <c r="AI738" s="20">
        <f t="shared" si="45"/>
        <v>0</v>
      </c>
      <c r="AJ738" s="21">
        <f t="shared" si="46"/>
        <v>0</v>
      </c>
      <c r="AK738" s="21">
        <f t="shared" si="47"/>
        <v>0</v>
      </c>
    </row>
    <row r="739" spans="34:37">
      <c r="AH739" s="20">
        <f t="shared" si="44"/>
        <v>0</v>
      </c>
      <c r="AI739" s="20">
        <f t="shared" si="45"/>
        <v>0</v>
      </c>
      <c r="AJ739" s="21">
        <f t="shared" si="46"/>
        <v>0</v>
      </c>
      <c r="AK739" s="21">
        <f t="shared" si="47"/>
        <v>0</v>
      </c>
    </row>
    <row r="740" spans="34:37">
      <c r="AH740" s="20">
        <f t="shared" si="44"/>
        <v>0</v>
      </c>
      <c r="AI740" s="20">
        <f t="shared" si="45"/>
        <v>0</v>
      </c>
      <c r="AJ740" s="21">
        <f t="shared" si="46"/>
        <v>0</v>
      </c>
      <c r="AK740" s="21">
        <f t="shared" si="47"/>
        <v>0</v>
      </c>
    </row>
    <row r="741" spans="34:37">
      <c r="AH741" s="20">
        <f t="shared" si="44"/>
        <v>0</v>
      </c>
      <c r="AI741" s="20">
        <f t="shared" si="45"/>
        <v>0</v>
      </c>
      <c r="AJ741" s="21">
        <f t="shared" si="46"/>
        <v>0</v>
      </c>
      <c r="AK741" s="21">
        <f t="shared" si="47"/>
        <v>0</v>
      </c>
    </row>
    <row r="742" spans="34:37">
      <c r="AH742" s="20">
        <f t="shared" si="44"/>
        <v>0</v>
      </c>
      <c r="AI742" s="20">
        <f t="shared" si="45"/>
        <v>0</v>
      </c>
      <c r="AJ742" s="21">
        <f t="shared" si="46"/>
        <v>0</v>
      </c>
      <c r="AK742" s="21">
        <f t="shared" si="47"/>
        <v>0</v>
      </c>
    </row>
    <row r="743" spans="34:37">
      <c r="AH743" s="20">
        <f t="shared" si="44"/>
        <v>0</v>
      </c>
      <c r="AI743" s="20">
        <f t="shared" si="45"/>
        <v>0</v>
      </c>
      <c r="AJ743" s="21">
        <f t="shared" si="46"/>
        <v>0</v>
      </c>
      <c r="AK743" s="21">
        <f t="shared" si="47"/>
        <v>0</v>
      </c>
    </row>
    <row r="744" spans="34:37">
      <c r="AH744" s="20">
        <f t="shared" si="44"/>
        <v>0</v>
      </c>
      <c r="AI744" s="20">
        <f t="shared" si="45"/>
        <v>0</v>
      </c>
      <c r="AJ744" s="21">
        <f t="shared" si="46"/>
        <v>0</v>
      </c>
      <c r="AK744" s="21">
        <f t="shared" si="47"/>
        <v>0</v>
      </c>
    </row>
    <row r="745" spans="34:37">
      <c r="AH745" s="20">
        <f t="shared" si="44"/>
        <v>0</v>
      </c>
      <c r="AI745" s="20">
        <f t="shared" si="45"/>
        <v>0</v>
      </c>
      <c r="AJ745" s="21">
        <f t="shared" si="46"/>
        <v>0</v>
      </c>
      <c r="AK745" s="21">
        <f t="shared" si="47"/>
        <v>0</v>
      </c>
    </row>
    <row r="746" spans="34:37">
      <c r="AH746" s="20">
        <f t="shared" si="44"/>
        <v>0</v>
      </c>
      <c r="AI746" s="20">
        <f t="shared" si="45"/>
        <v>0</v>
      </c>
      <c r="AJ746" s="21">
        <f t="shared" si="46"/>
        <v>0</v>
      </c>
      <c r="AK746" s="21">
        <f t="shared" si="47"/>
        <v>0</v>
      </c>
    </row>
    <row r="747" spans="34:37">
      <c r="AH747" s="20">
        <f t="shared" si="44"/>
        <v>0</v>
      </c>
      <c r="AI747" s="20">
        <f t="shared" si="45"/>
        <v>0</v>
      </c>
      <c r="AJ747" s="21">
        <f t="shared" si="46"/>
        <v>0</v>
      </c>
      <c r="AK747" s="21">
        <f t="shared" si="47"/>
        <v>0</v>
      </c>
    </row>
    <row r="748" spans="34:37">
      <c r="AH748" s="20">
        <f t="shared" si="44"/>
        <v>0</v>
      </c>
      <c r="AI748" s="20">
        <f t="shared" si="45"/>
        <v>0</v>
      </c>
      <c r="AJ748" s="21">
        <f t="shared" si="46"/>
        <v>0</v>
      </c>
      <c r="AK748" s="21">
        <f t="shared" si="47"/>
        <v>0</v>
      </c>
    </row>
    <row r="749" spans="34:37">
      <c r="AH749" s="20">
        <f t="shared" si="44"/>
        <v>0</v>
      </c>
      <c r="AI749" s="20">
        <f t="shared" si="45"/>
        <v>0</v>
      </c>
      <c r="AJ749" s="21">
        <f t="shared" si="46"/>
        <v>0</v>
      </c>
      <c r="AK749" s="21">
        <f t="shared" si="47"/>
        <v>0</v>
      </c>
    </row>
    <row r="750" spans="34:37">
      <c r="AH750" s="20">
        <f t="shared" si="44"/>
        <v>0</v>
      </c>
      <c r="AI750" s="20">
        <f t="shared" si="45"/>
        <v>0</v>
      </c>
      <c r="AJ750" s="21">
        <f t="shared" si="46"/>
        <v>0</v>
      </c>
      <c r="AK750" s="21">
        <f t="shared" si="47"/>
        <v>0</v>
      </c>
    </row>
    <row r="751" spans="34:37">
      <c r="AH751" s="20">
        <f t="shared" si="44"/>
        <v>0</v>
      </c>
      <c r="AI751" s="20">
        <f t="shared" si="45"/>
        <v>0</v>
      </c>
      <c r="AJ751" s="21">
        <f t="shared" si="46"/>
        <v>0</v>
      </c>
      <c r="AK751" s="21">
        <f t="shared" si="47"/>
        <v>0</v>
      </c>
    </row>
    <row r="752" spans="34:37">
      <c r="AH752" s="20">
        <f t="shared" si="44"/>
        <v>0</v>
      </c>
      <c r="AI752" s="20">
        <f t="shared" si="45"/>
        <v>0</v>
      </c>
      <c r="AJ752" s="21">
        <f t="shared" si="46"/>
        <v>0</v>
      </c>
      <c r="AK752" s="21">
        <f t="shared" si="47"/>
        <v>0</v>
      </c>
    </row>
    <row r="753" spans="34:37">
      <c r="AH753" s="20">
        <f t="shared" si="44"/>
        <v>0</v>
      </c>
      <c r="AI753" s="20">
        <f t="shared" si="45"/>
        <v>0</v>
      </c>
      <c r="AJ753" s="21">
        <f t="shared" si="46"/>
        <v>0</v>
      </c>
      <c r="AK753" s="21">
        <f t="shared" si="47"/>
        <v>0</v>
      </c>
    </row>
    <row r="754" spans="34:37">
      <c r="AH754" s="20">
        <f t="shared" si="44"/>
        <v>0</v>
      </c>
      <c r="AI754" s="20">
        <f t="shared" si="45"/>
        <v>0</v>
      </c>
      <c r="AJ754" s="21">
        <f t="shared" si="46"/>
        <v>0</v>
      </c>
      <c r="AK754" s="21">
        <f t="shared" si="47"/>
        <v>0</v>
      </c>
    </row>
    <row r="755" spans="34:37">
      <c r="AH755" s="20">
        <f t="shared" si="44"/>
        <v>0</v>
      </c>
      <c r="AI755" s="20">
        <f t="shared" si="45"/>
        <v>0</v>
      </c>
      <c r="AJ755" s="21">
        <f t="shared" si="46"/>
        <v>0</v>
      </c>
      <c r="AK755" s="21">
        <f t="shared" si="47"/>
        <v>0</v>
      </c>
    </row>
    <row r="756" spans="34:37">
      <c r="AH756" s="20">
        <f t="shared" si="44"/>
        <v>0</v>
      </c>
      <c r="AI756" s="20">
        <f t="shared" si="45"/>
        <v>0</v>
      </c>
      <c r="AJ756" s="21">
        <f t="shared" si="46"/>
        <v>0</v>
      </c>
      <c r="AK756" s="21">
        <f t="shared" si="47"/>
        <v>0</v>
      </c>
    </row>
    <row r="757" spans="34:37">
      <c r="AH757" s="20">
        <f t="shared" si="44"/>
        <v>0</v>
      </c>
      <c r="AI757" s="20">
        <f t="shared" si="45"/>
        <v>0</v>
      </c>
      <c r="AJ757" s="21">
        <f t="shared" si="46"/>
        <v>0</v>
      </c>
      <c r="AK757" s="21">
        <f t="shared" si="47"/>
        <v>0</v>
      </c>
    </row>
    <row r="758" spans="34:37">
      <c r="AH758" s="20">
        <f t="shared" si="44"/>
        <v>0</v>
      </c>
      <c r="AI758" s="20">
        <f t="shared" si="45"/>
        <v>0</v>
      </c>
      <c r="AJ758" s="21">
        <f t="shared" si="46"/>
        <v>0</v>
      </c>
      <c r="AK758" s="21">
        <f t="shared" si="47"/>
        <v>0</v>
      </c>
    </row>
    <row r="759" spans="34:37">
      <c r="AH759" s="20">
        <f t="shared" si="44"/>
        <v>0</v>
      </c>
      <c r="AI759" s="20">
        <f t="shared" si="45"/>
        <v>0</v>
      </c>
      <c r="AJ759" s="21">
        <f t="shared" si="46"/>
        <v>0</v>
      </c>
      <c r="AK759" s="21">
        <f t="shared" si="47"/>
        <v>0</v>
      </c>
    </row>
    <row r="760" spans="34:37">
      <c r="AH760" s="20">
        <f t="shared" si="44"/>
        <v>0</v>
      </c>
      <c r="AI760" s="20">
        <f t="shared" si="45"/>
        <v>0</v>
      </c>
      <c r="AJ760" s="21">
        <f t="shared" si="46"/>
        <v>0</v>
      </c>
      <c r="AK760" s="21">
        <f t="shared" si="47"/>
        <v>0</v>
      </c>
    </row>
    <row r="761" spans="34:37">
      <c r="AH761" s="20">
        <f t="shared" si="44"/>
        <v>0</v>
      </c>
      <c r="AI761" s="20">
        <f t="shared" si="45"/>
        <v>0</v>
      </c>
      <c r="AJ761" s="21">
        <f t="shared" si="46"/>
        <v>0</v>
      </c>
      <c r="AK761" s="21">
        <f t="shared" si="47"/>
        <v>0</v>
      </c>
    </row>
    <row r="762" spans="34:37">
      <c r="AH762" s="20">
        <f t="shared" si="44"/>
        <v>0</v>
      </c>
      <c r="AI762" s="20">
        <f t="shared" si="45"/>
        <v>0</v>
      </c>
      <c r="AJ762" s="21">
        <f t="shared" si="46"/>
        <v>0</v>
      </c>
      <c r="AK762" s="21">
        <f t="shared" si="47"/>
        <v>0</v>
      </c>
    </row>
    <row r="763" spans="34:37">
      <c r="AH763" s="20">
        <f t="shared" si="44"/>
        <v>0</v>
      </c>
      <c r="AI763" s="20">
        <f t="shared" si="45"/>
        <v>0</v>
      </c>
      <c r="AJ763" s="21">
        <f t="shared" si="46"/>
        <v>0</v>
      </c>
      <c r="AK763" s="21">
        <f t="shared" si="47"/>
        <v>0</v>
      </c>
    </row>
    <row r="764" spans="34:37">
      <c r="AH764" s="20">
        <f t="shared" si="44"/>
        <v>0</v>
      </c>
      <c r="AI764" s="20">
        <f t="shared" si="45"/>
        <v>0</v>
      </c>
      <c r="AJ764" s="21">
        <f t="shared" si="46"/>
        <v>0</v>
      </c>
      <c r="AK764" s="21">
        <f t="shared" si="47"/>
        <v>0</v>
      </c>
    </row>
    <row r="765" spans="34:37">
      <c r="AH765" s="20">
        <f t="shared" si="44"/>
        <v>0</v>
      </c>
      <c r="AI765" s="20">
        <f t="shared" si="45"/>
        <v>0</v>
      </c>
      <c r="AJ765" s="21">
        <f t="shared" si="46"/>
        <v>0</v>
      </c>
      <c r="AK765" s="21">
        <f t="shared" si="47"/>
        <v>0</v>
      </c>
    </row>
    <row r="766" spans="34:37">
      <c r="AH766" s="20">
        <f t="shared" si="44"/>
        <v>0</v>
      </c>
      <c r="AI766" s="20">
        <f t="shared" si="45"/>
        <v>0</v>
      </c>
      <c r="AJ766" s="21">
        <f t="shared" si="46"/>
        <v>0</v>
      </c>
      <c r="AK766" s="21">
        <f t="shared" si="47"/>
        <v>0</v>
      </c>
    </row>
    <row r="767" spans="34:37">
      <c r="AH767" s="20">
        <f t="shared" si="44"/>
        <v>0</v>
      </c>
      <c r="AI767" s="20">
        <f t="shared" si="45"/>
        <v>0</v>
      </c>
      <c r="AJ767" s="21">
        <f t="shared" si="46"/>
        <v>0</v>
      </c>
      <c r="AK767" s="21">
        <f t="shared" si="47"/>
        <v>0</v>
      </c>
    </row>
    <row r="768" spans="34:37">
      <c r="AH768" s="20">
        <f t="shared" si="44"/>
        <v>0</v>
      </c>
      <c r="AI768" s="20">
        <f t="shared" si="45"/>
        <v>0</v>
      </c>
      <c r="AJ768" s="21">
        <f t="shared" si="46"/>
        <v>0</v>
      </c>
      <c r="AK768" s="21">
        <f t="shared" si="47"/>
        <v>0</v>
      </c>
    </row>
    <row r="769" spans="34:37">
      <c r="AH769" s="20">
        <f t="shared" si="44"/>
        <v>0</v>
      </c>
      <c r="AI769" s="20">
        <f t="shared" si="45"/>
        <v>0</v>
      </c>
      <c r="AJ769" s="21">
        <f t="shared" si="46"/>
        <v>0</v>
      </c>
      <c r="AK769" s="21">
        <f t="shared" si="47"/>
        <v>0</v>
      </c>
    </row>
    <row r="770" spans="34:37">
      <c r="AH770" s="20">
        <f t="shared" si="44"/>
        <v>0</v>
      </c>
      <c r="AI770" s="20">
        <f t="shared" si="45"/>
        <v>0</v>
      </c>
      <c r="AJ770" s="21">
        <f t="shared" si="46"/>
        <v>0</v>
      </c>
      <c r="AK770" s="21">
        <f t="shared" si="47"/>
        <v>0</v>
      </c>
    </row>
    <row r="771" spans="34:37">
      <c r="AH771" s="20">
        <f t="shared" ref="AH771:AH834" si="48">IF($B771="oui",IF($R771="R",IF($Q771&gt;30,1,0),0),0)</f>
        <v>0</v>
      </c>
      <c r="AI771" s="20">
        <f t="shared" ref="AI771:AI834" si="49">IF($B771="oui",IF($R771="AR",IF($Q771&gt;30,1,0),0),0)</f>
        <v>0</v>
      </c>
      <c r="AJ771" s="21">
        <f t="shared" ref="AJ771:AJ834" si="50">IF($B771="oui",IF($R771="EC",1,0),0)</f>
        <v>0</v>
      </c>
      <c r="AK771" s="21">
        <f t="shared" ref="AK771:AK834" si="51">IF(M771&lt;&gt;"",IF(ISBLANK(P771),1,0),0)</f>
        <v>0</v>
      </c>
    </row>
    <row r="772" spans="34:37">
      <c r="AH772" s="20">
        <f t="shared" si="48"/>
        <v>0</v>
      </c>
      <c r="AI772" s="20">
        <f t="shared" si="49"/>
        <v>0</v>
      </c>
      <c r="AJ772" s="21">
        <f t="shared" si="50"/>
        <v>0</v>
      </c>
      <c r="AK772" s="21">
        <f t="shared" si="51"/>
        <v>0</v>
      </c>
    </row>
    <row r="773" spans="34:37">
      <c r="AH773" s="20">
        <f t="shared" si="48"/>
        <v>0</v>
      </c>
      <c r="AI773" s="20">
        <f t="shared" si="49"/>
        <v>0</v>
      </c>
      <c r="AJ773" s="21">
        <f t="shared" si="50"/>
        <v>0</v>
      </c>
      <c r="AK773" s="21">
        <f t="shared" si="51"/>
        <v>0</v>
      </c>
    </row>
    <row r="774" spans="34:37">
      <c r="AH774" s="20">
        <f t="shared" si="48"/>
        <v>0</v>
      </c>
      <c r="AI774" s="20">
        <f t="shared" si="49"/>
        <v>0</v>
      </c>
      <c r="AJ774" s="21">
        <f t="shared" si="50"/>
        <v>0</v>
      </c>
      <c r="AK774" s="21">
        <f t="shared" si="51"/>
        <v>0</v>
      </c>
    </row>
    <row r="775" spans="34:37">
      <c r="AH775" s="20">
        <f t="shared" si="48"/>
        <v>0</v>
      </c>
      <c r="AI775" s="20">
        <f t="shared" si="49"/>
        <v>0</v>
      </c>
      <c r="AJ775" s="21">
        <f t="shared" si="50"/>
        <v>0</v>
      </c>
      <c r="AK775" s="21">
        <f t="shared" si="51"/>
        <v>0</v>
      </c>
    </row>
    <row r="776" spans="34:37">
      <c r="AH776" s="20">
        <f t="shared" si="48"/>
        <v>0</v>
      </c>
      <c r="AI776" s="20">
        <f t="shared" si="49"/>
        <v>0</v>
      </c>
      <c r="AJ776" s="21">
        <f t="shared" si="50"/>
        <v>0</v>
      </c>
      <c r="AK776" s="21">
        <f t="shared" si="51"/>
        <v>0</v>
      </c>
    </row>
    <row r="777" spans="34:37">
      <c r="AH777" s="20">
        <f t="shared" si="48"/>
        <v>0</v>
      </c>
      <c r="AI777" s="20">
        <f t="shared" si="49"/>
        <v>0</v>
      </c>
      <c r="AJ777" s="21">
        <f t="shared" si="50"/>
        <v>0</v>
      </c>
      <c r="AK777" s="21">
        <f t="shared" si="51"/>
        <v>0</v>
      </c>
    </row>
    <row r="778" spans="34:37">
      <c r="AH778" s="20">
        <f t="shared" si="48"/>
        <v>0</v>
      </c>
      <c r="AI778" s="20">
        <f t="shared" si="49"/>
        <v>0</v>
      </c>
      <c r="AJ778" s="21">
        <f t="shared" si="50"/>
        <v>0</v>
      </c>
      <c r="AK778" s="21">
        <f t="shared" si="51"/>
        <v>0</v>
      </c>
    </row>
    <row r="779" spans="34:37">
      <c r="AH779" s="20">
        <f t="shared" si="48"/>
        <v>0</v>
      </c>
      <c r="AI779" s="20">
        <f t="shared" si="49"/>
        <v>0</v>
      </c>
      <c r="AJ779" s="21">
        <f t="shared" si="50"/>
        <v>0</v>
      </c>
      <c r="AK779" s="21">
        <f t="shared" si="51"/>
        <v>0</v>
      </c>
    </row>
    <row r="780" spans="34:37">
      <c r="AH780" s="20">
        <f t="shared" si="48"/>
        <v>0</v>
      </c>
      <c r="AI780" s="20">
        <f t="shared" si="49"/>
        <v>0</v>
      </c>
      <c r="AJ780" s="21">
        <f t="shared" si="50"/>
        <v>0</v>
      </c>
      <c r="AK780" s="21">
        <f t="shared" si="51"/>
        <v>0</v>
      </c>
    </row>
    <row r="781" spans="34:37">
      <c r="AH781" s="20">
        <f t="shared" si="48"/>
        <v>0</v>
      </c>
      <c r="AI781" s="20">
        <f t="shared" si="49"/>
        <v>0</v>
      </c>
      <c r="AJ781" s="21">
        <f t="shared" si="50"/>
        <v>0</v>
      </c>
      <c r="AK781" s="21">
        <f t="shared" si="51"/>
        <v>0</v>
      </c>
    </row>
    <row r="782" spans="34:37">
      <c r="AH782" s="20">
        <f t="shared" si="48"/>
        <v>0</v>
      </c>
      <c r="AI782" s="20">
        <f t="shared" si="49"/>
        <v>0</v>
      </c>
      <c r="AJ782" s="21">
        <f t="shared" si="50"/>
        <v>0</v>
      </c>
      <c r="AK782" s="21">
        <f t="shared" si="51"/>
        <v>0</v>
      </c>
    </row>
    <row r="783" spans="34:37">
      <c r="AH783" s="20">
        <f t="shared" si="48"/>
        <v>0</v>
      </c>
      <c r="AI783" s="20">
        <f t="shared" si="49"/>
        <v>0</v>
      </c>
      <c r="AJ783" s="21">
        <f t="shared" si="50"/>
        <v>0</v>
      </c>
      <c r="AK783" s="21">
        <f t="shared" si="51"/>
        <v>0</v>
      </c>
    </row>
    <row r="784" spans="34:37">
      <c r="AH784" s="20">
        <f t="shared" si="48"/>
        <v>0</v>
      </c>
      <c r="AI784" s="20">
        <f t="shared" si="49"/>
        <v>0</v>
      </c>
      <c r="AJ784" s="21">
        <f t="shared" si="50"/>
        <v>0</v>
      </c>
      <c r="AK784" s="21">
        <f t="shared" si="51"/>
        <v>0</v>
      </c>
    </row>
    <row r="785" spans="34:37">
      <c r="AH785" s="20">
        <f t="shared" si="48"/>
        <v>0</v>
      </c>
      <c r="AI785" s="20">
        <f t="shared" si="49"/>
        <v>0</v>
      </c>
      <c r="AJ785" s="21">
        <f t="shared" si="50"/>
        <v>0</v>
      </c>
      <c r="AK785" s="21">
        <f t="shared" si="51"/>
        <v>0</v>
      </c>
    </row>
    <row r="786" spans="34:37">
      <c r="AH786" s="20">
        <f t="shared" si="48"/>
        <v>0</v>
      </c>
      <c r="AI786" s="20">
        <f t="shared" si="49"/>
        <v>0</v>
      </c>
      <c r="AJ786" s="21">
        <f t="shared" si="50"/>
        <v>0</v>
      </c>
      <c r="AK786" s="21">
        <f t="shared" si="51"/>
        <v>0</v>
      </c>
    </row>
    <row r="787" spans="34:37">
      <c r="AH787" s="20">
        <f t="shared" si="48"/>
        <v>0</v>
      </c>
      <c r="AI787" s="20">
        <f t="shared" si="49"/>
        <v>0</v>
      </c>
      <c r="AJ787" s="21">
        <f t="shared" si="50"/>
        <v>0</v>
      </c>
      <c r="AK787" s="21">
        <f t="shared" si="51"/>
        <v>0</v>
      </c>
    </row>
    <row r="788" spans="34:37">
      <c r="AH788" s="20">
        <f t="shared" si="48"/>
        <v>0</v>
      </c>
      <c r="AI788" s="20">
        <f t="shared" si="49"/>
        <v>0</v>
      </c>
      <c r="AJ788" s="21">
        <f t="shared" si="50"/>
        <v>0</v>
      </c>
      <c r="AK788" s="21">
        <f t="shared" si="51"/>
        <v>0</v>
      </c>
    </row>
    <row r="789" spans="34:37">
      <c r="AH789" s="20">
        <f t="shared" si="48"/>
        <v>0</v>
      </c>
      <c r="AI789" s="20">
        <f t="shared" si="49"/>
        <v>0</v>
      </c>
      <c r="AJ789" s="21">
        <f t="shared" si="50"/>
        <v>0</v>
      </c>
      <c r="AK789" s="21">
        <f t="shared" si="51"/>
        <v>0</v>
      </c>
    </row>
    <row r="790" spans="34:37">
      <c r="AH790" s="20">
        <f t="shared" si="48"/>
        <v>0</v>
      </c>
      <c r="AI790" s="20">
        <f t="shared" si="49"/>
        <v>0</v>
      </c>
      <c r="AJ790" s="21">
        <f t="shared" si="50"/>
        <v>0</v>
      </c>
      <c r="AK790" s="21">
        <f t="shared" si="51"/>
        <v>0</v>
      </c>
    </row>
    <row r="791" spans="34:37">
      <c r="AH791" s="20">
        <f t="shared" si="48"/>
        <v>0</v>
      </c>
      <c r="AI791" s="20">
        <f t="shared" si="49"/>
        <v>0</v>
      </c>
      <c r="AJ791" s="21">
        <f t="shared" si="50"/>
        <v>0</v>
      </c>
      <c r="AK791" s="21">
        <f t="shared" si="51"/>
        <v>0</v>
      </c>
    </row>
    <row r="792" spans="34:37">
      <c r="AH792" s="20">
        <f t="shared" si="48"/>
        <v>0</v>
      </c>
      <c r="AI792" s="20">
        <f t="shared" si="49"/>
        <v>0</v>
      </c>
      <c r="AJ792" s="21">
        <f t="shared" si="50"/>
        <v>0</v>
      </c>
      <c r="AK792" s="21">
        <f t="shared" si="51"/>
        <v>0</v>
      </c>
    </row>
    <row r="793" spans="34:37">
      <c r="AH793" s="20">
        <f t="shared" si="48"/>
        <v>0</v>
      </c>
      <c r="AI793" s="20">
        <f t="shared" si="49"/>
        <v>0</v>
      </c>
      <c r="AJ793" s="21">
        <f t="shared" si="50"/>
        <v>0</v>
      </c>
      <c r="AK793" s="21">
        <f t="shared" si="51"/>
        <v>0</v>
      </c>
    </row>
    <row r="794" spans="34:37">
      <c r="AH794" s="20">
        <f t="shared" si="48"/>
        <v>0</v>
      </c>
      <c r="AI794" s="20">
        <f t="shared" si="49"/>
        <v>0</v>
      </c>
      <c r="AJ794" s="21">
        <f t="shared" si="50"/>
        <v>0</v>
      </c>
      <c r="AK794" s="21">
        <f t="shared" si="51"/>
        <v>0</v>
      </c>
    </row>
    <row r="795" spans="34:37">
      <c r="AH795" s="20">
        <f t="shared" si="48"/>
        <v>0</v>
      </c>
      <c r="AI795" s="20">
        <f t="shared" si="49"/>
        <v>0</v>
      </c>
      <c r="AJ795" s="21">
        <f t="shared" si="50"/>
        <v>0</v>
      </c>
      <c r="AK795" s="21">
        <f t="shared" si="51"/>
        <v>0</v>
      </c>
    </row>
    <row r="796" spans="34:37">
      <c r="AH796" s="20">
        <f t="shared" si="48"/>
        <v>0</v>
      </c>
      <c r="AI796" s="20">
        <f t="shared" si="49"/>
        <v>0</v>
      </c>
      <c r="AJ796" s="21">
        <f t="shared" si="50"/>
        <v>0</v>
      </c>
      <c r="AK796" s="21">
        <f t="shared" si="51"/>
        <v>0</v>
      </c>
    </row>
    <row r="797" spans="34:37">
      <c r="AH797" s="20">
        <f t="shared" si="48"/>
        <v>0</v>
      </c>
      <c r="AI797" s="20">
        <f t="shared" si="49"/>
        <v>0</v>
      </c>
      <c r="AJ797" s="21">
        <f t="shared" si="50"/>
        <v>0</v>
      </c>
      <c r="AK797" s="21">
        <f t="shared" si="51"/>
        <v>0</v>
      </c>
    </row>
    <row r="798" spans="34:37">
      <c r="AH798" s="20">
        <f t="shared" si="48"/>
        <v>0</v>
      </c>
      <c r="AI798" s="20">
        <f t="shared" si="49"/>
        <v>0</v>
      </c>
      <c r="AJ798" s="21">
        <f t="shared" si="50"/>
        <v>0</v>
      </c>
      <c r="AK798" s="21">
        <f t="shared" si="51"/>
        <v>0</v>
      </c>
    </row>
    <row r="799" spans="34:37">
      <c r="AH799" s="20">
        <f t="shared" si="48"/>
        <v>0</v>
      </c>
      <c r="AI799" s="20">
        <f t="shared" si="49"/>
        <v>0</v>
      </c>
      <c r="AJ799" s="21">
        <f t="shared" si="50"/>
        <v>0</v>
      </c>
      <c r="AK799" s="21">
        <f t="shared" si="51"/>
        <v>0</v>
      </c>
    </row>
    <row r="800" spans="34:37">
      <c r="AH800" s="20">
        <f t="shared" si="48"/>
        <v>0</v>
      </c>
      <c r="AI800" s="20">
        <f t="shared" si="49"/>
        <v>0</v>
      </c>
      <c r="AJ800" s="21">
        <f t="shared" si="50"/>
        <v>0</v>
      </c>
      <c r="AK800" s="21">
        <f t="shared" si="51"/>
        <v>0</v>
      </c>
    </row>
    <row r="801" spans="34:37">
      <c r="AH801" s="20">
        <f t="shared" si="48"/>
        <v>0</v>
      </c>
      <c r="AI801" s="20">
        <f t="shared" si="49"/>
        <v>0</v>
      </c>
      <c r="AJ801" s="21">
        <f t="shared" si="50"/>
        <v>0</v>
      </c>
      <c r="AK801" s="21">
        <f t="shared" si="51"/>
        <v>0</v>
      </c>
    </row>
    <row r="802" spans="34:37">
      <c r="AH802" s="20">
        <f t="shared" si="48"/>
        <v>0</v>
      </c>
      <c r="AI802" s="20">
        <f t="shared" si="49"/>
        <v>0</v>
      </c>
      <c r="AJ802" s="21">
        <f t="shared" si="50"/>
        <v>0</v>
      </c>
      <c r="AK802" s="21">
        <f t="shared" si="51"/>
        <v>0</v>
      </c>
    </row>
    <row r="803" spans="34:37">
      <c r="AH803" s="20">
        <f t="shared" si="48"/>
        <v>0</v>
      </c>
      <c r="AI803" s="20">
        <f t="shared" si="49"/>
        <v>0</v>
      </c>
      <c r="AJ803" s="21">
        <f t="shared" si="50"/>
        <v>0</v>
      </c>
      <c r="AK803" s="21">
        <f t="shared" si="51"/>
        <v>0</v>
      </c>
    </row>
    <row r="804" spans="34:37">
      <c r="AH804" s="20">
        <f t="shared" si="48"/>
        <v>0</v>
      </c>
      <c r="AI804" s="20">
        <f t="shared" si="49"/>
        <v>0</v>
      </c>
      <c r="AJ804" s="21">
        <f t="shared" si="50"/>
        <v>0</v>
      </c>
      <c r="AK804" s="21">
        <f t="shared" si="51"/>
        <v>0</v>
      </c>
    </row>
    <row r="805" spans="34:37">
      <c r="AH805" s="20">
        <f t="shared" si="48"/>
        <v>0</v>
      </c>
      <c r="AI805" s="20">
        <f t="shared" si="49"/>
        <v>0</v>
      </c>
      <c r="AJ805" s="21">
        <f t="shared" si="50"/>
        <v>0</v>
      </c>
      <c r="AK805" s="21">
        <f t="shared" si="51"/>
        <v>0</v>
      </c>
    </row>
    <row r="806" spans="34:37">
      <c r="AH806" s="20">
        <f t="shared" si="48"/>
        <v>0</v>
      </c>
      <c r="AI806" s="20">
        <f t="shared" si="49"/>
        <v>0</v>
      </c>
      <c r="AJ806" s="21">
        <f t="shared" si="50"/>
        <v>0</v>
      </c>
      <c r="AK806" s="21">
        <f t="shared" si="51"/>
        <v>0</v>
      </c>
    </row>
    <row r="807" spans="34:37">
      <c r="AH807" s="20">
        <f t="shared" si="48"/>
        <v>0</v>
      </c>
      <c r="AI807" s="20">
        <f t="shared" si="49"/>
        <v>0</v>
      </c>
      <c r="AJ807" s="21">
        <f t="shared" si="50"/>
        <v>0</v>
      </c>
      <c r="AK807" s="21">
        <f t="shared" si="51"/>
        <v>0</v>
      </c>
    </row>
    <row r="808" spans="34:37">
      <c r="AH808" s="20">
        <f t="shared" si="48"/>
        <v>0</v>
      </c>
      <c r="AI808" s="20">
        <f t="shared" si="49"/>
        <v>0</v>
      </c>
      <c r="AJ808" s="21">
        <f t="shared" si="50"/>
        <v>0</v>
      </c>
      <c r="AK808" s="21">
        <f t="shared" si="51"/>
        <v>0</v>
      </c>
    </row>
    <row r="809" spans="34:37">
      <c r="AH809" s="20">
        <f t="shared" si="48"/>
        <v>0</v>
      </c>
      <c r="AI809" s="20">
        <f t="shared" si="49"/>
        <v>0</v>
      </c>
      <c r="AJ809" s="21">
        <f t="shared" si="50"/>
        <v>0</v>
      </c>
      <c r="AK809" s="21">
        <f t="shared" si="51"/>
        <v>0</v>
      </c>
    </row>
    <row r="810" spans="34:37">
      <c r="AH810" s="20">
        <f t="shared" si="48"/>
        <v>0</v>
      </c>
      <c r="AI810" s="20">
        <f t="shared" si="49"/>
        <v>0</v>
      </c>
      <c r="AJ810" s="21">
        <f t="shared" si="50"/>
        <v>0</v>
      </c>
      <c r="AK810" s="21">
        <f t="shared" si="51"/>
        <v>0</v>
      </c>
    </row>
    <row r="811" spans="34:37">
      <c r="AH811" s="20">
        <f t="shared" si="48"/>
        <v>0</v>
      </c>
      <c r="AI811" s="20">
        <f t="shared" si="49"/>
        <v>0</v>
      </c>
      <c r="AJ811" s="21">
        <f t="shared" si="50"/>
        <v>0</v>
      </c>
      <c r="AK811" s="21">
        <f t="shared" si="51"/>
        <v>0</v>
      </c>
    </row>
    <row r="812" spans="34:37">
      <c r="AH812" s="20">
        <f t="shared" si="48"/>
        <v>0</v>
      </c>
      <c r="AI812" s="20">
        <f t="shared" si="49"/>
        <v>0</v>
      </c>
      <c r="AJ812" s="21">
        <f t="shared" si="50"/>
        <v>0</v>
      </c>
      <c r="AK812" s="21">
        <f t="shared" si="51"/>
        <v>0</v>
      </c>
    </row>
    <row r="813" spans="34:37">
      <c r="AH813" s="20">
        <f t="shared" si="48"/>
        <v>0</v>
      </c>
      <c r="AI813" s="20">
        <f t="shared" si="49"/>
        <v>0</v>
      </c>
      <c r="AJ813" s="21">
        <f t="shared" si="50"/>
        <v>0</v>
      </c>
      <c r="AK813" s="21">
        <f t="shared" si="51"/>
        <v>0</v>
      </c>
    </row>
    <row r="814" spans="34:37">
      <c r="AH814" s="20">
        <f t="shared" si="48"/>
        <v>0</v>
      </c>
      <c r="AI814" s="20">
        <f t="shared" si="49"/>
        <v>0</v>
      </c>
      <c r="AJ814" s="21">
        <f t="shared" si="50"/>
        <v>0</v>
      </c>
      <c r="AK814" s="21">
        <f t="shared" si="51"/>
        <v>0</v>
      </c>
    </row>
    <row r="815" spans="34:37">
      <c r="AH815" s="20">
        <f t="shared" si="48"/>
        <v>0</v>
      </c>
      <c r="AI815" s="20">
        <f t="shared" si="49"/>
        <v>0</v>
      </c>
      <c r="AJ815" s="21">
        <f t="shared" si="50"/>
        <v>0</v>
      </c>
      <c r="AK815" s="21">
        <f t="shared" si="51"/>
        <v>0</v>
      </c>
    </row>
    <row r="816" spans="34:37">
      <c r="AH816" s="20">
        <f t="shared" si="48"/>
        <v>0</v>
      </c>
      <c r="AI816" s="20">
        <f t="shared" si="49"/>
        <v>0</v>
      </c>
      <c r="AJ816" s="21">
        <f t="shared" si="50"/>
        <v>0</v>
      </c>
      <c r="AK816" s="21">
        <f t="shared" si="51"/>
        <v>0</v>
      </c>
    </row>
    <row r="817" spans="34:37">
      <c r="AH817" s="20">
        <f t="shared" si="48"/>
        <v>0</v>
      </c>
      <c r="AI817" s="20">
        <f t="shared" si="49"/>
        <v>0</v>
      </c>
      <c r="AJ817" s="21">
        <f t="shared" si="50"/>
        <v>0</v>
      </c>
      <c r="AK817" s="21">
        <f t="shared" si="51"/>
        <v>0</v>
      </c>
    </row>
    <row r="818" spans="34:37">
      <c r="AH818" s="20">
        <f t="shared" si="48"/>
        <v>0</v>
      </c>
      <c r="AI818" s="20">
        <f t="shared" si="49"/>
        <v>0</v>
      </c>
      <c r="AJ818" s="21">
        <f t="shared" si="50"/>
        <v>0</v>
      </c>
      <c r="AK818" s="21">
        <f t="shared" si="51"/>
        <v>0</v>
      </c>
    </row>
    <row r="819" spans="34:37">
      <c r="AH819" s="20">
        <f t="shared" si="48"/>
        <v>0</v>
      </c>
      <c r="AI819" s="20">
        <f t="shared" si="49"/>
        <v>0</v>
      </c>
      <c r="AJ819" s="21">
        <f t="shared" si="50"/>
        <v>0</v>
      </c>
      <c r="AK819" s="21">
        <f t="shared" si="51"/>
        <v>0</v>
      </c>
    </row>
    <row r="820" spans="34:37">
      <c r="AH820" s="20">
        <f t="shared" si="48"/>
        <v>0</v>
      </c>
      <c r="AI820" s="20">
        <f t="shared" si="49"/>
        <v>0</v>
      </c>
      <c r="AJ820" s="21">
        <f t="shared" si="50"/>
        <v>0</v>
      </c>
      <c r="AK820" s="21">
        <f t="shared" si="51"/>
        <v>0</v>
      </c>
    </row>
    <row r="821" spans="34:37">
      <c r="AH821" s="20">
        <f t="shared" si="48"/>
        <v>0</v>
      </c>
      <c r="AI821" s="20">
        <f t="shared" si="49"/>
        <v>0</v>
      </c>
      <c r="AJ821" s="21">
        <f t="shared" si="50"/>
        <v>0</v>
      </c>
      <c r="AK821" s="21">
        <f t="shared" si="51"/>
        <v>0</v>
      </c>
    </row>
    <row r="822" spans="34:37">
      <c r="AH822" s="20">
        <f t="shared" si="48"/>
        <v>0</v>
      </c>
      <c r="AI822" s="20">
        <f t="shared" si="49"/>
        <v>0</v>
      </c>
      <c r="AJ822" s="21">
        <f t="shared" si="50"/>
        <v>0</v>
      </c>
      <c r="AK822" s="21">
        <f t="shared" si="51"/>
        <v>0</v>
      </c>
    </row>
    <row r="823" spans="34:37">
      <c r="AH823" s="20">
        <f t="shared" si="48"/>
        <v>0</v>
      </c>
      <c r="AI823" s="20">
        <f t="shared" si="49"/>
        <v>0</v>
      </c>
      <c r="AJ823" s="21">
        <f t="shared" si="50"/>
        <v>0</v>
      </c>
      <c r="AK823" s="21">
        <f t="shared" si="51"/>
        <v>0</v>
      </c>
    </row>
    <row r="824" spans="34:37">
      <c r="AH824" s="20">
        <f t="shared" si="48"/>
        <v>0</v>
      </c>
      <c r="AI824" s="20">
        <f t="shared" si="49"/>
        <v>0</v>
      </c>
      <c r="AJ824" s="21">
        <f t="shared" si="50"/>
        <v>0</v>
      </c>
      <c r="AK824" s="21">
        <f t="shared" si="51"/>
        <v>0</v>
      </c>
    </row>
    <row r="825" spans="34:37">
      <c r="AH825" s="20">
        <f t="shared" si="48"/>
        <v>0</v>
      </c>
      <c r="AI825" s="20">
        <f t="shared" si="49"/>
        <v>0</v>
      </c>
      <c r="AJ825" s="21">
        <f t="shared" si="50"/>
        <v>0</v>
      </c>
      <c r="AK825" s="21">
        <f t="shared" si="51"/>
        <v>0</v>
      </c>
    </row>
    <row r="826" spans="34:37">
      <c r="AH826" s="20">
        <f t="shared" si="48"/>
        <v>0</v>
      </c>
      <c r="AI826" s="20">
        <f t="shared" si="49"/>
        <v>0</v>
      </c>
      <c r="AJ826" s="21">
        <f t="shared" si="50"/>
        <v>0</v>
      </c>
      <c r="AK826" s="21">
        <f t="shared" si="51"/>
        <v>0</v>
      </c>
    </row>
    <row r="827" spans="34:37">
      <c r="AH827" s="20">
        <f t="shared" si="48"/>
        <v>0</v>
      </c>
      <c r="AI827" s="20">
        <f t="shared" si="49"/>
        <v>0</v>
      </c>
      <c r="AJ827" s="21">
        <f t="shared" si="50"/>
        <v>0</v>
      </c>
      <c r="AK827" s="21">
        <f t="shared" si="51"/>
        <v>0</v>
      </c>
    </row>
    <row r="828" spans="34:37">
      <c r="AH828" s="20">
        <f t="shared" si="48"/>
        <v>0</v>
      </c>
      <c r="AI828" s="20">
        <f t="shared" si="49"/>
        <v>0</v>
      </c>
      <c r="AJ828" s="21">
        <f t="shared" si="50"/>
        <v>0</v>
      </c>
      <c r="AK828" s="21">
        <f t="shared" si="51"/>
        <v>0</v>
      </c>
    </row>
    <row r="829" spans="34:37">
      <c r="AH829" s="20">
        <f t="shared" si="48"/>
        <v>0</v>
      </c>
      <c r="AI829" s="20">
        <f t="shared" si="49"/>
        <v>0</v>
      </c>
      <c r="AJ829" s="21">
        <f t="shared" si="50"/>
        <v>0</v>
      </c>
      <c r="AK829" s="21">
        <f t="shared" si="51"/>
        <v>0</v>
      </c>
    </row>
    <row r="830" spans="34:37">
      <c r="AH830" s="20">
        <f t="shared" si="48"/>
        <v>0</v>
      </c>
      <c r="AI830" s="20">
        <f t="shared" si="49"/>
        <v>0</v>
      </c>
      <c r="AJ830" s="21">
        <f t="shared" si="50"/>
        <v>0</v>
      </c>
      <c r="AK830" s="21">
        <f t="shared" si="51"/>
        <v>0</v>
      </c>
    </row>
    <row r="831" spans="34:37">
      <c r="AH831" s="20">
        <f t="shared" si="48"/>
        <v>0</v>
      </c>
      <c r="AI831" s="20">
        <f t="shared" si="49"/>
        <v>0</v>
      </c>
      <c r="AJ831" s="21">
        <f t="shared" si="50"/>
        <v>0</v>
      </c>
      <c r="AK831" s="21">
        <f t="shared" si="51"/>
        <v>0</v>
      </c>
    </row>
    <row r="832" spans="34:37">
      <c r="AH832" s="20">
        <f t="shared" si="48"/>
        <v>0</v>
      </c>
      <c r="AI832" s="20">
        <f t="shared" si="49"/>
        <v>0</v>
      </c>
      <c r="AJ832" s="21">
        <f t="shared" si="50"/>
        <v>0</v>
      </c>
      <c r="AK832" s="21">
        <f t="shared" si="51"/>
        <v>0</v>
      </c>
    </row>
    <row r="833" spans="34:37">
      <c r="AH833" s="20">
        <f t="shared" si="48"/>
        <v>0</v>
      </c>
      <c r="AI833" s="20">
        <f t="shared" si="49"/>
        <v>0</v>
      </c>
      <c r="AJ833" s="21">
        <f t="shared" si="50"/>
        <v>0</v>
      </c>
      <c r="AK833" s="21">
        <f t="shared" si="51"/>
        <v>0</v>
      </c>
    </row>
    <row r="834" spans="34:37">
      <c r="AH834" s="20">
        <f t="shared" si="48"/>
        <v>0</v>
      </c>
      <c r="AI834" s="20">
        <f t="shared" si="49"/>
        <v>0</v>
      </c>
      <c r="AJ834" s="21">
        <f t="shared" si="50"/>
        <v>0</v>
      </c>
      <c r="AK834" s="21">
        <f t="shared" si="51"/>
        <v>0</v>
      </c>
    </row>
    <row r="835" spans="34:37">
      <c r="AH835" s="20">
        <f t="shared" ref="AH835:AH898" si="52">IF($B835="oui",IF($R835="R",IF($Q835&gt;30,1,0),0),0)</f>
        <v>0</v>
      </c>
      <c r="AI835" s="20">
        <f t="shared" ref="AI835:AI898" si="53">IF($B835="oui",IF($R835="AR",IF($Q835&gt;30,1,0),0),0)</f>
        <v>0</v>
      </c>
      <c r="AJ835" s="21">
        <f t="shared" ref="AJ835:AJ898" si="54">IF($B835="oui",IF($R835="EC",1,0),0)</f>
        <v>0</v>
      </c>
      <c r="AK835" s="21">
        <f t="shared" ref="AK835:AK898" si="55">IF(M835&lt;&gt;"",IF(ISBLANK(P835),1,0),0)</f>
        <v>0</v>
      </c>
    </row>
    <row r="836" spans="34:37">
      <c r="AH836" s="20">
        <f t="shared" si="52"/>
        <v>0</v>
      </c>
      <c r="AI836" s="20">
        <f t="shared" si="53"/>
        <v>0</v>
      </c>
      <c r="AJ836" s="21">
        <f t="shared" si="54"/>
        <v>0</v>
      </c>
      <c r="AK836" s="21">
        <f t="shared" si="55"/>
        <v>0</v>
      </c>
    </row>
    <row r="837" spans="34:37">
      <c r="AH837" s="20">
        <f t="shared" si="52"/>
        <v>0</v>
      </c>
      <c r="AI837" s="20">
        <f t="shared" si="53"/>
        <v>0</v>
      </c>
      <c r="AJ837" s="21">
        <f t="shared" si="54"/>
        <v>0</v>
      </c>
      <c r="AK837" s="21">
        <f t="shared" si="55"/>
        <v>0</v>
      </c>
    </row>
    <row r="838" spans="34:37">
      <c r="AH838" s="20">
        <f t="shared" si="52"/>
        <v>0</v>
      </c>
      <c r="AI838" s="20">
        <f t="shared" si="53"/>
        <v>0</v>
      </c>
      <c r="AJ838" s="21">
        <f t="shared" si="54"/>
        <v>0</v>
      </c>
      <c r="AK838" s="21">
        <f t="shared" si="55"/>
        <v>0</v>
      </c>
    </row>
    <row r="839" spans="34:37">
      <c r="AH839" s="20">
        <f t="shared" si="52"/>
        <v>0</v>
      </c>
      <c r="AI839" s="20">
        <f t="shared" si="53"/>
        <v>0</v>
      </c>
      <c r="AJ839" s="21">
        <f t="shared" si="54"/>
        <v>0</v>
      </c>
      <c r="AK839" s="21">
        <f t="shared" si="55"/>
        <v>0</v>
      </c>
    </row>
    <row r="840" spans="34:37">
      <c r="AH840" s="20">
        <f t="shared" si="52"/>
        <v>0</v>
      </c>
      <c r="AI840" s="20">
        <f t="shared" si="53"/>
        <v>0</v>
      </c>
      <c r="AJ840" s="21">
        <f t="shared" si="54"/>
        <v>0</v>
      </c>
      <c r="AK840" s="21">
        <f t="shared" si="55"/>
        <v>0</v>
      </c>
    </row>
    <row r="841" spans="34:37">
      <c r="AH841" s="20">
        <f t="shared" si="52"/>
        <v>0</v>
      </c>
      <c r="AI841" s="20">
        <f t="shared" si="53"/>
        <v>0</v>
      </c>
      <c r="AJ841" s="21">
        <f t="shared" si="54"/>
        <v>0</v>
      </c>
      <c r="AK841" s="21">
        <f t="shared" si="55"/>
        <v>0</v>
      </c>
    </row>
    <row r="842" spans="34:37">
      <c r="AH842" s="20">
        <f t="shared" si="52"/>
        <v>0</v>
      </c>
      <c r="AI842" s="20">
        <f t="shared" si="53"/>
        <v>0</v>
      </c>
      <c r="AJ842" s="21">
        <f t="shared" si="54"/>
        <v>0</v>
      </c>
      <c r="AK842" s="21">
        <f t="shared" si="55"/>
        <v>0</v>
      </c>
    </row>
    <row r="843" spans="34:37">
      <c r="AH843" s="20">
        <f t="shared" si="52"/>
        <v>0</v>
      </c>
      <c r="AI843" s="20">
        <f t="shared" si="53"/>
        <v>0</v>
      </c>
      <c r="AJ843" s="21">
        <f t="shared" si="54"/>
        <v>0</v>
      </c>
      <c r="AK843" s="21">
        <f t="shared" si="55"/>
        <v>0</v>
      </c>
    </row>
    <row r="844" spans="34:37">
      <c r="AH844" s="20">
        <f t="shared" si="52"/>
        <v>0</v>
      </c>
      <c r="AI844" s="20">
        <f t="shared" si="53"/>
        <v>0</v>
      </c>
      <c r="AJ844" s="21">
        <f t="shared" si="54"/>
        <v>0</v>
      </c>
      <c r="AK844" s="21">
        <f t="shared" si="55"/>
        <v>0</v>
      </c>
    </row>
    <row r="845" spans="34:37">
      <c r="AH845" s="20">
        <f t="shared" si="52"/>
        <v>0</v>
      </c>
      <c r="AI845" s="20">
        <f t="shared" si="53"/>
        <v>0</v>
      </c>
      <c r="AJ845" s="21">
        <f t="shared" si="54"/>
        <v>0</v>
      </c>
      <c r="AK845" s="21">
        <f t="shared" si="55"/>
        <v>0</v>
      </c>
    </row>
    <row r="846" spans="34:37">
      <c r="AH846" s="20">
        <f t="shared" si="52"/>
        <v>0</v>
      </c>
      <c r="AI846" s="20">
        <f t="shared" si="53"/>
        <v>0</v>
      </c>
      <c r="AJ846" s="21">
        <f t="shared" si="54"/>
        <v>0</v>
      </c>
      <c r="AK846" s="21">
        <f t="shared" si="55"/>
        <v>0</v>
      </c>
    </row>
    <row r="847" spans="34:37">
      <c r="AH847" s="20">
        <f t="shared" si="52"/>
        <v>0</v>
      </c>
      <c r="AI847" s="20">
        <f t="shared" si="53"/>
        <v>0</v>
      </c>
      <c r="AJ847" s="21">
        <f t="shared" si="54"/>
        <v>0</v>
      </c>
      <c r="AK847" s="21">
        <f t="shared" si="55"/>
        <v>0</v>
      </c>
    </row>
    <row r="848" spans="34:37">
      <c r="AH848" s="20">
        <f t="shared" si="52"/>
        <v>0</v>
      </c>
      <c r="AI848" s="20">
        <f t="shared" si="53"/>
        <v>0</v>
      </c>
      <c r="AJ848" s="21">
        <f t="shared" si="54"/>
        <v>0</v>
      </c>
      <c r="AK848" s="21">
        <f t="shared" si="55"/>
        <v>0</v>
      </c>
    </row>
    <row r="849" spans="34:37">
      <c r="AH849" s="20">
        <f t="shared" si="52"/>
        <v>0</v>
      </c>
      <c r="AI849" s="20">
        <f t="shared" si="53"/>
        <v>0</v>
      </c>
      <c r="AJ849" s="21">
        <f t="shared" si="54"/>
        <v>0</v>
      </c>
      <c r="AK849" s="21">
        <f t="shared" si="55"/>
        <v>0</v>
      </c>
    </row>
    <row r="850" spans="34:37">
      <c r="AH850" s="20">
        <f t="shared" si="52"/>
        <v>0</v>
      </c>
      <c r="AI850" s="20">
        <f t="shared" si="53"/>
        <v>0</v>
      </c>
      <c r="AJ850" s="21">
        <f t="shared" si="54"/>
        <v>0</v>
      </c>
      <c r="AK850" s="21">
        <f t="shared" si="55"/>
        <v>0</v>
      </c>
    </row>
    <row r="851" spans="34:37">
      <c r="AH851" s="20">
        <f t="shared" si="52"/>
        <v>0</v>
      </c>
      <c r="AI851" s="20">
        <f t="shared" si="53"/>
        <v>0</v>
      </c>
      <c r="AJ851" s="21">
        <f t="shared" si="54"/>
        <v>0</v>
      </c>
      <c r="AK851" s="21">
        <f t="shared" si="55"/>
        <v>0</v>
      </c>
    </row>
    <row r="852" spans="34:37">
      <c r="AH852" s="20">
        <f t="shared" si="52"/>
        <v>0</v>
      </c>
      <c r="AI852" s="20">
        <f t="shared" si="53"/>
        <v>0</v>
      </c>
      <c r="AJ852" s="21">
        <f t="shared" si="54"/>
        <v>0</v>
      </c>
      <c r="AK852" s="21">
        <f t="shared" si="55"/>
        <v>0</v>
      </c>
    </row>
    <row r="853" spans="34:37">
      <c r="AH853" s="20">
        <f t="shared" si="52"/>
        <v>0</v>
      </c>
      <c r="AI853" s="20">
        <f t="shared" si="53"/>
        <v>0</v>
      </c>
      <c r="AJ853" s="21">
        <f t="shared" si="54"/>
        <v>0</v>
      </c>
      <c r="AK853" s="21">
        <f t="shared" si="55"/>
        <v>0</v>
      </c>
    </row>
    <row r="854" spans="34:37">
      <c r="AH854" s="20">
        <f t="shared" si="52"/>
        <v>0</v>
      </c>
      <c r="AI854" s="20">
        <f t="shared" si="53"/>
        <v>0</v>
      </c>
      <c r="AJ854" s="21">
        <f t="shared" si="54"/>
        <v>0</v>
      </c>
      <c r="AK854" s="21">
        <f t="shared" si="55"/>
        <v>0</v>
      </c>
    </row>
    <row r="855" spans="34:37">
      <c r="AH855" s="20">
        <f t="shared" si="52"/>
        <v>0</v>
      </c>
      <c r="AI855" s="20">
        <f t="shared" si="53"/>
        <v>0</v>
      </c>
      <c r="AJ855" s="21">
        <f t="shared" si="54"/>
        <v>0</v>
      </c>
      <c r="AK855" s="21">
        <f t="shared" si="55"/>
        <v>0</v>
      </c>
    </row>
    <row r="856" spans="34:37">
      <c r="AH856" s="20">
        <f t="shared" si="52"/>
        <v>0</v>
      </c>
      <c r="AI856" s="20">
        <f t="shared" si="53"/>
        <v>0</v>
      </c>
      <c r="AJ856" s="21">
        <f t="shared" si="54"/>
        <v>0</v>
      </c>
      <c r="AK856" s="21">
        <f t="shared" si="55"/>
        <v>0</v>
      </c>
    </row>
    <row r="857" spans="34:37">
      <c r="AH857" s="20">
        <f t="shared" si="52"/>
        <v>0</v>
      </c>
      <c r="AI857" s="20">
        <f t="shared" si="53"/>
        <v>0</v>
      </c>
      <c r="AJ857" s="21">
        <f t="shared" si="54"/>
        <v>0</v>
      </c>
      <c r="AK857" s="21">
        <f t="shared" si="55"/>
        <v>0</v>
      </c>
    </row>
    <row r="858" spans="34:37">
      <c r="AH858" s="20">
        <f t="shared" si="52"/>
        <v>0</v>
      </c>
      <c r="AI858" s="20">
        <f t="shared" si="53"/>
        <v>0</v>
      </c>
      <c r="AJ858" s="21">
        <f t="shared" si="54"/>
        <v>0</v>
      </c>
      <c r="AK858" s="21">
        <f t="shared" si="55"/>
        <v>0</v>
      </c>
    </row>
    <row r="859" spans="34:37">
      <c r="AH859" s="20">
        <f t="shared" si="52"/>
        <v>0</v>
      </c>
      <c r="AI859" s="20">
        <f t="shared" si="53"/>
        <v>0</v>
      </c>
      <c r="AJ859" s="21">
        <f t="shared" si="54"/>
        <v>0</v>
      </c>
      <c r="AK859" s="21">
        <f t="shared" si="55"/>
        <v>0</v>
      </c>
    </row>
    <row r="860" spans="34:37">
      <c r="AH860" s="20">
        <f t="shared" si="52"/>
        <v>0</v>
      </c>
      <c r="AI860" s="20">
        <f t="shared" si="53"/>
        <v>0</v>
      </c>
      <c r="AJ860" s="21">
        <f t="shared" si="54"/>
        <v>0</v>
      </c>
      <c r="AK860" s="21">
        <f t="shared" si="55"/>
        <v>0</v>
      </c>
    </row>
    <row r="861" spans="34:37">
      <c r="AH861" s="20">
        <f t="shared" si="52"/>
        <v>0</v>
      </c>
      <c r="AI861" s="20">
        <f t="shared" si="53"/>
        <v>0</v>
      </c>
      <c r="AJ861" s="21">
        <f t="shared" si="54"/>
        <v>0</v>
      </c>
      <c r="AK861" s="21">
        <f t="shared" si="55"/>
        <v>0</v>
      </c>
    </row>
    <row r="862" spans="34:37">
      <c r="AH862" s="20">
        <f t="shared" si="52"/>
        <v>0</v>
      </c>
      <c r="AI862" s="20">
        <f t="shared" si="53"/>
        <v>0</v>
      </c>
      <c r="AJ862" s="21">
        <f t="shared" si="54"/>
        <v>0</v>
      </c>
      <c r="AK862" s="21">
        <f t="shared" si="55"/>
        <v>0</v>
      </c>
    </row>
    <row r="863" spans="34:37">
      <c r="AH863" s="20">
        <f t="shared" si="52"/>
        <v>0</v>
      </c>
      <c r="AI863" s="20">
        <f t="shared" si="53"/>
        <v>0</v>
      </c>
      <c r="AJ863" s="21">
        <f t="shared" si="54"/>
        <v>0</v>
      </c>
      <c r="AK863" s="21">
        <f t="shared" si="55"/>
        <v>0</v>
      </c>
    </row>
    <row r="864" spans="34:37">
      <c r="AH864" s="20">
        <f t="shared" si="52"/>
        <v>0</v>
      </c>
      <c r="AI864" s="20">
        <f t="shared" si="53"/>
        <v>0</v>
      </c>
      <c r="AJ864" s="21">
        <f t="shared" si="54"/>
        <v>0</v>
      </c>
      <c r="AK864" s="21">
        <f t="shared" si="55"/>
        <v>0</v>
      </c>
    </row>
    <row r="865" spans="34:37">
      <c r="AH865" s="20">
        <f t="shared" si="52"/>
        <v>0</v>
      </c>
      <c r="AI865" s="20">
        <f t="shared" si="53"/>
        <v>0</v>
      </c>
      <c r="AJ865" s="21">
        <f t="shared" si="54"/>
        <v>0</v>
      </c>
      <c r="AK865" s="21">
        <f t="shared" si="55"/>
        <v>0</v>
      </c>
    </row>
    <row r="866" spans="34:37">
      <c r="AH866" s="20">
        <f t="shared" si="52"/>
        <v>0</v>
      </c>
      <c r="AI866" s="20">
        <f t="shared" si="53"/>
        <v>0</v>
      </c>
      <c r="AJ866" s="21">
        <f t="shared" si="54"/>
        <v>0</v>
      </c>
      <c r="AK866" s="21">
        <f t="shared" si="55"/>
        <v>0</v>
      </c>
    </row>
    <row r="867" spans="34:37">
      <c r="AH867" s="20">
        <f t="shared" si="52"/>
        <v>0</v>
      </c>
      <c r="AI867" s="20">
        <f t="shared" si="53"/>
        <v>0</v>
      </c>
      <c r="AJ867" s="21">
        <f t="shared" si="54"/>
        <v>0</v>
      </c>
      <c r="AK867" s="21">
        <f t="shared" si="55"/>
        <v>0</v>
      </c>
    </row>
    <row r="868" spans="34:37">
      <c r="AH868" s="20">
        <f t="shared" si="52"/>
        <v>0</v>
      </c>
      <c r="AI868" s="20">
        <f t="shared" si="53"/>
        <v>0</v>
      </c>
      <c r="AJ868" s="21">
        <f t="shared" si="54"/>
        <v>0</v>
      </c>
      <c r="AK868" s="21">
        <f t="shared" si="55"/>
        <v>0</v>
      </c>
    </row>
    <row r="869" spans="34:37">
      <c r="AH869" s="20">
        <f t="shared" si="52"/>
        <v>0</v>
      </c>
      <c r="AI869" s="20">
        <f t="shared" si="53"/>
        <v>0</v>
      </c>
      <c r="AJ869" s="21">
        <f t="shared" si="54"/>
        <v>0</v>
      </c>
      <c r="AK869" s="21">
        <f t="shared" si="55"/>
        <v>0</v>
      </c>
    </row>
    <row r="870" spans="34:37">
      <c r="AH870" s="20">
        <f t="shared" si="52"/>
        <v>0</v>
      </c>
      <c r="AI870" s="20">
        <f t="shared" si="53"/>
        <v>0</v>
      </c>
      <c r="AJ870" s="21">
        <f t="shared" si="54"/>
        <v>0</v>
      </c>
      <c r="AK870" s="21">
        <f t="shared" si="55"/>
        <v>0</v>
      </c>
    </row>
    <row r="871" spans="34:37">
      <c r="AH871" s="20">
        <f t="shared" si="52"/>
        <v>0</v>
      </c>
      <c r="AI871" s="20">
        <f t="shared" si="53"/>
        <v>0</v>
      </c>
      <c r="AJ871" s="21">
        <f t="shared" si="54"/>
        <v>0</v>
      </c>
      <c r="AK871" s="21">
        <f t="shared" si="55"/>
        <v>0</v>
      </c>
    </row>
    <row r="872" spans="34:37">
      <c r="AH872" s="20">
        <f t="shared" si="52"/>
        <v>0</v>
      </c>
      <c r="AI872" s="20">
        <f t="shared" si="53"/>
        <v>0</v>
      </c>
      <c r="AJ872" s="21">
        <f t="shared" si="54"/>
        <v>0</v>
      </c>
      <c r="AK872" s="21">
        <f t="shared" si="55"/>
        <v>0</v>
      </c>
    </row>
    <row r="873" spans="34:37">
      <c r="AH873" s="20">
        <f t="shared" si="52"/>
        <v>0</v>
      </c>
      <c r="AI873" s="20">
        <f t="shared" si="53"/>
        <v>0</v>
      </c>
      <c r="AJ873" s="21">
        <f t="shared" si="54"/>
        <v>0</v>
      </c>
      <c r="AK873" s="21">
        <f t="shared" si="55"/>
        <v>0</v>
      </c>
    </row>
    <row r="874" spans="34:37">
      <c r="AH874" s="20">
        <f t="shared" si="52"/>
        <v>0</v>
      </c>
      <c r="AI874" s="20">
        <f t="shared" si="53"/>
        <v>0</v>
      </c>
      <c r="AJ874" s="21">
        <f t="shared" si="54"/>
        <v>0</v>
      </c>
      <c r="AK874" s="21">
        <f t="shared" si="55"/>
        <v>0</v>
      </c>
    </row>
    <row r="875" spans="34:37">
      <c r="AH875" s="20">
        <f t="shared" si="52"/>
        <v>0</v>
      </c>
      <c r="AI875" s="20">
        <f t="shared" si="53"/>
        <v>0</v>
      </c>
      <c r="AJ875" s="21">
        <f t="shared" si="54"/>
        <v>0</v>
      </c>
      <c r="AK875" s="21">
        <f t="shared" si="55"/>
        <v>0</v>
      </c>
    </row>
    <row r="876" spans="34:37">
      <c r="AH876" s="20">
        <f t="shared" si="52"/>
        <v>0</v>
      </c>
      <c r="AI876" s="20">
        <f t="shared" si="53"/>
        <v>0</v>
      </c>
      <c r="AJ876" s="21">
        <f t="shared" si="54"/>
        <v>0</v>
      </c>
      <c r="AK876" s="21">
        <f t="shared" si="55"/>
        <v>0</v>
      </c>
    </row>
    <row r="877" spans="34:37">
      <c r="AH877" s="20">
        <f t="shared" si="52"/>
        <v>0</v>
      </c>
      <c r="AI877" s="20">
        <f t="shared" si="53"/>
        <v>0</v>
      </c>
      <c r="AJ877" s="21">
        <f t="shared" si="54"/>
        <v>0</v>
      </c>
      <c r="AK877" s="21">
        <f t="shared" si="55"/>
        <v>0</v>
      </c>
    </row>
    <row r="878" spans="34:37">
      <c r="AH878" s="20">
        <f t="shared" si="52"/>
        <v>0</v>
      </c>
      <c r="AI878" s="20">
        <f t="shared" si="53"/>
        <v>0</v>
      </c>
      <c r="AJ878" s="21">
        <f t="shared" si="54"/>
        <v>0</v>
      </c>
      <c r="AK878" s="21">
        <f t="shared" si="55"/>
        <v>0</v>
      </c>
    </row>
    <row r="879" spans="34:37">
      <c r="AH879" s="20">
        <f t="shared" si="52"/>
        <v>0</v>
      </c>
      <c r="AI879" s="20">
        <f t="shared" si="53"/>
        <v>0</v>
      </c>
      <c r="AJ879" s="21">
        <f t="shared" si="54"/>
        <v>0</v>
      </c>
      <c r="AK879" s="21">
        <f t="shared" si="55"/>
        <v>0</v>
      </c>
    </row>
    <row r="880" spans="34:37">
      <c r="AH880" s="20">
        <f t="shared" si="52"/>
        <v>0</v>
      </c>
      <c r="AI880" s="20">
        <f t="shared" si="53"/>
        <v>0</v>
      </c>
      <c r="AJ880" s="21">
        <f t="shared" si="54"/>
        <v>0</v>
      </c>
      <c r="AK880" s="21">
        <f t="shared" si="55"/>
        <v>0</v>
      </c>
    </row>
    <row r="881" spans="34:37">
      <c r="AH881" s="20">
        <f t="shared" si="52"/>
        <v>0</v>
      </c>
      <c r="AI881" s="20">
        <f t="shared" si="53"/>
        <v>0</v>
      </c>
      <c r="AJ881" s="21">
        <f t="shared" si="54"/>
        <v>0</v>
      </c>
      <c r="AK881" s="21">
        <f t="shared" si="55"/>
        <v>0</v>
      </c>
    </row>
    <row r="882" spans="34:37">
      <c r="AH882" s="20">
        <f t="shared" si="52"/>
        <v>0</v>
      </c>
      <c r="AI882" s="20">
        <f t="shared" si="53"/>
        <v>0</v>
      </c>
      <c r="AJ882" s="21">
        <f t="shared" si="54"/>
        <v>0</v>
      </c>
      <c r="AK882" s="21">
        <f t="shared" si="55"/>
        <v>0</v>
      </c>
    </row>
    <row r="883" spans="34:37">
      <c r="AH883" s="20">
        <f t="shared" si="52"/>
        <v>0</v>
      </c>
      <c r="AI883" s="20">
        <f t="shared" si="53"/>
        <v>0</v>
      </c>
      <c r="AJ883" s="21">
        <f t="shared" si="54"/>
        <v>0</v>
      </c>
      <c r="AK883" s="21">
        <f t="shared" si="55"/>
        <v>0</v>
      </c>
    </row>
    <row r="884" spans="34:37">
      <c r="AH884" s="20">
        <f t="shared" si="52"/>
        <v>0</v>
      </c>
      <c r="AI884" s="20">
        <f t="shared" si="53"/>
        <v>0</v>
      </c>
      <c r="AJ884" s="21">
        <f t="shared" si="54"/>
        <v>0</v>
      </c>
      <c r="AK884" s="21">
        <f t="shared" si="55"/>
        <v>0</v>
      </c>
    </row>
    <row r="885" spans="34:37">
      <c r="AH885" s="20">
        <f t="shared" si="52"/>
        <v>0</v>
      </c>
      <c r="AI885" s="20">
        <f t="shared" si="53"/>
        <v>0</v>
      </c>
      <c r="AJ885" s="21">
        <f t="shared" si="54"/>
        <v>0</v>
      </c>
      <c r="AK885" s="21">
        <f t="shared" si="55"/>
        <v>0</v>
      </c>
    </row>
    <row r="886" spans="34:37">
      <c r="AH886" s="20">
        <f t="shared" si="52"/>
        <v>0</v>
      </c>
      <c r="AI886" s="20">
        <f t="shared" si="53"/>
        <v>0</v>
      </c>
      <c r="AJ886" s="21">
        <f t="shared" si="54"/>
        <v>0</v>
      </c>
      <c r="AK886" s="21">
        <f t="shared" si="55"/>
        <v>0</v>
      </c>
    </row>
    <row r="887" spans="34:37">
      <c r="AH887" s="20">
        <f t="shared" si="52"/>
        <v>0</v>
      </c>
      <c r="AI887" s="20">
        <f t="shared" si="53"/>
        <v>0</v>
      </c>
      <c r="AJ887" s="21">
        <f t="shared" si="54"/>
        <v>0</v>
      </c>
      <c r="AK887" s="21">
        <f t="shared" si="55"/>
        <v>0</v>
      </c>
    </row>
    <row r="888" spans="34:37">
      <c r="AH888" s="20">
        <f t="shared" si="52"/>
        <v>0</v>
      </c>
      <c r="AI888" s="20">
        <f t="shared" si="53"/>
        <v>0</v>
      </c>
      <c r="AJ888" s="21">
        <f t="shared" si="54"/>
        <v>0</v>
      </c>
      <c r="AK888" s="21">
        <f t="shared" si="55"/>
        <v>0</v>
      </c>
    </row>
    <row r="889" spans="34:37">
      <c r="AH889" s="20">
        <f t="shared" si="52"/>
        <v>0</v>
      </c>
      <c r="AI889" s="20">
        <f t="shared" si="53"/>
        <v>0</v>
      </c>
      <c r="AJ889" s="21">
        <f t="shared" si="54"/>
        <v>0</v>
      </c>
      <c r="AK889" s="21">
        <f t="shared" si="55"/>
        <v>0</v>
      </c>
    </row>
    <row r="890" spans="34:37">
      <c r="AH890" s="20">
        <f t="shared" si="52"/>
        <v>0</v>
      </c>
      <c r="AI890" s="20">
        <f t="shared" si="53"/>
        <v>0</v>
      </c>
      <c r="AJ890" s="21">
        <f t="shared" si="54"/>
        <v>0</v>
      </c>
      <c r="AK890" s="21">
        <f t="shared" si="55"/>
        <v>0</v>
      </c>
    </row>
    <row r="891" spans="34:37">
      <c r="AH891" s="20">
        <f t="shared" si="52"/>
        <v>0</v>
      </c>
      <c r="AI891" s="20">
        <f t="shared" si="53"/>
        <v>0</v>
      </c>
      <c r="AJ891" s="21">
        <f t="shared" si="54"/>
        <v>0</v>
      </c>
      <c r="AK891" s="21">
        <f t="shared" si="55"/>
        <v>0</v>
      </c>
    </row>
    <row r="892" spans="34:37">
      <c r="AH892" s="20">
        <f t="shared" si="52"/>
        <v>0</v>
      </c>
      <c r="AI892" s="20">
        <f t="shared" si="53"/>
        <v>0</v>
      </c>
      <c r="AJ892" s="21">
        <f t="shared" si="54"/>
        <v>0</v>
      </c>
      <c r="AK892" s="21">
        <f t="shared" si="55"/>
        <v>0</v>
      </c>
    </row>
    <row r="893" spans="34:37">
      <c r="AH893" s="20">
        <f t="shared" si="52"/>
        <v>0</v>
      </c>
      <c r="AI893" s="20">
        <f t="shared" si="53"/>
        <v>0</v>
      </c>
      <c r="AJ893" s="21">
        <f t="shared" si="54"/>
        <v>0</v>
      </c>
      <c r="AK893" s="21">
        <f t="shared" si="55"/>
        <v>0</v>
      </c>
    </row>
    <row r="894" spans="34:37">
      <c r="AH894" s="20">
        <f t="shared" si="52"/>
        <v>0</v>
      </c>
      <c r="AI894" s="20">
        <f t="shared" si="53"/>
        <v>0</v>
      </c>
      <c r="AJ894" s="21">
        <f t="shared" si="54"/>
        <v>0</v>
      </c>
      <c r="AK894" s="21">
        <f t="shared" si="55"/>
        <v>0</v>
      </c>
    </row>
    <row r="895" spans="34:37">
      <c r="AH895" s="20">
        <f t="shared" si="52"/>
        <v>0</v>
      </c>
      <c r="AI895" s="20">
        <f t="shared" si="53"/>
        <v>0</v>
      </c>
      <c r="AJ895" s="21">
        <f t="shared" si="54"/>
        <v>0</v>
      </c>
      <c r="AK895" s="21">
        <f t="shared" si="55"/>
        <v>0</v>
      </c>
    </row>
    <row r="896" spans="34:37">
      <c r="AH896" s="20">
        <f t="shared" si="52"/>
        <v>0</v>
      </c>
      <c r="AI896" s="20">
        <f t="shared" si="53"/>
        <v>0</v>
      </c>
      <c r="AJ896" s="21">
        <f t="shared" si="54"/>
        <v>0</v>
      </c>
      <c r="AK896" s="21">
        <f t="shared" si="55"/>
        <v>0</v>
      </c>
    </row>
    <row r="897" spans="34:37">
      <c r="AH897" s="20">
        <f t="shared" si="52"/>
        <v>0</v>
      </c>
      <c r="AI897" s="20">
        <f t="shared" si="53"/>
        <v>0</v>
      </c>
      <c r="AJ897" s="21">
        <f t="shared" si="54"/>
        <v>0</v>
      </c>
      <c r="AK897" s="21">
        <f t="shared" si="55"/>
        <v>0</v>
      </c>
    </row>
    <row r="898" spans="34:37">
      <c r="AH898" s="20">
        <f t="shared" si="52"/>
        <v>0</v>
      </c>
      <c r="AI898" s="20">
        <f t="shared" si="53"/>
        <v>0</v>
      </c>
      <c r="AJ898" s="21">
        <f t="shared" si="54"/>
        <v>0</v>
      </c>
      <c r="AK898" s="21">
        <f t="shared" si="55"/>
        <v>0</v>
      </c>
    </row>
    <row r="899" spans="34:37">
      <c r="AH899" s="20">
        <f t="shared" ref="AH899:AH962" si="56">IF($B899="oui",IF($R899="R",IF($Q899&gt;30,1,0),0),0)</f>
        <v>0</v>
      </c>
      <c r="AI899" s="20">
        <f t="shared" ref="AI899:AI962" si="57">IF($B899="oui",IF($R899="AR",IF($Q899&gt;30,1,0),0),0)</f>
        <v>0</v>
      </c>
      <c r="AJ899" s="21">
        <f t="shared" ref="AJ899:AJ962" si="58">IF($B899="oui",IF($R899="EC",1,0),0)</f>
        <v>0</v>
      </c>
      <c r="AK899" s="21">
        <f t="shared" ref="AK899:AK962" si="59">IF(M899&lt;&gt;"",IF(ISBLANK(P899),1,0),0)</f>
        <v>0</v>
      </c>
    </row>
    <row r="900" spans="34:37">
      <c r="AH900" s="20">
        <f t="shared" si="56"/>
        <v>0</v>
      </c>
      <c r="AI900" s="20">
        <f t="shared" si="57"/>
        <v>0</v>
      </c>
      <c r="AJ900" s="21">
        <f t="shared" si="58"/>
        <v>0</v>
      </c>
      <c r="AK900" s="21">
        <f t="shared" si="59"/>
        <v>0</v>
      </c>
    </row>
    <row r="901" spans="34:37">
      <c r="AH901" s="20">
        <f t="shared" si="56"/>
        <v>0</v>
      </c>
      <c r="AI901" s="20">
        <f t="shared" si="57"/>
        <v>0</v>
      </c>
      <c r="AJ901" s="21">
        <f t="shared" si="58"/>
        <v>0</v>
      </c>
      <c r="AK901" s="21">
        <f t="shared" si="59"/>
        <v>0</v>
      </c>
    </row>
    <row r="902" spans="34:37">
      <c r="AH902" s="20">
        <f t="shared" si="56"/>
        <v>0</v>
      </c>
      <c r="AI902" s="20">
        <f t="shared" si="57"/>
        <v>0</v>
      </c>
      <c r="AJ902" s="21">
        <f t="shared" si="58"/>
        <v>0</v>
      </c>
      <c r="AK902" s="21">
        <f t="shared" si="59"/>
        <v>0</v>
      </c>
    </row>
    <row r="903" spans="34:37">
      <c r="AH903" s="20">
        <f t="shared" si="56"/>
        <v>0</v>
      </c>
      <c r="AI903" s="20">
        <f t="shared" si="57"/>
        <v>0</v>
      </c>
      <c r="AJ903" s="21">
        <f t="shared" si="58"/>
        <v>0</v>
      </c>
      <c r="AK903" s="21">
        <f t="shared" si="59"/>
        <v>0</v>
      </c>
    </row>
    <row r="904" spans="34:37">
      <c r="AH904" s="20">
        <f t="shared" si="56"/>
        <v>0</v>
      </c>
      <c r="AI904" s="20">
        <f t="shared" si="57"/>
        <v>0</v>
      </c>
      <c r="AJ904" s="21">
        <f t="shared" si="58"/>
        <v>0</v>
      </c>
      <c r="AK904" s="21">
        <f t="shared" si="59"/>
        <v>0</v>
      </c>
    </row>
    <row r="905" spans="34:37">
      <c r="AH905" s="20">
        <f t="shared" si="56"/>
        <v>0</v>
      </c>
      <c r="AI905" s="20">
        <f t="shared" si="57"/>
        <v>0</v>
      </c>
      <c r="AJ905" s="21">
        <f t="shared" si="58"/>
        <v>0</v>
      </c>
      <c r="AK905" s="21">
        <f t="shared" si="59"/>
        <v>0</v>
      </c>
    </row>
    <row r="906" spans="34:37">
      <c r="AH906" s="20">
        <f t="shared" si="56"/>
        <v>0</v>
      </c>
      <c r="AI906" s="20">
        <f t="shared" si="57"/>
        <v>0</v>
      </c>
      <c r="AJ906" s="21">
        <f t="shared" si="58"/>
        <v>0</v>
      </c>
      <c r="AK906" s="21">
        <f t="shared" si="59"/>
        <v>0</v>
      </c>
    </row>
    <row r="907" spans="34:37">
      <c r="AH907" s="20">
        <f t="shared" si="56"/>
        <v>0</v>
      </c>
      <c r="AI907" s="20">
        <f t="shared" si="57"/>
        <v>0</v>
      </c>
      <c r="AJ907" s="21">
        <f t="shared" si="58"/>
        <v>0</v>
      </c>
      <c r="AK907" s="21">
        <f t="shared" si="59"/>
        <v>0</v>
      </c>
    </row>
    <row r="908" spans="34:37">
      <c r="AH908" s="20">
        <f t="shared" si="56"/>
        <v>0</v>
      </c>
      <c r="AI908" s="20">
        <f t="shared" si="57"/>
        <v>0</v>
      </c>
      <c r="AJ908" s="21">
        <f t="shared" si="58"/>
        <v>0</v>
      </c>
      <c r="AK908" s="21">
        <f t="shared" si="59"/>
        <v>0</v>
      </c>
    </row>
    <row r="909" spans="34:37">
      <c r="AH909" s="20">
        <f t="shared" si="56"/>
        <v>0</v>
      </c>
      <c r="AI909" s="20">
        <f t="shared" si="57"/>
        <v>0</v>
      </c>
      <c r="AJ909" s="21">
        <f t="shared" si="58"/>
        <v>0</v>
      </c>
      <c r="AK909" s="21">
        <f t="shared" si="59"/>
        <v>0</v>
      </c>
    </row>
    <row r="910" spans="34:37">
      <c r="AH910" s="20">
        <f t="shared" si="56"/>
        <v>0</v>
      </c>
      <c r="AI910" s="20">
        <f t="shared" si="57"/>
        <v>0</v>
      </c>
      <c r="AJ910" s="21">
        <f t="shared" si="58"/>
        <v>0</v>
      </c>
      <c r="AK910" s="21">
        <f t="shared" si="59"/>
        <v>0</v>
      </c>
    </row>
    <row r="911" spans="34:37">
      <c r="AH911" s="20">
        <f t="shared" si="56"/>
        <v>0</v>
      </c>
      <c r="AI911" s="20">
        <f t="shared" si="57"/>
        <v>0</v>
      </c>
      <c r="AJ911" s="21">
        <f t="shared" si="58"/>
        <v>0</v>
      </c>
      <c r="AK911" s="21">
        <f t="shared" si="59"/>
        <v>0</v>
      </c>
    </row>
    <row r="912" spans="34:37">
      <c r="AH912" s="20">
        <f t="shared" si="56"/>
        <v>0</v>
      </c>
      <c r="AI912" s="20">
        <f t="shared" si="57"/>
        <v>0</v>
      </c>
      <c r="AJ912" s="21">
        <f t="shared" si="58"/>
        <v>0</v>
      </c>
      <c r="AK912" s="21">
        <f t="shared" si="59"/>
        <v>0</v>
      </c>
    </row>
    <row r="913" spans="34:37">
      <c r="AH913" s="20">
        <f t="shared" si="56"/>
        <v>0</v>
      </c>
      <c r="AI913" s="20">
        <f t="shared" si="57"/>
        <v>0</v>
      </c>
      <c r="AJ913" s="21">
        <f t="shared" si="58"/>
        <v>0</v>
      </c>
      <c r="AK913" s="21">
        <f t="shared" si="59"/>
        <v>0</v>
      </c>
    </row>
    <row r="914" spans="34:37">
      <c r="AH914" s="20">
        <f t="shared" si="56"/>
        <v>0</v>
      </c>
      <c r="AI914" s="20">
        <f t="shared" si="57"/>
        <v>0</v>
      </c>
      <c r="AJ914" s="21">
        <f t="shared" si="58"/>
        <v>0</v>
      </c>
      <c r="AK914" s="21">
        <f t="shared" si="59"/>
        <v>0</v>
      </c>
    </row>
    <row r="915" spans="34:37">
      <c r="AH915" s="20">
        <f t="shared" si="56"/>
        <v>0</v>
      </c>
      <c r="AI915" s="20">
        <f t="shared" si="57"/>
        <v>0</v>
      </c>
      <c r="AJ915" s="21">
        <f t="shared" si="58"/>
        <v>0</v>
      </c>
      <c r="AK915" s="21">
        <f t="shared" si="59"/>
        <v>0</v>
      </c>
    </row>
    <row r="916" spans="34:37">
      <c r="AH916" s="20">
        <f t="shared" si="56"/>
        <v>0</v>
      </c>
      <c r="AI916" s="20">
        <f t="shared" si="57"/>
        <v>0</v>
      </c>
      <c r="AJ916" s="21">
        <f t="shared" si="58"/>
        <v>0</v>
      </c>
      <c r="AK916" s="21">
        <f t="shared" si="59"/>
        <v>0</v>
      </c>
    </row>
    <row r="917" spans="34:37">
      <c r="AH917" s="20">
        <f t="shared" si="56"/>
        <v>0</v>
      </c>
      <c r="AI917" s="20">
        <f t="shared" si="57"/>
        <v>0</v>
      </c>
      <c r="AJ917" s="21">
        <f t="shared" si="58"/>
        <v>0</v>
      </c>
      <c r="AK917" s="21">
        <f t="shared" si="59"/>
        <v>0</v>
      </c>
    </row>
    <row r="918" spans="34:37">
      <c r="AH918" s="20">
        <f t="shared" si="56"/>
        <v>0</v>
      </c>
      <c r="AI918" s="20">
        <f t="shared" si="57"/>
        <v>0</v>
      </c>
      <c r="AJ918" s="21">
        <f t="shared" si="58"/>
        <v>0</v>
      </c>
      <c r="AK918" s="21">
        <f t="shared" si="59"/>
        <v>0</v>
      </c>
    </row>
    <row r="919" spans="34:37">
      <c r="AH919" s="20">
        <f t="shared" si="56"/>
        <v>0</v>
      </c>
      <c r="AI919" s="20">
        <f t="shared" si="57"/>
        <v>0</v>
      </c>
      <c r="AJ919" s="21">
        <f t="shared" si="58"/>
        <v>0</v>
      </c>
      <c r="AK919" s="21">
        <f t="shared" si="59"/>
        <v>0</v>
      </c>
    </row>
    <row r="920" spans="34:37">
      <c r="AH920" s="20">
        <f t="shared" si="56"/>
        <v>0</v>
      </c>
      <c r="AI920" s="20">
        <f t="shared" si="57"/>
        <v>0</v>
      </c>
      <c r="AJ920" s="21">
        <f t="shared" si="58"/>
        <v>0</v>
      </c>
      <c r="AK920" s="21">
        <f t="shared" si="59"/>
        <v>0</v>
      </c>
    </row>
    <row r="921" spans="34:37">
      <c r="AH921" s="20">
        <f t="shared" si="56"/>
        <v>0</v>
      </c>
      <c r="AI921" s="20">
        <f t="shared" si="57"/>
        <v>0</v>
      </c>
      <c r="AJ921" s="21">
        <f t="shared" si="58"/>
        <v>0</v>
      </c>
      <c r="AK921" s="21">
        <f t="shared" si="59"/>
        <v>0</v>
      </c>
    </row>
    <row r="922" spans="34:37">
      <c r="AH922" s="20">
        <f t="shared" si="56"/>
        <v>0</v>
      </c>
      <c r="AI922" s="20">
        <f t="shared" si="57"/>
        <v>0</v>
      </c>
      <c r="AJ922" s="21">
        <f t="shared" si="58"/>
        <v>0</v>
      </c>
      <c r="AK922" s="21">
        <f t="shared" si="59"/>
        <v>0</v>
      </c>
    </row>
    <row r="923" spans="34:37">
      <c r="AH923" s="20">
        <f t="shared" si="56"/>
        <v>0</v>
      </c>
      <c r="AI923" s="20">
        <f t="shared" si="57"/>
        <v>0</v>
      </c>
      <c r="AJ923" s="21">
        <f t="shared" si="58"/>
        <v>0</v>
      </c>
      <c r="AK923" s="21">
        <f t="shared" si="59"/>
        <v>0</v>
      </c>
    </row>
    <row r="924" spans="34:37">
      <c r="AH924" s="20">
        <f t="shared" si="56"/>
        <v>0</v>
      </c>
      <c r="AI924" s="20">
        <f t="shared" si="57"/>
        <v>0</v>
      </c>
      <c r="AJ924" s="21">
        <f t="shared" si="58"/>
        <v>0</v>
      </c>
      <c r="AK924" s="21">
        <f t="shared" si="59"/>
        <v>0</v>
      </c>
    </row>
    <row r="925" spans="34:37">
      <c r="AH925" s="20">
        <f t="shared" si="56"/>
        <v>0</v>
      </c>
      <c r="AI925" s="20">
        <f t="shared" si="57"/>
        <v>0</v>
      </c>
      <c r="AJ925" s="21">
        <f t="shared" si="58"/>
        <v>0</v>
      </c>
      <c r="AK925" s="21">
        <f t="shared" si="59"/>
        <v>0</v>
      </c>
    </row>
    <row r="926" spans="34:37">
      <c r="AH926" s="20">
        <f t="shared" si="56"/>
        <v>0</v>
      </c>
      <c r="AI926" s="20">
        <f t="shared" si="57"/>
        <v>0</v>
      </c>
      <c r="AJ926" s="21">
        <f t="shared" si="58"/>
        <v>0</v>
      </c>
      <c r="AK926" s="21">
        <f t="shared" si="59"/>
        <v>0</v>
      </c>
    </row>
    <row r="927" spans="34:37">
      <c r="AH927" s="20">
        <f t="shared" si="56"/>
        <v>0</v>
      </c>
      <c r="AI927" s="20">
        <f t="shared" si="57"/>
        <v>0</v>
      </c>
      <c r="AJ927" s="21">
        <f t="shared" si="58"/>
        <v>0</v>
      </c>
      <c r="AK927" s="21">
        <f t="shared" si="59"/>
        <v>0</v>
      </c>
    </row>
    <row r="928" spans="34:37">
      <c r="AH928" s="20">
        <f t="shared" si="56"/>
        <v>0</v>
      </c>
      <c r="AI928" s="20">
        <f t="shared" si="57"/>
        <v>0</v>
      </c>
      <c r="AJ928" s="21">
        <f t="shared" si="58"/>
        <v>0</v>
      </c>
      <c r="AK928" s="21">
        <f t="shared" si="59"/>
        <v>0</v>
      </c>
    </row>
    <row r="929" spans="34:37">
      <c r="AH929" s="20">
        <f t="shared" si="56"/>
        <v>0</v>
      </c>
      <c r="AI929" s="20">
        <f t="shared" si="57"/>
        <v>0</v>
      </c>
      <c r="AJ929" s="21">
        <f t="shared" si="58"/>
        <v>0</v>
      </c>
      <c r="AK929" s="21">
        <f t="shared" si="59"/>
        <v>0</v>
      </c>
    </row>
    <row r="930" spans="34:37">
      <c r="AH930" s="20">
        <f t="shared" si="56"/>
        <v>0</v>
      </c>
      <c r="AI930" s="20">
        <f t="shared" si="57"/>
        <v>0</v>
      </c>
      <c r="AJ930" s="21">
        <f t="shared" si="58"/>
        <v>0</v>
      </c>
      <c r="AK930" s="21">
        <f t="shared" si="59"/>
        <v>0</v>
      </c>
    </row>
    <row r="931" spans="34:37">
      <c r="AH931" s="20">
        <f t="shared" si="56"/>
        <v>0</v>
      </c>
      <c r="AI931" s="20">
        <f t="shared" si="57"/>
        <v>0</v>
      </c>
      <c r="AJ931" s="21">
        <f t="shared" si="58"/>
        <v>0</v>
      </c>
      <c r="AK931" s="21">
        <f t="shared" si="59"/>
        <v>0</v>
      </c>
    </row>
    <row r="932" spans="34:37">
      <c r="AH932" s="20">
        <f t="shared" si="56"/>
        <v>0</v>
      </c>
      <c r="AI932" s="20">
        <f t="shared" si="57"/>
        <v>0</v>
      </c>
      <c r="AJ932" s="21">
        <f t="shared" si="58"/>
        <v>0</v>
      </c>
      <c r="AK932" s="21">
        <f t="shared" si="59"/>
        <v>0</v>
      </c>
    </row>
    <row r="933" spans="34:37">
      <c r="AH933" s="20">
        <f t="shared" si="56"/>
        <v>0</v>
      </c>
      <c r="AI933" s="20">
        <f t="shared" si="57"/>
        <v>0</v>
      </c>
      <c r="AJ933" s="21">
        <f t="shared" si="58"/>
        <v>0</v>
      </c>
      <c r="AK933" s="21">
        <f t="shared" si="59"/>
        <v>0</v>
      </c>
    </row>
    <row r="934" spans="34:37">
      <c r="AH934" s="20">
        <f t="shared" si="56"/>
        <v>0</v>
      </c>
      <c r="AI934" s="20">
        <f t="shared" si="57"/>
        <v>0</v>
      </c>
      <c r="AJ934" s="21">
        <f t="shared" si="58"/>
        <v>0</v>
      </c>
      <c r="AK934" s="21">
        <f t="shared" si="59"/>
        <v>0</v>
      </c>
    </row>
    <row r="935" spans="34:37">
      <c r="AH935" s="20">
        <f t="shared" si="56"/>
        <v>0</v>
      </c>
      <c r="AI935" s="20">
        <f t="shared" si="57"/>
        <v>0</v>
      </c>
      <c r="AJ935" s="21">
        <f t="shared" si="58"/>
        <v>0</v>
      </c>
      <c r="AK935" s="21">
        <f t="shared" si="59"/>
        <v>0</v>
      </c>
    </row>
    <row r="936" spans="34:37">
      <c r="AH936" s="20">
        <f t="shared" si="56"/>
        <v>0</v>
      </c>
      <c r="AI936" s="20">
        <f t="shared" si="57"/>
        <v>0</v>
      </c>
      <c r="AJ936" s="21">
        <f t="shared" si="58"/>
        <v>0</v>
      </c>
      <c r="AK936" s="21">
        <f t="shared" si="59"/>
        <v>0</v>
      </c>
    </row>
    <row r="937" spans="34:37">
      <c r="AH937" s="20">
        <f t="shared" si="56"/>
        <v>0</v>
      </c>
      <c r="AI937" s="20">
        <f t="shared" si="57"/>
        <v>0</v>
      </c>
      <c r="AJ937" s="21">
        <f t="shared" si="58"/>
        <v>0</v>
      </c>
      <c r="AK937" s="21">
        <f t="shared" si="59"/>
        <v>0</v>
      </c>
    </row>
    <row r="938" spans="34:37">
      <c r="AH938" s="20">
        <f t="shared" si="56"/>
        <v>0</v>
      </c>
      <c r="AI938" s="20">
        <f t="shared" si="57"/>
        <v>0</v>
      </c>
      <c r="AJ938" s="21">
        <f t="shared" si="58"/>
        <v>0</v>
      </c>
      <c r="AK938" s="21">
        <f t="shared" si="59"/>
        <v>0</v>
      </c>
    </row>
    <row r="939" spans="34:37">
      <c r="AH939" s="20">
        <f t="shared" si="56"/>
        <v>0</v>
      </c>
      <c r="AI939" s="20">
        <f t="shared" si="57"/>
        <v>0</v>
      </c>
      <c r="AJ939" s="21">
        <f t="shared" si="58"/>
        <v>0</v>
      </c>
      <c r="AK939" s="21">
        <f t="shared" si="59"/>
        <v>0</v>
      </c>
    </row>
    <row r="940" spans="34:37">
      <c r="AH940" s="20">
        <f t="shared" si="56"/>
        <v>0</v>
      </c>
      <c r="AI940" s="20">
        <f t="shared" si="57"/>
        <v>0</v>
      </c>
      <c r="AJ940" s="21">
        <f t="shared" si="58"/>
        <v>0</v>
      </c>
      <c r="AK940" s="21">
        <f t="shared" si="59"/>
        <v>0</v>
      </c>
    </row>
    <row r="941" spans="34:37">
      <c r="AH941" s="20">
        <f t="shared" si="56"/>
        <v>0</v>
      </c>
      <c r="AI941" s="20">
        <f t="shared" si="57"/>
        <v>0</v>
      </c>
      <c r="AJ941" s="21">
        <f t="shared" si="58"/>
        <v>0</v>
      </c>
      <c r="AK941" s="21">
        <f t="shared" si="59"/>
        <v>0</v>
      </c>
    </row>
    <row r="942" spans="34:37">
      <c r="AH942" s="20">
        <f t="shared" si="56"/>
        <v>0</v>
      </c>
      <c r="AI942" s="20">
        <f t="shared" si="57"/>
        <v>0</v>
      </c>
      <c r="AJ942" s="21">
        <f t="shared" si="58"/>
        <v>0</v>
      </c>
      <c r="AK942" s="21">
        <f t="shared" si="59"/>
        <v>0</v>
      </c>
    </row>
    <row r="943" spans="34:37">
      <c r="AH943" s="20">
        <f t="shared" si="56"/>
        <v>0</v>
      </c>
      <c r="AI943" s="20">
        <f t="shared" si="57"/>
        <v>0</v>
      </c>
      <c r="AJ943" s="21">
        <f t="shared" si="58"/>
        <v>0</v>
      </c>
      <c r="AK943" s="21">
        <f t="shared" si="59"/>
        <v>0</v>
      </c>
    </row>
    <row r="944" spans="34:37">
      <c r="AH944" s="20">
        <f t="shared" si="56"/>
        <v>0</v>
      </c>
      <c r="AI944" s="20">
        <f t="shared" si="57"/>
        <v>0</v>
      </c>
      <c r="AJ944" s="21">
        <f t="shared" si="58"/>
        <v>0</v>
      </c>
      <c r="AK944" s="21">
        <f t="shared" si="59"/>
        <v>0</v>
      </c>
    </row>
    <row r="945" spans="34:37">
      <c r="AH945" s="20">
        <f t="shared" si="56"/>
        <v>0</v>
      </c>
      <c r="AI945" s="20">
        <f t="shared" si="57"/>
        <v>0</v>
      </c>
      <c r="AJ945" s="21">
        <f t="shared" si="58"/>
        <v>0</v>
      </c>
      <c r="AK945" s="21">
        <f t="shared" si="59"/>
        <v>0</v>
      </c>
    </row>
    <row r="946" spans="34:37">
      <c r="AH946" s="20">
        <f t="shared" si="56"/>
        <v>0</v>
      </c>
      <c r="AI946" s="20">
        <f t="shared" si="57"/>
        <v>0</v>
      </c>
      <c r="AJ946" s="21">
        <f t="shared" si="58"/>
        <v>0</v>
      </c>
      <c r="AK946" s="21">
        <f t="shared" si="59"/>
        <v>0</v>
      </c>
    </row>
    <row r="947" spans="34:37">
      <c r="AH947" s="20">
        <f t="shared" si="56"/>
        <v>0</v>
      </c>
      <c r="AI947" s="20">
        <f t="shared" si="57"/>
        <v>0</v>
      </c>
      <c r="AJ947" s="21">
        <f t="shared" si="58"/>
        <v>0</v>
      </c>
      <c r="AK947" s="21">
        <f t="shared" si="59"/>
        <v>0</v>
      </c>
    </row>
    <row r="948" spans="34:37">
      <c r="AH948" s="20">
        <f t="shared" si="56"/>
        <v>0</v>
      </c>
      <c r="AI948" s="20">
        <f t="shared" si="57"/>
        <v>0</v>
      </c>
      <c r="AJ948" s="21">
        <f t="shared" si="58"/>
        <v>0</v>
      </c>
      <c r="AK948" s="21">
        <f t="shared" si="59"/>
        <v>0</v>
      </c>
    </row>
    <row r="949" spans="34:37">
      <c r="AH949" s="20">
        <f t="shared" si="56"/>
        <v>0</v>
      </c>
      <c r="AI949" s="20">
        <f t="shared" si="57"/>
        <v>0</v>
      </c>
      <c r="AJ949" s="21">
        <f t="shared" si="58"/>
        <v>0</v>
      </c>
      <c r="AK949" s="21">
        <f t="shared" si="59"/>
        <v>0</v>
      </c>
    </row>
    <row r="950" spans="34:37">
      <c r="AH950" s="20">
        <f t="shared" si="56"/>
        <v>0</v>
      </c>
      <c r="AI950" s="20">
        <f t="shared" si="57"/>
        <v>0</v>
      </c>
      <c r="AJ950" s="21">
        <f t="shared" si="58"/>
        <v>0</v>
      </c>
      <c r="AK950" s="21">
        <f t="shared" si="59"/>
        <v>0</v>
      </c>
    </row>
    <row r="951" spans="34:37">
      <c r="AH951" s="20">
        <f t="shared" si="56"/>
        <v>0</v>
      </c>
      <c r="AI951" s="20">
        <f t="shared" si="57"/>
        <v>0</v>
      </c>
      <c r="AJ951" s="21">
        <f t="shared" si="58"/>
        <v>0</v>
      </c>
      <c r="AK951" s="21">
        <f t="shared" si="59"/>
        <v>0</v>
      </c>
    </row>
    <row r="952" spans="34:37">
      <c r="AH952" s="20">
        <f t="shared" si="56"/>
        <v>0</v>
      </c>
      <c r="AI952" s="20">
        <f t="shared" si="57"/>
        <v>0</v>
      </c>
      <c r="AJ952" s="21">
        <f t="shared" si="58"/>
        <v>0</v>
      </c>
      <c r="AK952" s="21">
        <f t="shared" si="59"/>
        <v>0</v>
      </c>
    </row>
    <row r="953" spans="34:37">
      <c r="AH953" s="20">
        <f t="shared" si="56"/>
        <v>0</v>
      </c>
      <c r="AI953" s="20">
        <f t="shared" si="57"/>
        <v>0</v>
      </c>
      <c r="AJ953" s="21">
        <f t="shared" si="58"/>
        <v>0</v>
      </c>
      <c r="AK953" s="21">
        <f t="shared" si="59"/>
        <v>0</v>
      </c>
    </row>
    <row r="954" spans="34:37">
      <c r="AH954" s="20">
        <f t="shared" si="56"/>
        <v>0</v>
      </c>
      <c r="AI954" s="20">
        <f t="shared" si="57"/>
        <v>0</v>
      </c>
      <c r="AJ954" s="21">
        <f t="shared" si="58"/>
        <v>0</v>
      </c>
      <c r="AK954" s="21">
        <f t="shared" si="59"/>
        <v>0</v>
      </c>
    </row>
    <row r="955" spans="34:37">
      <c r="AH955" s="20">
        <f t="shared" si="56"/>
        <v>0</v>
      </c>
      <c r="AI955" s="20">
        <f t="shared" si="57"/>
        <v>0</v>
      </c>
      <c r="AJ955" s="21">
        <f t="shared" si="58"/>
        <v>0</v>
      </c>
      <c r="AK955" s="21">
        <f t="shared" si="59"/>
        <v>0</v>
      </c>
    </row>
    <row r="956" spans="34:37">
      <c r="AH956" s="20">
        <f t="shared" si="56"/>
        <v>0</v>
      </c>
      <c r="AI956" s="20">
        <f t="shared" si="57"/>
        <v>0</v>
      </c>
      <c r="AJ956" s="21">
        <f t="shared" si="58"/>
        <v>0</v>
      </c>
      <c r="AK956" s="21">
        <f t="shared" si="59"/>
        <v>0</v>
      </c>
    </row>
    <row r="957" spans="34:37">
      <c r="AH957" s="20">
        <f t="shared" si="56"/>
        <v>0</v>
      </c>
      <c r="AI957" s="20">
        <f t="shared" si="57"/>
        <v>0</v>
      </c>
      <c r="AJ957" s="21">
        <f t="shared" si="58"/>
        <v>0</v>
      </c>
      <c r="AK957" s="21">
        <f t="shared" si="59"/>
        <v>0</v>
      </c>
    </row>
    <row r="958" spans="34:37">
      <c r="AH958" s="20">
        <f t="shared" si="56"/>
        <v>0</v>
      </c>
      <c r="AI958" s="20">
        <f t="shared" si="57"/>
        <v>0</v>
      </c>
      <c r="AJ958" s="21">
        <f t="shared" si="58"/>
        <v>0</v>
      </c>
      <c r="AK958" s="21">
        <f t="shared" si="59"/>
        <v>0</v>
      </c>
    </row>
    <row r="959" spans="34:37">
      <c r="AH959" s="20">
        <f t="shared" si="56"/>
        <v>0</v>
      </c>
      <c r="AI959" s="20">
        <f t="shared" si="57"/>
        <v>0</v>
      </c>
      <c r="AJ959" s="21">
        <f t="shared" si="58"/>
        <v>0</v>
      </c>
      <c r="AK959" s="21">
        <f t="shared" si="59"/>
        <v>0</v>
      </c>
    </row>
    <row r="960" spans="34:37">
      <c r="AH960" s="20">
        <f t="shared" si="56"/>
        <v>0</v>
      </c>
      <c r="AI960" s="20">
        <f t="shared" si="57"/>
        <v>0</v>
      </c>
      <c r="AJ960" s="21">
        <f t="shared" si="58"/>
        <v>0</v>
      </c>
      <c r="AK960" s="21">
        <f t="shared" si="59"/>
        <v>0</v>
      </c>
    </row>
    <row r="961" spans="34:37">
      <c r="AH961" s="20">
        <f t="shared" si="56"/>
        <v>0</v>
      </c>
      <c r="AI961" s="20">
        <f t="shared" si="57"/>
        <v>0</v>
      </c>
      <c r="AJ961" s="21">
        <f t="shared" si="58"/>
        <v>0</v>
      </c>
      <c r="AK961" s="21">
        <f t="shared" si="59"/>
        <v>0</v>
      </c>
    </row>
    <row r="962" spans="34:37">
      <c r="AH962" s="20">
        <f t="shared" si="56"/>
        <v>0</v>
      </c>
      <c r="AI962" s="20">
        <f t="shared" si="57"/>
        <v>0</v>
      </c>
      <c r="AJ962" s="21">
        <f t="shared" si="58"/>
        <v>0</v>
      </c>
      <c r="AK962" s="21">
        <f t="shared" si="59"/>
        <v>0</v>
      </c>
    </row>
    <row r="963" spans="34:37">
      <c r="AH963" s="20">
        <f t="shared" ref="AH963:AH1017" si="60">IF($B963="oui",IF($R963="R",IF($Q963&gt;30,1,0),0),0)</f>
        <v>0</v>
      </c>
      <c r="AI963" s="20">
        <f t="shared" ref="AI963:AI1017" si="61">IF($B963="oui",IF($R963="AR",IF($Q963&gt;30,1,0),0),0)</f>
        <v>0</v>
      </c>
      <c r="AJ963" s="21">
        <f t="shared" ref="AJ963:AJ1017" si="62">IF($B963="oui",IF($R963="EC",1,0),0)</f>
        <v>0</v>
      </c>
      <c r="AK963" s="21">
        <f t="shared" ref="AK963:AK1017" si="63">IF(M963&lt;&gt;"",IF(ISBLANK(P963),1,0),0)</f>
        <v>0</v>
      </c>
    </row>
    <row r="964" spans="34:37">
      <c r="AH964" s="20">
        <f t="shared" si="60"/>
        <v>0</v>
      </c>
      <c r="AI964" s="20">
        <f t="shared" si="61"/>
        <v>0</v>
      </c>
      <c r="AJ964" s="21">
        <f t="shared" si="62"/>
        <v>0</v>
      </c>
      <c r="AK964" s="21">
        <f t="shared" si="63"/>
        <v>0</v>
      </c>
    </row>
    <row r="965" spans="34:37">
      <c r="AH965" s="20">
        <f t="shared" si="60"/>
        <v>0</v>
      </c>
      <c r="AI965" s="20">
        <f t="shared" si="61"/>
        <v>0</v>
      </c>
      <c r="AJ965" s="21">
        <f t="shared" si="62"/>
        <v>0</v>
      </c>
      <c r="AK965" s="21">
        <f t="shared" si="63"/>
        <v>0</v>
      </c>
    </row>
    <row r="966" spans="34:37">
      <c r="AH966" s="20">
        <f t="shared" si="60"/>
        <v>0</v>
      </c>
      <c r="AI966" s="20">
        <f t="shared" si="61"/>
        <v>0</v>
      </c>
      <c r="AJ966" s="21">
        <f t="shared" si="62"/>
        <v>0</v>
      </c>
      <c r="AK966" s="21">
        <f t="shared" si="63"/>
        <v>0</v>
      </c>
    </row>
    <row r="967" spans="34:37">
      <c r="AH967" s="20">
        <f t="shared" si="60"/>
        <v>0</v>
      </c>
      <c r="AI967" s="20">
        <f t="shared" si="61"/>
        <v>0</v>
      </c>
      <c r="AJ967" s="21">
        <f t="shared" si="62"/>
        <v>0</v>
      </c>
      <c r="AK967" s="21">
        <f t="shared" si="63"/>
        <v>0</v>
      </c>
    </row>
    <row r="968" spans="34:37">
      <c r="AH968" s="20">
        <f t="shared" si="60"/>
        <v>0</v>
      </c>
      <c r="AI968" s="20">
        <f t="shared" si="61"/>
        <v>0</v>
      </c>
      <c r="AJ968" s="21">
        <f t="shared" si="62"/>
        <v>0</v>
      </c>
      <c r="AK968" s="21">
        <f t="shared" si="63"/>
        <v>0</v>
      </c>
    </row>
    <row r="969" spans="34:37">
      <c r="AH969" s="20">
        <f t="shared" si="60"/>
        <v>0</v>
      </c>
      <c r="AI969" s="20">
        <f t="shared" si="61"/>
        <v>0</v>
      </c>
      <c r="AJ969" s="21">
        <f t="shared" si="62"/>
        <v>0</v>
      </c>
      <c r="AK969" s="21">
        <f t="shared" si="63"/>
        <v>0</v>
      </c>
    </row>
    <row r="970" spans="34:37">
      <c r="AH970" s="20">
        <f t="shared" si="60"/>
        <v>0</v>
      </c>
      <c r="AI970" s="20">
        <f t="shared" si="61"/>
        <v>0</v>
      </c>
      <c r="AJ970" s="21">
        <f t="shared" si="62"/>
        <v>0</v>
      </c>
      <c r="AK970" s="21">
        <f t="shared" si="63"/>
        <v>0</v>
      </c>
    </row>
    <row r="971" spans="34:37">
      <c r="AH971" s="20">
        <f t="shared" si="60"/>
        <v>0</v>
      </c>
      <c r="AI971" s="20">
        <f t="shared" si="61"/>
        <v>0</v>
      </c>
      <c r="AJ971" s="21">
        <f t="shared" si="62"/>
        <v>0</v>
      </c>
      <c r="AK971" s="21">
        <f t="shared" si="63"/>
        <v>0</v>
      </c>
    </row>
    <row r="972" spans="34:37">
      <c r="AH972" s="20">
        <f t="shared" si="60"/>
        <v>0</v>
      </c>
      <c r="AI972" s="20">
        <f t="shared" si="61"/>
        <v>0</v>
      </c>
      <c r="AJ972" s="21">
        <f t="shared" si="62"/>
        <v>0</v>
      </c>
      <c r="AK972" s="21">
        <f t="shared" si="63"/>
        <v>0</v>
      </c>
    </row>
    <row r="973" spans="34:37">
      <c r="AH973" s="20">
        <f t="shared" si="60"/>
        <v>0</v>
      </c>
      <c r="AI973" s="20">
        <f t="shared" si="61"/>
        <v>0</v>
      </c>
      <c r="AJ973" s="21">
        <f t="shared" si="62"/>
        <v>0</v>
      </c>
      <c r="AK973" s="21">
        <f t="shared" si="63"/>
        <v>0</v>
      </c>
    </row>
    <row r="974" spans="34:37">
      <c r="AH974" s="20">
        <f t="shared" si="60"/>
        <v>0</v>
      </c>
      <c r="AI974" s="20">
        <f t="shared" si="61"/>
        <v>0</v>
      </c>
      <c r="AJ974" s="21">
        <f t="shared" si="62"/>
        <v>0</v>
      </c>
      <c r="AK974" s="21">
        <f t="shared" si="63"/>
        <v>0</v>
      </c>
    </row>
    <row r="975" spans="34:37">
      <c r="AH975" s="20">
        <f t="shared" si="60"/>
        <v>0</v>
      </c>
      <c r="AI975" s="20">
        <f t="shared" si="61"/>
        <v>0</v>
      </c>
      <c r="AJ975" s="21">
        <f t="shared" si="62"/>
        <v>0</v>
      </c>
      <c r="AK975" s="21">
        <f t="shared" si="63"/>
        <v>0</v>
      </c>
    </row>
    <row r="976" spans="34:37">
      <c r="AH976" s="20">
        <f t="shared" si="60"/>
        <v>0</v>
      </c>
      <c r="AI976" s="20">
        <f t="shared" si="61"/>
        <v>0</v>
      </c>
      <c r="AJ976" s="21">
        <f t="shared" si="62"/>
        <v>0</v>
      </c>
      <c r="AK976" s="21">
        <f t="shared" si="63"/>
        <v>0</v>
      </c>
    </row>
    <row r="977" spans="34:37">
      <c r="AH977" s="20">
        <f t="shared" si="60"/>
        <v>0</v>
      </c>
      <c r="AI977" s="20">
        <f t="shared" si="61"/>
        <v>0</v>
      </c>
      <c r="AJ977" s="21">
        <f t="shared" si="62"/>
        <v>0</v>
      </c>
      <c r="AK977" s="21">
        <f t="shared" si="63"/>
        <v>0</v>
      </c>
    </row>
    <row r="978" spans="34:37">
      <c r="AH978" s="20">
        <f t="shared" si="60"/>
        <v>0</v>
      </c>
      <c r="AI978" s="20">
        <f t="shared" si="61"/>
        <v>0</v>
      </c>
      <c r="AJ978" s="21">
        <f t="shared" si="62"/>
        <v>0</v>
      </c>
      <c r="AK978" s="21">
        <f t="shared" si="63"/>
        <v>0</v>
      </c>
    </row>
    <row r="979" spans="34:37">
      <c r="AH979" s="20">
        <f t="shared" si="60"/>
        <v>0</v>
      </c>
      <c r="AI979" s="20">
        <f t="shared" si="61"/>
        <v>0</v>
      </c>
      <c r="AJ979" s="21">
        <f t="shared" si="62"/>
        <v>0</v>
      </c>
      <c r="AK979" s="21">
        <f t="shared" si="63"/>
        <v>0</v>
      </c>
    </row>
    <row r="980" spans="34:37">
      <c r="AH980" s="20">
        <f t="shared" si="60"/>
        <v>0</v>
      </c>
      <c r="AI980" s="20">
        <f t="shared" si="61"/>
        <v>0</v>
      </c>
      <c r="AJ980" s="21">
        <f t="shared" si="62"/>
        <v>0</v>
      </c>
      <c r="AK980" s="21">
        <f t="shared" si="63"/>
        <v>0</v>
      </c>
    </row>
    <row r="981" spans="34:37">
      <c r="AH981" s="20">
        <f t="shared" si="60"/>
        <v>0</v>
      </c>
      <c r="AI981" s="20">
        <f t="shared" si="61"/>
        <v>0</v>
      </c>
      <c r="AJ981" s="21">
        <f t="shared" si="62"/>
        <v>0</v>
      </c>
      <c r="AK981" s="21">
        <f t="shared" si="63"/>
        <v>0</v>
      </c>
    </row>
    <row r="982" spans="34:37">
      <c r="AH982" s="20">
        <f t="shared" si="60"/>
        <v>0</v>
      </c>
      <c r="AI982" s="20">
        <f t="shared" si="61"/>
        <v>0</v>
      </c>
      <c r="AJ982" s="21">
        <f t="shared" si="62"/>
        <v>0</v>
      </c>
      <c r="AK982" s="21">
        <f t="shared" si="63"/>
        <v>0</v>
      </c>
    </row>
    <row r="983" spans="34:37">
      <c r="AH983" s="20">
        <f t="shared" si="60"/>
        <v>0</v>
      </c>
      <c r="AI983" s="20">
        <f t="shared" si="61"/>
        <v>0</v>
      </c>
      <c r="AJ983" s="21">
        <f t="shared" si="62"/>
        <v>0</v>
      </c>
      <c r="AK983" s="21">
        <f t="shared" si="63"/>
        <v>0</v>
      </c>
    </row>
    <row r="984" spans="34:37">
      <c r="AH984" s="20">
        <f t="shared" si="60"/>
        <v>0</v>
      </c>
      <c r="AI984" s="20">
        <f t="shared" si="61"/>
        <v>0</v>
      </c>
      <c r="AJ984" s="21">
        <f t="shared" si="62"/>
        <v>0</v>
      </c>
      <c r="AK984" s="21">
        <f t="shared" si="63"/>
        <v>0</v>
      </c>
    </row>
    <row r="985" spans="34:37">
      <c r="AH985" s="20">
        <f t="shared" si="60"/>
        <v>0</v>
      </c>
      <c r="AI985" s="20">
        <f t="shared" si="61"/>
        <v>0</v>
      </c>
      <c r="AJ985" s="21">
        <f t="shared" si="62"/>
        <v>0</v>
      </c>
      <c r="AK985" s="21">
        <f t="shared" si="63"/>
        <v>0</v>
      </c>
    </row>
    <row r="986" spans="34:37">
      <c r="AH986" s="20">
        <f t="shared" si="60"/>
        <v>0</v>
      </c>
      <c r="AI986" s="20">
        <f t="shared" si="61"/>
        <v>0</v>
      </c>
      <c r="AJ986" s="21">
        <f t="shared" si="62"/>
        <v>0</v>
      </c>
      <c r="AK986" s="21">
        <f t="shared" si="63"/>
        <v>0</v>
      </c>
    </row>
    <row r="987" spans="34:37">
      <c r="AH987" s="20">
        <f t="shared" si="60"/>
        <v>0</v>
      </c>
      <c r="AI987" s="20">
        <f t="shared" si="61"/>
        <v>0</v>
      </c>
      <c r="AJ987" s="21">
        <f t="shared" si="62"/>
        <v>0</v>
      </c>
      <c r="AK987" s="21">
        <f t="shared" si="63"/>
        <v>0</v>
      </c>
    </row>
    <row r="988" spans="34:37">
      <c r="AH988" s="20">
        <f t="shared" si="60"/>
        <v>0</v>
      </c>
      <c r="AI988" s="20">
        <f t="shared" si="61"/>
        <v>0</v>
      </c>
      <c r="AJ988" s="21">
        <f t="shared" si="62"/>
        <v>0</v>
      </c>
      <c r="AK988" s="21">
        <f t="shared" si="63"/>
        <v>0</v>
      </c>
    </row>
    <row r="989" spans="34:37">
      <c r="AH989" s="20">
        <f t="shared" si="60"/>
        <v>0</v>
      </c>
      <c r="AI989" s="20">
        <f t="shared" si="61"/>
        <v>0</v>
      </c>
      <c r="AJ989" s="21">
        <f t="shared" si="62"/>
        <v>0</v>
      </c>
      <c r="AK989" s="21">
        <f t="shared" si="63"/>
        <v>0</v>
      </c>
    </row>
    <row r="990" spans="34:37">
      <c r="AH990" s="20">
        <f t="shared" si="60"/>
        <v>0</v>
      </c>
      <c r="AI990" s="20">
        <f t="shared" si="61"/>
        <v>0</v>
      </c>
      <c r="AJ990" s="21">
        <f t="shared" si="62"/>
        <v>0</v>
      </c>
      <c r="AK990" s="21">
        <f t="shared" si="63"/>
        <v>0</v>
      </c>
    </row>
    <row r="991" spans="34:37">
      <c r="AH991" s="20">
        <f t="shared" si="60"/>
        <v>0</v>
      </c>
      <c r="AI991" s="20">
        <f t="shared" si="61"/>
        <v>0</v>
      </c>
      <c r="AJ991" s="21">
        <f t="shared" si="62"/>
        <v>0</v>
      </c>
      <c r="AK991" s="21">
        <f t="shared" si="63"/>
        <v>0</v>
      </c>
    </row>
    <row r="992" spans="34:37">
      <c r="AH992" s="20">
        <f t="shared" si="60"/>
        <v>0</v>
      </c>
      <c r="AI992" s="20">
        <f t="shared" si="61"/>
        <v>0</v>
      </c>
      <c r="AJ992" s="21">
        <f t="shared" si="62"/>
        <v>0</v>
      </c>
      <c r="AK992" s="21">
        <f t="shared" si="63"/>
        <v>0</v>
      </c>
    </row>
    <row r="993" spans="34:37">
      <c r="AH993" s="20">
        <f t="shared" si="60"/>
        <v>0</v>
      </c>
      <c r="AI993" s="20">
        <f t="shared" si="61"/>
        <v>0</v>
      </c>
      <c r="AJ993" s="21">
        <f t="shared" si="62"/>
        <v>0</v>
      </c>
      <c r="AK993" s="21">
        <f t="shared" si="63"/>
        <v>0</v>
      </c>
    </row>
    <row r="994" spans="34:37">
      <c r="AH994" s="20">
        <f t="shared" si="60"/>
        <v>0</v>
      </c>
      <c r="AI994" s="20">
        <f t="shared" si="61"/>
        <v>0</v>
      </c>
      <c r="AJ994" s="21">
        <f t="shared" si="62"/>
        <v>0</v>
      </c>
      <c r="AK994" s="21">
        <f t="shared" si="63"/>
        <v>0</v>
      </c>
    </row>
    <row r="995" spans="34:37">
      <c r="AH995" s="20">
        <f t="shared" si="60"/>
        <v>0</v>
      </c>
      <c r="AI995" s="20">
        <f t="shared" si="61"/>
        <v>0</v>
      </c>
      <c r="AJ995" s="21">
        <f t="shared" si="62"/>
        <v>0</v>
      </c>
      <c r="AK995" s="21">
        <f t="shared" si="63"/>
        <v>0</v>
      </c>
    </row>
    <row r="996" spans="34:37">
      <c r="AH996" s="20">
        <f t="shared" si="60"/>
        <v>0</v>
      </c>
      <c r="AI996" s="20">
        <f t="shared" si="61"/>
        <v>0</v>
      </c>
      <c r="AJ996" s="21">
        <f t="shared" si="62"/>
        <v>0</v>
      </c>
      <c r="AK996" s="21">
        <f t="shared" si="63"/>
        <v>0</v>
      </c>
    </row>
    <row r="997" spans="34:37">
      <c r="AH997" s="20">
        <f t="shared" si="60"/>
        <v>0</v>
      </c>
      <c r="AI997" s="20">
        <f t="shared" si="61"/>
        <v>0</v>
      </c>
      <c r="AJ997" s="21">
        <f t="shared" si="62"/>
        <v>0</v>
      </c>
      <c r="AK997" s="21">
        <f t="shared" si="63"/>
        <v>0</v>
      </c>
    </row>
    <row r="998" spans="34:37">
      <c r="AH998" s="20">
        <f t="shared" si="60"/>
        <v>0</v>
      </c>
      <c r="AI998" s="20">
        <f t="shared" si="61"/>
        <v>0</v>
      </c>
      <c r="AJ998" s="21">
        <f t="shared" si="62"/>
        <v>0</v>
      </c>
      <c r="AK998" s="21">
        <f t="shared" si="63"/>
        <v>0</v>
      </c>
    </row>
    <row r="999" spans="34:37">
      <c r="AH999" s="20">
        <f t="shared" si="60"/>
        <v>0</v>
      </c>
      <c r="AI999" s="20">
        <f t="shared" si="61"/>
        <v>0</v>
      </c>
      <c r="AJ999" s="21">
        <f t="shared" si="62"/>
        <v>0</v>
      </c>
      <c r="AK999" s="21">
        <f t="shared" si="63"/>
        <v>0</v>
      </c>
    </row>
    <row r="1000" spans="34:37">
      <c r="AH1000" s="20">
        <f t="shared" si="60"/>
        <v>0</v>
      </c>
      <c r="AI1000" s="20">
        <f t="shared" si="61"/>
        <v>0</v>
      </c>
      <c r="AJ1000" s="21">
        <f t="shared" si="62"/>
        <v>0</v>
      </c>
      <c r="AK1000" s="21">
        <f t="shared" si="63"/>
        <v>0</v>
      </c>
    </row>
    <row r="1001" spans="34:37">
      <c r="AH1001" s="20">
        <f t="shared" si="60"/>
        <v>0</v>
      </c>
      <c r="AI1001" s="20">
        <f t="shared" si="61"/>
        <v>0</v>
      </c>
      <c r="AJ1001" s="21">
        <f t="shared" si="62"/>
        <v>0</v>
      </c>
      <c r="AK1001" s="21">
        <f t="shared" si="63"/>
        <v>0</v>
      </c>
    </row>
    <row r="1002" spans="34:37">
      <c r="AH1002" s="20">
        <f t="shared" si="60"/>
        <v>0</v>
      </c>
      <c r="AI1002" s="20">
        <f t="shared" si="61"/>
        <v>0</v>
      </c>
      <c r="AJ1002" s="21">
        <f t="shared" si="62"/>
        <v>0</v>
      </c>
      <c r="AK1002" s="21">
        <f t="shared" si="63"/>
        <v>0</v>
      </c>
    </row>
    <row r="1003" spans="34:37">
      <c r="AH1003" s="20">
        <f t="shared" si="60"/>
        <v>0</v>
      </c>
      <c r="AI1003" s="20">
        <f t="shared" si="61"/>
        <v>0</v>
      </c>
      <c r="AJ1003" s="21">
        <f t="shared" si="62"/>
        <v>0</v>
      </c>
      <c r="AK1003" s="21">
        <f t="shared" si="63"/>
        <v>0</v>
      </c>
    </row>
    <row r="1004" spans="34:37">
      <c r="AH1004" s="20">
        <f t="shared" si="60"/>
        <v>0</v>
      </c>
      <c r="AI1004" s="20">
        <f t="shared" si="61"/>
        <v>0</v>
      </c>
      <c r="AJ1004" s="21">
        <f t="shared" si="62"/>
        <v>0</v>
      </c>
      <c r="AK1004" s="21">
        <f t="shared" si="63"/>
        <v>0</v>
      </c>
    </row>
    <row r="1005" spans="34:37">
      <c r="AH1005" s="20">
        <f t="shared" si="60"/>
        <v>0</v>
      </c>
      <c r="AI1005" s="20">
        <f t="shared" si="61"/>
        <v>0</v>
      </c>
      <c r="AJ1005" s="21">
        <f t="shared" si="62"/>
        <v>0</v>
      </c>
      <c r="AK1005" s="21">
        <f t="shared" si="63"/>
        <v>0</v>
      </c>
    </row>
    <row r="1006" spans="34:37">
      <c r="AH1006" s="20">
        <f t="shared" si="60"/>
        <v>0</v>
      </c>
      <c r="AI1006" s="20">
        <f t="shared" si="61"/>
        <v>0</v>
      </c>
      <c r="AJ1006" s="21">
        <f t="shared" si="62"/>
        <v>0</v>
      </c>
      <c r="AK1006" s="21">
        <f t="shared" si="63"/>
        <v>0</v>
      </c>
    </row>
    <row r="1007" spans="34:37">
      <c r="AH1007" s="20">
        <f t="shared" si="60"/>
        <v>0</v>
      </c>
      <c r="AI1007" s="20">
        <f t="shared" si="61"/>
        <v>0</v>
      </c>
      <c r="AJ1007" s="21">
        <f t="shared" si="62"/>
        <v>0</v>
      </c>
      <c r="AK1007" s="21">
        <f t="shared" si="63"/>
        <v>0</v>
      </c>
    </row>
    <row r="1008" spans="34:37">
      <c r="AH1008" s="20">
        <f t="shared" si="60"/>
        <v>0</v>
      </c>
      <c r="AI1008" s="20">
        <f t="shared" si="61"/>
        <v>0</v>
      </c>
      <c r="AJ1008" s="21">
        <f t="shared" si="62"/>
        <v>0</v>
      </c>
      <c r="AK1008" s="21">
        <f t="shared" si="63"/>
        <v>0</v>
      </c>
    </row>
    <row r="1009" spans="34:37">
      <c r="AH1009" s="20">
        <f t="shared" si="60"/>
        <v>0</v>
      </c>
      <c r="AI1009" s="20">
        <f t="shared" si="61"/>
        <v>0</v>
      </c>
      <c r="AJ1009" s="21">
        <f t="shared" si="62"/>
        <v>0</v>
      </c>
      <c r="AK1009" s="21">
        <f t="shared" si="63"/>
        <v>0</v>
      </c>
    </row>
    <row r="1010" spans="34:37">
      <c r="AH1010" s="20">
        <f t="shared" si="60"/>
        <v>0</v>
      </c>
      <c r="AI1010" s="20">
        <f t="shared" si="61"/>
        <v>0</v>
      </c>
      <c r="AJ1010" s="21">
        <f t="shared" si="62"/>
        <v>0</v>
      </c>
      <c r="AK1010" s="21">
        <f t="shared" si="63"/>
        <v>0</v>
      </c>
    </row>
    <row r="1011" spans="34:37">
      <c r="AH1011" s="20">
        <f t="shared" si="60"/>
        <v>0</v>
      </c>
      <c r="AI1011" s="20">
        <f t="shared" si="61"/>
        <v>0</v>
      </c>
      <c r="AJ1011" s="21">
        <f t="shared" si="62"/>
        <v>0</v>
      </c>
      <c r="AK1011" s="21">
        <f t="shared" si="63"/>
        <v>0</v>
      </c>
    </row>
    <row r="1012" spans="34:37">
      <c r="AH1012" s="20">
        <f t="shared" si="60"/>
        <v>0</v>
      </c>
      <c r="AI1012" s="20">
        <f t="shared" si="61"/>
        <v>0</v>
      </c>
      <c r="AJ1012" s="21">
        <f t="shared" si="62"/>
        <v>0</v>
      </c>
      <c r="AK1012" s="21">
        <f t="shared" si="63"/>
        <v>0</v>
      </c>
    </row>
    <row r="1013" spans="34:37">
      <c r="AH1013" s="20">
        <f t="shared" si="60"/>
        <v>0</v>
      </c>
      <c r="AI1013" s="20">
        <f t="shared" si="61"/>
        <v>0</v>
      </c>
      <c r="AJ1013" s="21">
        <f t="shared" si="62"/>
        <v>0</v>
      </c>
      <c r="AK1013" s="21">
        <f t="shared" si="63"/>
        <v>0</v>
      </c>
    </row>
    <row r="1014" spans="34:37">
      <c r="AH1014" s="20">
        <f t="shared" si="60"/>
        <v>0</v>
      </c>
      <c r="AI1014" s="20">
        <f t="shared" si="61"/>
        <v>0</v>
      </c>
      <c r="AJ1014" s="21">
        <f t="shared" si="62"/>
        <v>0</v>
      </c>
      <c r="AK1014" s="21">
        <f t="shared" si="63"/>
        <v>0</v>
      </c>
    </row>
    <row r="1015" spans="34:37">
      <c r="AH1015" s="20">
        <f t="shared" si="60"/>
        <v>0</v>
      </c>
      <c r="AI1015" s="20">
        <f t="shared" si="61"/>
        <v>0</v>
      </c>
      <c r="AJ1015" s="21">
        <f t="shared" si="62"/>
        <v>0</v>
      </c>
      <c r="AK1015" s="21">
        <f t="shared" si="63"/>
        <v>0</v>
      </c>
    </row>
    <row r="1016" spans="34:37">
      <c r="AH1016" s="20">
        <f t="shared" si="60"/>
        <v>0</v>
      </c>
      <c r="AI1016" s="20">
        <f t="shared" si="61"/>
        <v>0</v>
      </c>
      <c r="AJ1016" s="21">
        <f t="shared" si="62"/>
        <v>0</v>
      </c>
      <c r="AK1016" s="21">
        <f t="shared" si="63"/>
        <v>0</v>
      </c>
    </row>
    <row r="1017" spans="34:37">
      <c r="AH1017" s="20">
        <f t="shared" si="60"/>
        <v>0</v>
      </c>
      <c r="AI1017" s="20">
        <f t="shared" si="61"/>
        <v>0</v>
      </c>
      <c r="AJ1017" s="21">
        <f t="shared" si="62"/>
        <v>0</v>
      </c>
      <c r="AK1017" s="21">
        <f t="shared" si="63"/>
        <v>0</v>
      </c>
    </row>
  </sheetData>
  <autoFilter ref="A1:AK1" xr:uid="{8DBA2955-B0DC-4155-A442-B0A496632D3A}"/>
  <conditionalFormatting sqref="B2:B1048576">
    <cfRule type="cellIs" dxfId="8" priority="21" operator="equal">
      <formula>"BT"</formula>
    </cfRule>
  </conditionalFormatting>
  <conditionalFormatting sqref="J2:J1048576">
    <cfRule type="containsText" dxfId="7" priority="19" operator="containsText" text="_BT_">
      <formula>NOT(ISERROR(SEARCH("_BT_",J2)))</formula>
    </cfRule>
  </conditionalFormatting>
  <conditionalFormatting sqref="C1:F1">
    <cfRule type="cellIs" dxfId="6" priority="7" operator="equal">
      <formula>"BT"</formula>
    </cfRule>
  </conditionalFormatting>
  <conditionalFormatting sqref="L1">
    <cfRule type="containsText" dxfId="5" priority="6" operator="containsText" text="_BT_">
      <formula>NOT(ISERROR(SEARCH("_BT_",L1)))</formula>
    </cfRule>
  </conditionalFormatting>
  <conditionalFormatting sqref="S1">
    <cfRule type="cellIs" dxfId="4" priority="3" operator="equal">
      <formula>"A"</formula>
    </cfRule>
    <cfRule type="cellIs" dxfId="3" priority="4" operator="equal">
      <formula>"R"</formula>
    </cfRule>
    <cfRule type="cellIs" dxfId="2" priority="5" operator="equal">
      <formula>"AR"</formula>
    </cfRule>
  </conditionalFormatting>
  <conditionalFormatting sqref="B1">
    <cfRule type="cellIs" dxfId="1" priority="2" operator="equal">
      <formula>"BT"</formula>
    </cfRule>
  </conditionalFormatting>
  <conditionalFormatting sqref="A1">
    <cfRule type="cellIs" dxfId="0" priority="1" operator="equal">
      <formula>"BT"</formula>
    </cfRule>
  </conditionalFormatting>
  <pageMargins left="0.7" right="0.7" top="0.75" bottom="0.75" header="0.3" footer="0.3"/>
  <pageSetup paperSize="9"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5D001-73B4-4209-9130-41F6D0DB6C90}">
  <dimension ref="A1"/>
  <sheetViews>
    <sheetView workbookViewId="0"/>
  </sheetViews>
  <sheetFormatPr baseColWidth="10"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Bilan envois</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Fanny Roland</dc:creator>
  <cp:lastModifiedBy>HOTTIAUX Sandra</cp:lastModifiedBy>
  <dcterms:created xsi:type="dcterms:W3CDTF">2020-11-17T11:37:42Z</dcterms:created>
  <dcterms:modified xsi:type="dcterms:W3CDTF">2022-06-01T08:47:50Z</dcterms:modified>
</cp:coreProperties>
</file>